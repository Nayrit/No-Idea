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codeName="ThisWorkbook" defaultThemeVersion="124226"/>
  <bookViews>
    <workbookView xWindow="0" yWindow="0" windowWidth="20490" windowHeight="7635" tabRatio="945" activeTab="11"/>
  </bookViews>
  <sheets>
    <sheet name="Statement" sheetId="50" r:id="rId1"/>
    <sheet name="Report-2" sheetId="51" r:id="rId2"/>
    <sheet name="Top Sheet-(Class)" sheetId="43" r:id="rId3"/>
    <sheet name="Top Sheet-(Lot)" sheetId="53" r:id="rId4"/>
    <sheet name="MSPL-2 (Class)" sheetId="3" r:id="rId5"/>
    <sheet name="MSPL-2(LOT)" sheetId="17" r:id="rId6"/>
    <sheet name="Pre-Primary" sheetId="9" r:id="rId7"/>
    <sheet name="Primary 1-5" sheetId="2" r:id="rId8"/>
    <sheet name="Secandary-7" sheetId="6" r:id="rId9"/>
    <sheet name="Nine-Ten(Bangla)" sheetId="11" r:id="rId10"/>
    <sheet name="Nine-Ten(Shuko)" sheetId="14" r:id="rId11"/>
    <sheet name="Dakhil-(9-10)" sheetId="49" r:id="rId12"/>
    <sheet name="MSPL-3(Class)" sheetId="42" r:id="rId13"/>
    <sheet name="MSPL-3(Lot)" sheetId="52" r:id="rId14"/>
    <sheet name="Primary (1-5)" sheetId="44" r:id="rId15"/>
    <sheet name="Ibtadi" sheetId="45" r:id="rId16"/>
    <sheet name="Sec-6" sheetId="46" r:id="rId17"/>
    <sheet name="Dakhil-6" sheetId="47" r:id="rId18"/>
    <sheet name="Sec-8" sheetId="48" r:id="rId19"/>
  </sheets>
  <calcPr calcId="125725"/>
</workbook>
</file>

<file path=xl/calcChain.xml><?xml version="1.0" encoding="utf-8"?>
<calcChain xmlns="http://schemas.openxmlformats.org/spreadsheetml/2006/main">
  <c r="M21" i="51"/>
  <c r="R21" s="1"/>
  <c r="M22"/>
  <c r="R22" s="1"/>
  <c r="M23"/>
  <c r="R23" s="1"/>
  <c r="M24"/>
  <c r="M20"/>
  <c r="K21"/>
  <c r="Q21" s="1"/>
  <c r="K22"/>
  <c r="Q22" s="1"/>
  <c r="K23"/>
  <c r="Q23" s="1"/>
  <c r="K24"/>
  <c r="K20"/>
  <c r="Q20" s="1"/>
  <c r="I21"/>
  <c r="I22"/>
  <c r="I23"/>
  <c r="I24"/>
  <c r="I20"/>
  <c r="G21"/>
  <c r="P21" s="1"/>
  <c r="G22"/>
  <c r="P22" s="1"/>
  <c r="G23"/>
  <c r="P23" s="1"/>
  <c r="G24"/>
  <c r="G20"/>
  <c r="P24"/>
  <c r="Q24"/>
  <c r="R24"/>
  <c r="R20"/>
  <c r="P20"/>
  <c r="O393" i="52"/>
  <c r="Q393" s="1"/>
  <c r="O392"/>
  <c r="Q392" s="1"/>
  <c r="O391"/>
  <c r="Q391" s="1"/>
  <c r="O390"/>
  <c r="Q390" s="1"/>
  <c r="O389"/>
  <c r="Q389" s="1"/>
  <c r="O388"/>
  <c r="P388" s="1"/>
  <c r="O387"/>
  <c r="Q387" s="1"/>
  <c r="O386"/>
  <c r="O385"/>
  <c r="Q385" s="1"/>
  <c r="O384"/>
  <c r="Q384" s="1"/>
  <c r="O383"/>
  <c r="P383" s="1"/>
  <c r="O382"/>
  <c r="Q382" s="1"/>
  <c r="O381"/>
  <c r="Q381" s="1"/>
  <c r="O380"/>
  <c r="Q380" s="1"/>
  <c r="O379"/>
  <c r="O378"/>
  <c r="Q378" s="1"/>
  <c r="O377"/>
  <c r="Q377" s="1"/>
  <c r="O376"/>
  <c r="P376" s="1"/>
  <c r="O375"/>
  <c r="P375" s="1"/>
  <c r="O374"/>
  <c r="O373"/>
  <c r="Q373" s="1"/>
  <c r="O372"/>
  <c r="O356"/>
  <c r="Q356" s="1"/>
  <c r="O355"/>
  <c r="Q355" s="1"/>
  <c r="O354"/>
  <c r="Q354" s="1"/>
  <c r="O353"/>
  <c r="Q353" s="1"/>
  <c r="O352"/>
  <c r="Q352" s="1"/>
  <c r="O351"/>
  <c r="P351" s="1"/>
  <c r="O350"/>
  <c r="Q350" s="1"/>
  <c r="O349"/>
  <c r="Q349" s="1"/>
  <c r="O348"/>
  <c r="Q348" s="1"/>
  <c r="O347"/>
  <c r="Q347" s="1"/>
  <c r="O346"/>
  <c r="Q346" s="1"/>
  <c r="O345"/>
  <c r="Q345" s="1"/>
  <c r="O344"/>
  <c r="Q344" s="1"/>
  <c r="O343"/>
  <c r="P343" s="1"/>
  <c r="O342"/>
  <c r="Q342" s="1"/>
  <c r="O341"/>
  <c r="O340"/>
  <c r="P340" s="1"/>
  <c r="O339"/>
  <c r="Q339" s="1"/>
  <c r="O338"/>
  <c r="P338" s="1"/>
  <c r="O337"/>
  <c r="O336"/>
  <c r="Q336" s="1"/>
  <c r="O335"/>
  <c r="P335" s="1"/>
  <c r="O320"/>
  <c r="Q320" s="1"/>
  <c r="O319"/>
  <c r="P319" s="1"/>
  <c r="O318"/>
  <c r="P318" s="1"/>
  <c r="O317"/>
  <c r="Q317" s="1"/>
  <c r="O316"/>
  <c r="Q316" s="1"/>
  <c r="O315"/>
  <c r="P315" s="1"/>
  <c r="O314"/>
  <c r="O313"/>
  <c r="Q313" s="1"/>
  <c r="O312"/>
  <c r="Q312" s="1"/>
  <c r="O311"/>
  <c r="Q311" s="1"/>
  <c r="O310"/>
  <c r="P310" s="1"/>
  <c r="O309"/>
  <c r="Q309" s="1"/>
  <c r="O308"/>
  <c r="Q308" s="1"/>
  <c r="O307"/>
  <c r="P307" s="1"/>
  <c r="O306"/>
  <c r="Q306" s="1"/>
  <c r="O305"/>
  <c r="Q305" s="1"/>
  <c r="O304"/>
  <c r="Q304" s="1"/>
  <c r="O303"/>
  <c r="Q303" s="1"/>
  <c r="O302"/>
  <c r="P302" s="1"/>
  <c r="O301"/>
  <c r="Q301" s="1"/>
  <c r="O300"/>
  <c r="Q300" s="1"/>
  <c r="O299"/>
  <c r="O283"/>
  <c r="Q283" s="1"/>
  <c r="O282"/>
  <c r="Q282" s="1"/>
  <c r="O281"/>
  <c r="P281" s="1"/>
  <c r="O280"/>
  <c r="Q280" s="1"/>
  <c r="O279"/>
  <c r="Q279" s="1"/>
  <c r="O278"/>
  <c r="P278" s="1"/>
  <c r="O277"/>
  <c r="Q277" s="1"/>
  <c r="O276"/>
  <c r="Q276" s="1"/>
  <c r="O275"/>
  <c r="Q275" s="1"/>
  <c r="O274"/>
  <c r="Q274" s="1"/>
  <c r="O273"/>
  <c r="P273" s="1"/>
  <c r="O272"/>
  <c r="Q272" s="1"/>
  <c r="O271"/>
  <c r="Q271" s="1"/>
  <c r="O270"/>
  <c r="Q270" s="1"/>
  <c r="O269"/>
  <c r="Q269" s="1"/>
  <c r="O268"/>
  <c r="Q268" s="1"/>
  <c r="O267"/>
  <c r="Q267" s="1"/>
  <c r="O266"/>
  <c r="Q266" s="1"/>
  <c r="O265"/>
  <c r="Q265" s="1"/>
  <c r="O264"/>
  <c r="Q264" s="1"/>
  <c r="O263"/>
  <c r="Q263" s="1"/>
  <c r="O262"/>
  <c r="O245"/>
  <c r="Q245" s="1"/>
  <c r="O244"/>
  <c r="Q244" s="1"/>
  <c r="O243"/>
  <c r="P243" s="1"/>
  <c r="O242"/>
  <c r="O241"/>
  <c r="P241" s="1"/>
  <c r="O240"/>
  <c r="P240" s="1"/>
  <c r="O239"/>
  <c r="Q239" s="1"/>
  <c r="O238"/>
  <c r="Q238" s="1"/>
  <c r="O237"/>
  <c r="Q237" s="1"/>
  <c r="O236"/>
  <c r="Q236" s="1"/>
  <c r="O235"/>
  <c r="P235" s="1"/>
  <c r="O234"/>
  <c r="Q234" s="1"/>
  <c r="O233"/>
  <c r="Q233" s="1"/>
  <c r="O232"/>
  <c r="P232" s="1"/>
  <c r="O231"/>
  <c r="Q231" s="1"/>
  <c r="O230"/>
  <c r="Q230" s="1"/>
  <c r="O229"/>
  <c r="Q229" s="1"/>
  <c r="O228"/>
  <c r="Q228" s="1"/>
  <c r="O227"/>
  <c r="Q227" s="1"/>
  <c r="O226"/>
  <c r="Q226" s="1"/>
  <c r="O225"/>
  <c r="Q225" s="1"/>
  <c r="O224"/>
  <c r="P224" s="1"/>
  <c r="O208"/>
  <c r="O207"/>
  <c r="O206"/>
  <c r="O205"/>
  <c r="O204"/>
  <c r="O203"/>
  <c r="O202"/>
  <c r="O201"/>
  <c r="O200"/>
  <c r="O199"/>
  <c r="O198"/>
  <c r="O197"/>
  <c r="O196"/>
  <c r="O195"/>
  <c r="O194"/>
  <c r="O193"/>
  <c r="O192"/>
  <c r="O191"/>
  <c r="O190"/>
  <c r="O189"/>
  <c r="O188"/>
  <c r="O187"/>
  <c r="O162"/>
  <c r="U129" i="42" s="1"/>
  <c r="O161" i="52"/>
  <c r="U128" i="42" s="1"/>
  <c r="O160" i="52"/>
  <c r="U127" i="42" s="1"/>
  <c r="O159" i="52"/>
  <c r="U126" i="42" s="1"/>
  <c r="O158" i="52"/>
  <c r="U125" i="42" s="1"/>
  <c r="O157" i="52"/>
  <c r="U124" i="42" s="1"/>
  <c r="O156" i="52"/>
  <c r="U123" i="42" s="1"/>
  <c r="O155" i="52"/>
  <c r="U122" i="42" s="1"/>
  <c r="O154" i="52"/>
  <c r="U121" i="42" s="1"/>
  <c r="O153" i="52"/>
  <c r="U120" i="42" s="1"/>
  <c r="O152" i="52"/>
  <c r="U119" i="42" s="1"/>
  <c r="O151" i="52"/>
  <c r="U118" i="42" s="1"/>
  <c r="O135" i="52"/>
  <c r="U101" i="42" s="1"/>
  <c r="O134" i="52"/>
  <c r="U100" i="42" s="1"/>
  <c r="O133" i="52"/>
  <c r="U99" i="42" s="1"/>
  <c r="O132" i="52"/>
  <c r="U98" i="42" s="1"/>
  <c r="O131" i="52"/>
  <c r="U97" i="42" s="1"/>
  <c r="O130" i="52"/>
  <c r="U96" i="42" s="1"/>
  <c r="O129" i="52"/>
  <c r="U95" i="42" s="1"/>
  <c r="O128" i="52"/>
  <c r="U94" i="42" s="1"/>
  <c r="O127" i="52"/>
  <c r="U93" i="42" s="1"/>
  <c r="O126" i="52"/>
  <c r="U92" i="42" s="1"/>
  <c r="O125" i="52"/>
  <c r="U91" i="42" s="1"/>
  <c r="O124" i="52"/>
  <c r="U90" i="42" s="1"/>
  <c r="O123" i="52"/>
  <c r="U89" i="42" s="1"/>
  <c r="O122" i="52"/>
  <c r="U88" i="42" s="1"/>
  <c r="O121" i="52"/>
  <c r="U87" i="42" s="1"/>
  <c r="O120" i="52"/>
  <c r="U86" i="42" s="1"/>
  <c r="O119" i="52"/>
  <c r="U85" i="42" s="1"/>
  <c r="O118" i="52"/>
  <c r="U84" i="42" s="1"/>
  <c r="O117" i="52"/>
  <c r="U83" i="42" s="1"/>
  <c r="O116" i="52"/>
  <c r="U82" i="42" s="1"/>
  <c r="O115" i="52"/>
  <c r="U81" i="42" s="1"/>
  <c r="O98" i="52"/>
  <c r="O97"/>
  <c r="U62" i="42" s="1"/>
  <c r="O96" i="52"/>
  <c r="U61" i="42" s="1"/>
  <c r="O95" i="52"/>
  <c r="U60" i="42" s="1"/>
  <c r="O94" i="52"/>
  <c r="U59" i="42" s="1"/>
  <c r="O93" i="52"/>
  <c r="U58" i="42" s="1"/>
  <c r="O92" i="52"/>
  <c r="U57" i="42" s="1"/>
  <c r="O91" i="52"/>
  <c r="U56" i="42" s="1"/>
  <c r="O90" i="52"/>
  <c r="U55" i="42" s="1"/>
  <c r="O89" i="52"/>
  <c r="U54" i="42" s="1"/>
  <c r="O88" i="52"/>
  <c r="U53" i="42" s="1"/>
  <c r="O87" i="52"/>
  <c r="U52" i="42" s="1"/>
  <c r="O86" i="52"/>
  <c r="U51" i="42" s="1"/>
  <c r="O85" i="52"/>
  <c r="U50" i="42" s="1"/>
  <c r="O84" i="52"/>
  <c r="U49" i="42" s="1"/>
  <c r="O83" i="52"/>
  <c r="U48" i="42" s="1"/>
  <c r="O82" i="52"/>
  <c r="U47" i="42" s="1"/>
  <c r="O81" i="52"/>
  <c r="U46" i="42" s="1"/>
  <c r="O80" i="52"/>
  <c r="U45" i="42" s="1"/>
  <c r="O79" i="52"/>
  <c r="U44" i="42" s="1"/>
  <c r="O69" i="52"/>
  <c r="O68"/>
  <c r="Q68" s="1"/>
  <c r="O67"/>
  <c r="Q67" s="1"/>
  <c r="O66"/>
  <c r="Q66" s="1"/>
  <c r="O65"/>
  <c r="Q65" s="1"/>
  <c r="O64"/>
  <c r="O63"/>
  <c r="Q63" s="1"/>
  <c r="O62"/>
  <c r="Q62" s="1"/>
  <c r="O61"/>
  <c r="P61" s="1"/>
  <c r="O60"/>
  <c r="Q60" s="1"/>
  <c r="O59"/>
  <c r="Q59" s="1"/>
  <c r="O58"/>
  <c r="Q58" s="1"/>
  <c r="O57"/>
  <c r="Q57" s="1"/>
  <c r="O56"/>
  <c r="Q56" s="1"/>
  <c r="O55"/>
  <c r="Q55" s="1"/>
  <c r="O54"/>
  <c r="Q54" s="1"/>
  <c r="O53"/>
  <c r="Q53" s="1"/>
  <c r="O52"/>
  <c r="Q52" s="1"/>
  <c r="O51"/>
  <c r="Q51" s="1"/>
  <c r="O50"/>
  <c r="Q50" s="1"/>
  <c r="O49"/>
  <c r="Q49" s="1"/>
  <c r="O48"/>
  <c r="Q48" s="1"/>
  <c r="O47"/>
  <c r="Q47" s="1"/>
  <c r="O46"/>
  <c r="P46" s="1"/>
  <c r="O45"/>
  <c r="Q45" s="1"/>
  <c r="O44"/>
  <c r="Q44" s="1"/>
  <c r="O43"/>
  <c r="Q43" s="1"/>
  <c r="O33"/>
  <c r="O32"/>
  <c r="O31"/>
  <c r="O30"/>
  <c r="O29"/>
  <c r="O28"/>
  <c r="O27"/>
  <c r="O26"/>
  <c r="O25"/>
  <c r="O24"/>
  <c r="O23"/>
  <c r="O22"/>
  <c r="O21"/>
  <c r="O20"/>
  <c r="O19"/>
  <c r="O18"/>
  <c r="O17"/>
  <c r="O16"/>
  <c r="O15"/>
  <c r="O14"/>
  <c r="O13"/>
  <c r="O12"/>
  <c r="O11"/>
  <c r="O10"/>
  <c r="O9"/>
  <c r="O8"/>
  <c r="O7"/>
  <c r="S156" i="42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55"/>
  <c r="O156"/>
  <c r="O157"/>
  <c r="O158"/>
  <c r="O159"/>
  <c r="O160"/>
  <c r="O161"/>
  <c r="O162"/>
  <c r="O163"/>
  <c r="O164"/>
  <c r="O165"/>
  <c r="O166"/>
  <c r="O167"/>
  <c r="O168"/>
  <c r="O169"/>
  <c r="O170"/>
  <c r="O171"/>
  <c r="O172"/>
  <c r="O173"/>
  <c r="O174"/>
  <c r="O175"/>
  <c r="O176"/>
  <c r="O155"/>
  <c r="S119"/>
  <c r="S120"/>
  <c r="S121"/>
  <c r="S122"/>
  <c r="S123"/>
  <c r="S124"/>
  <c r="S125"/>
  <c r="S126"/>
  <c r="S127"/>
  <c r="S128"/>
  <c r="S129"/>
  <c r="S130"/>
  <c r="S131"/>
  <c r="S132"/>
  <c r="S118"/>
  <c r="O119"/>
  <c r="O120"/>
  <c r="O121"/>
  <c r="O122"/>
  <c r="O123"/>
  <c r="O124"/>
  <c r="O125"/>
  <c r="O126"/>
  <c r="O127"/>
  <c r="O128"/>
  <c r="O129"/>
  <c r="O130"/>
  <c r="O131"/>
  <c r="O132"/>
  <c r="O118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81"/>
  <c r="U63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44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7"/>
  <c r="O8"/>
  <c r="O9"/>
  <c r="O10"/>
  <c r="O11"/>
  <c r="O12"/>
  <c r="O13"/>
  <c r="O14"/>
  <c r="O15"/>
  <c r="O16"/>
  <c r="O17"/>
  <c r="O18"/>
  <c r="O19"/>
  <c r="O20"/>
  <c r="O21"/>
  <c r="O22"/>
  <c r="O23"/>
  <c r="O24"/>
  <c r="O25"/>
  <c r="O26"/>
  <c r="O27"/>
  <c r="O28"/>
  <c r="O29"/>
  <c r="O30"/>
  <c r="O31"/>
  <c r="O32"/>
  <c r="O33"/>
  <c r="O7"/>
  <c r="P44" i="53"/>
  <c r="O44"/>
  <c r="P42"/>
  <c r="O42"/>
  <c r="Q26"/>
  <c r="P26"/>
  <c r="O26"/>
  <c r="E44"/>
  <c r="F44"/>
  <c r="G44"/>
  <c r="H44"/>
  <c r="I44"/>
  <c r="J44"/>
  <c r="K44"/>
  <c r="R44"/>
  <c r="S44"/>
  <c r="T44"/>
  <c r="U44"/>
  <c r="V44"/>
  <c r="T31"/>
  <c r="T42" s="1"/>
  <c r="U31"/>
  <c r="U42" s="1"/>
  <c r="V31"/>
  <c r="V42" s="1"/>
  <c r="T32"/>
  <c r="U32"/>
  <c r="V32"/>
  <c r="T33"/>
  <c r="U33"/>
  <c r="V33"/>
  <c r="T34"/>
  <c r="U34"/>
  <c r="V34"/>
  <c r="T35"/>
  <c r="U35"/>
  <c r="V35"/>
  <c r="T36"/>
  <c r="U36"/>
  <c r="V36"/>
  <c r="T37"/>
  <c r="U37"/>
  <c r="V37"/>
  <c r="T38"/>
  <c r="U38"/>
  <c r="V38"/>
  <c r="T39"/>
  <c r="U39"/>
  <c r="V39"/>
  <c r="T40"/>
  <c r="U40"/>
  <c r="V40"/>
  <c r="T41"/>
  <c r="U41"/>
  <c r="V41"/>
  <c r="S41"/>
  <c r="S40"/>
  <c r="S39"/>
  <c r="S38"/>
  <c r="S37"/>
  <c r="S36"/>
  <c r="S35"/>
  <c r="S34"/>
  <c r="S33"/>
  <c r="S32"/>
  <c r="S31"/>
  <c r="O32"/>
  <c r="P32"/>
  <c r="O33"/>
  <c r="P33"/>
  <c r="O34"/>
  <c r="P34"/>
  <c r="O35"/>
  <c r="P35"/>
  <c r="O36"/>
  <c r="P36"/>
  <c r="O37"/>
  <c r="P37"/>
  <c r="O38"/>
  <c r="P38"/>
  <c r="O39"/>
  <c r="P39"/>
  <c r="O40"/>
  <c r="P40"/>
  <c r="O41"/>
  <c r="P41"/>
  <c r="P31"/>
  <c r="D41"/>
  <c r="D40"/>
  <c r="D39"/>
  <c r="D38"/>
  <c r="D37"/>
  <c r="D36"/>
  <c r="D35"/>
  <c r="D34"/>
  <c r="D33"/>
  <c r="D32"/>
  <c r="D31"/>
  <c r="O31"/>
  <c r="K31"/>
  <c r="K42" s="1"/>
  <c r="K32"/>
  <c r="K33"/>
  <c r="K34"/>
  <c r="K35"/>
  <c r="K36"/>
  <c r="K37"/>
  <c r="K38"/>
  <c r="K39"/>
  <c r="K40"/>
  <c r="K41"/>
  <c r="J31"/>
  <c r="J42" s="1"/>
  <c r="J32"/>
  <c r="J33"/>
  <c r="J34"/>
  <c r="J35"/>
  <c r="J36"/>
  <c r="J37"/>
  <c r="J38"/>
  <c r="J39"/>
  <c r="J40"/>
  <c r="J41"/>
  <c r="I31"/>
  <c r="I32"/>
  <c r="I33"/>
  <c r="I34"/>
  <c r="I35"/>
  <c r="I36"/>
  <c r="I37"/>
  <c r="I38"/>
  <c r="I39"/>
  <c r="I40"/>
  <c r="I41"/>
  <c r="H31"/>
  <c r="H42" s="1"/>
  <c r="H32"/>
  <c r="H33"/>
  <c r="H34"/>
  <c r="H35"/>
  <c r="H36"/>
  <c r="H37"/>
  <c r="H38"/>
  <c r="H39"/>
  <c r="H40"/>
  <c r="H41"/>
  <c r="F42"/>
  <c r="G42"/>
  <c r="I42"/>
  <c r="R42"/>
  <c r="G31"/>
  <c r="G32"/>
  <c r="G33"/>
  <c r="G34"/>
  <c r="G35"/>
  <c r="G36"/>
  <c r="G37"/>
  <c r="G38"/>
  <c r="G39"/>
  <c r="G40"/>
  <c r="G41"/>
  <c r="F31"/>
  <c r="F32"/>
  <c r="F33"/>
  <c r="F34"/>
  <c r="F35"/>
  <c r="F36"/>
  <c r="F37"/>
  <c r="F38"/>
  <c r="F39"/>
  <c r="F40"/>
  <c r="F41"/>
  <c r="E41"/>
  <c r="E40"/>
  <c r="E39"/>
  <c r="E38"/>
  <c r="E37"/>
  <c r="E36"/>
  <c r="E35"/>
  <c r="E34"/>
  <c r="E33"/>
  <c r="E32"/>
  <c r="E31"/>
  <c r="H372" i="52"/>
  <c r="M394"/>
  <c r="I394"/>
  <c r="G394"/>
  <c r="F394"/>
  <c r="T393"/>
  <c r="S393"/>
  <c r="R393"/>
  <c r="N393"/>
  <c r="L393"/>
  <c r="K393"/>
  <c r="U393" s="1"/>
  <c r="H393"/>
  <c r="J393" s="1"/>
  <c r="T392"/>
  <c r="V392" s="1"/>
  <c r="S392"/>
  <c r="R392"/>
  <c r="K392"/>
  <c r="U392" s="1"/>
  <c r="H392"/>
  <c r="J392" s="1"/>
  <c r="N392"/>
  <c r="R391"/>
  <c r="N391"/>
  <c r="L391"/>
  <c r="K391"/>
  <c r="U391" s="1"/>
  <c r="S391"/>
  <c r="T391" s="1"/>
  <c r="V391" s="1"/>
  <c r="T390"/>
  <c r="S390"/>
  <c r="R390"/>
  <c r="L390"/>
  <c r="K390"/>
  <c r="U390" s="1"/>
  <c r="H390"/>
  <c r="J390" s="1"/>
  <c r="N390"/>
  <c r="S389"/>
  <c r="T389" s="1"/>
  <c r="V389" s="1"/>
  <c r="R389"/>
  <c r="K389"/>
  <c r="U389" s="1"/>
  <c r="H389"/>
  <c r="J389" s="1"/>
  <c r="N389"/>
  <c r="T388"/>
  <c r="S388"/>
  <c r="R388"/>
  <c r="N388"/>
  <c r="L388"/>
  <c r="K388"/>
  <c r="U388" s="1"/>
  <c r="J388"/>
  <c r="H388"/>
  <c r="T387"/>
  <c r="V387" s="1"/>
  <c r="S387"/>
  <c r="R387"/>
  <c r="K387"/>
  <c r="U387" s="1"/>
  <c r="H387"/>
  <c r="J387" s="1"/>
  <c r="L387"/>
  <c r="R386"/>
  <c r="Q386"/>
  <c r="K386"/>
  <c r="U386" s="1"/>
  <c r="S386"/>
  <c r="T386" s="1"/>
  <c r="T385"/>
  <c r="S385"/>
  <c r="R385"/>
  <c r="N385"/>
  <c r="L385"/>
  <c r="K385"/>
  <c r="U385" s="1"/>
  <c r="V385" s="1"/>
  <c r="J385"/>
  <c r="H385"/>
  <c r="T384"/>
  <c r="V384" s="1"/>
  <c r="S384"/>
  <c r="R384"/>
  <c r="K384"/>
  <c r="U384" s="1"/>
  <c r="J384"/>
  <c r="H384"/>
  <c r="N384"/>
  <c r="R383"/>
  <c r="N383"/>
  <c r="L383"/>
  <c r="K383"/>
  <c r="U383" s="1"/>
  <c r="S383"/>
  <c r="T383" s="1"/>
  <c r="S382"/>
  <c r="T382" s="1"/>
  <c r="R382"/>
  <c r="L382"/>
  <c r="K382"/>
  <c r="U382" s="1"/>
  <c r="J382"/>
  <c r="H382"/>
  <c r="N382"/>
  <c r="S381"/>
  <c r="T381" s="1"/>
  <c r="V381" s="1"/>
  <c r="R381"/>
  <c r="K381"/>
  <c r="U381" s="1"/>
  <c r="H381"/>
  <c r="J381" s="1"/>
  <c r="L381"/>
  <c r="T380"/>
  <c r="S380"/>
  <c r="R380"/>
  <c r="P380"/>
  <c r="N380"/>
  <c r="L380"/>
  <c r="K380"/>
  <c r="U380" s="1"/>
  <c r="V380" s="1"/>
  <c r="J380"/>
  <c r="H380"/>
  <c r="T379"/>
  <c r="V379" s="1"/>
  <c r="S379"/>
  <c r="S394" s="1"/>
  <c r="R379"/>
  <c r="Q379"/>
  <c r="K379"/>
  <c r="U379" s="1"/>
  <c r="J379"/>
  <c r="H379"/>
  <c r="L379"/>
  <c r="R378"/>
  <c r="K378"/>
  <c r="U378" s="1"/>
  <c r="S378"/>
  <c r="T378" s="1"/>
  <c r="T377"/>
  <c r="S377"/>
  <c r="R377"/>
  <c r="N377"/>
  <c r="L377"/>
  <c r="K377"/>
  <c r="U377" s="1"/>
  <c r="V377" s="1"/>
  <c r="J377"/>
  <c r="H377"/>
  <c r="T376"/>
  <c r="V376" s="1"/>
  <c r="S376"/>
  <c r="R376"/>
  <c r="K376"/>
  <c r="U376" s="1"/>
  <c r="J376"/>
  <c r="H376"/>
  <c r="R375"/>
  <c r="Q375"/>
  <c r="N375"/>
  <c r="L375"/>
  <c r="K375"/>
  <c r="U375" s="1"/>
  <c r="S375"/>
  <c r="T375" s="1"/>
  <c r="T374"/>
  <c r="S374"/>
  <c r="R374"/>
  <c r="Q374"/>
  <c r="L374"/>
  <c r="K374"/>
  <c r="U374" s="1"/>
  <c r="V374" s="1"/>
  <c r="J374"/>
  <c r="H374"/>
  <c r="N374"/>
  <c r="S373"/>
  <c r="T373" s="1"/>
  <c r="V373" s="1"/>
  <c r="R373"/>
  <c r="R394" s="1"/>
  <c r="K373"/>
  <c r="U373" s="1"/>
  <c r="H373"/>
  <c r="J373" s="1"/>
  <c r="T372"/>
  <c r="S372"/>
  <c r="R372"/>
  <c r="P372"/>
  <c r="N372"/>
  <c r="L372"/>
  <c r="K372"/>
  <c r="K394" s="1"/>
  <c r="J372"/>
  <c r="M357"/>
  <c r="I357"/>
  <c r="G357"/>
  <c r="F357"/>
  <c r="T356"/>
  <c r="S356"/>
  <c r="R356"/>
  <c r="N356"/>
  <c r="L356"/>
  <c r="K356"/>
  <c r="U356" s="1"/>
  <c r="J356"/>
  <c r="H356"/>
  <c r="T355"/>
  <c r="V355" s="1"/>
  <c r="S355"/>
  <c r="R355"/>
  <c r="K355"/>
  <c r="U355" s="1"/>
  <c r="J355"/>
  <c r="H355"/>
  <c r="L355"/>
  <c r="R354"/>
  <c r="N354"/>
  <c r="L354"/>
  <c r="K354"/>
  <c r="U354" s="1"/>
  <c r="S354"/>
  <c r="T354" s="1"/>
  <c r="V354" s="1"/>
  <c r="T353"/>
  <c r="S353"/>
  <c r="R353"/>
  <c r="L353"/>
  <c r="K353"/>
  <c r="U353" s="1"/>
  <c r="J353"/>
  <c r="H353"/>
  <c r="N353"/>
  <c r="S352"/>
  <c r="T352" s="1"/>
  <c r="R352"/>
  <c r="K352"/>
  <c r="U352" s="1"/>
  <c r="H352"/>
  <c r="J352" s="1"/>
  <c r="L352"/>
  <c r="T351"/>
  <c r="S351"/>
  <c r="R351"/>
  <c r="N351"/>
  <c r="L351"/>
  <c r="K351"/>
  <c r="U351" s="1"/>
  <c r="V351" s="1"/>
  <c r="J351"/>
  <c r="H351"/>
  <c r="T350"/>
  <c r="V350" s="1"/>
  <c r="S350"/>
  <c r="R350"/>
  <c r="K350"/>
  <c r="U350" s="1"/>
  <c r="J350"/>
  <c r="H350"/>
  <c r="L350"/>
  <c r="R349"/>
  <c r="K349"/>
  <c r="U349" s="1"/>
  <c r="S349"/>
  <c r="T349" s="1"/>
  <c r="S348"/>
  <c r="T348" s="1"/>
  <c r="R348"/>
  <c r="N348"/>
  <c r="L348"/>
  <c r="K348"/>
  <c r="U348" s="1"/>
  <c r="J348"/>
  <c r="H348"/>
  <c r="T347"/>
  <c r="V347" s="1"/>
  <c r="S347"/>
  <c r="R347"/>
  <c r="K347"/>
  <c r="U347" s="1"/>
  <c r="J347"/>
  <c r="H347"/>
  <c r="L347"/>
  <c r="R346"/>
  <c r="N346"/>
  <c r="L346"/>
  <c r="K346"/>
  <c r="U346" s="1"/>
  <c r="S346"/>
  <c r="T346" s="1"/>
  <c r="T345"/>
  <c r="S345"/>
  <c r="R345"/>
  <c r="L345"/>
  <c r="K345"/>
  <c r="U345" s="1"/>
  <c r="H345"/>
  <c r="J345" s="1"/>
  <c r="N345"/>
  <c r="S344"/>
  <c r="T344" s="1"/>
  <c r="V344" s="1"/>
  <c r="R344"/>
  <c r="K344"/>
  <c r="U344" s="1"/>
  <c r="H344"/>
  <c r="J344" s="1"/>
  <c r="N344"/>
  <c r="S343"/>
  <c r="T343" s="1"/>
  <c r="R343"/>
  <c r="N343"/>
  <c r="L343"/>
  <c r="K343"/>
  <c r="U343" s="1"/>
  <c r="H343"/>
  <c r="J343" s="1"/>
  <c r="T342"/>
  <c r="V342" s="1"/>
  <c r="S342"/>
  <c r="R342"/>
  <c r="K342"/>
  <c r="U342" s="1"/>
  <c r="H342"/>
  <c r="J342" s="1"/>
  <c r="L342"/>
  <c r="R341"/>
  <c r="Q341"/>
  <c r="K341"/>
  <c r="U341" s="1"/>
  <c r="S341"/>
  <c r="T341" s="1"/>
  <c r="V341" s="1"/>
  <c r="S340"/>
  <c r="T340" s="1"/>
  <c r="R340"/>
  <c r="N340"/>
  <c r="L340"/>
  <c r="K340"/>
  <c r="U340" s="1"/>
  <c r="J340"/>
  <c r="H340"/>
  <c r="S339"/>
  <c r="T339" s="1"/>
  <c r="V339" s="1"/>
  <c r="R339"/>
  <c r="K339"/>
  <c r="U339" s="1"/>
  <c r="J339"/>
  <c r="H339"/>
  <c r="L339"/>
  <c r="R338"/>
  <c r="N338"/>
  <c r="L338"/>
  <c r="K338"/>
  <c r="U338" s="1"/>
  <c r="S338"/>
  <c r="T338" s="1"/>
  <c r="S337"/>
  <c r="T337" s="1"/>
  <c r="R337"/>
  <c r="Q337"/>
  <c r="L337"/>
  <c r="K337"/>
  <c r="U337" s="1"/>
  <c r="J337"/>
  <c r="H337"/>
  <c r="N337"/>
  <c r="S336"/>
  <c r="T336" s="1"/>
  <c r="V336" s="1"/>
  <c r="R336"/>
  <c r="R357" s="1"/>
  <c r="K336"/>
  <c r="U336" s="1"/>
  <c r="H336"/>
  <c r="J336" s="1"/>
  <c r="N336"/>
  <c r="S335"/>
  <c r="T335" s="1"/>
  <c r="T357" s="1"/>
  <c r="R335"/>
  <c r="N335"/>
  <c r="L335"/>
  <c r="K335"/>
  <c r="U335" s="1"/>
  <c r="H335"/>
  <c r="J335" s="1"/>
  <c r="M321"/>
  <c r="I321"/>
  <c r="G321"/>
  <c r="F321"/>
  <c r="T320"/>
  <c r="S320"/>
  <c r="R320"/>
  <c r="N320"/>
  <c r="L320"/>
  <c r="K320"/>
  <c r="U320" s="1"/>
  <c r="V320" s="1"/>
  <c r="J320"/>
  <c r="H320"/>
  <c r="T319"/>
  <c r="V319" s="1"/>
  <c r="S319"/>
  <c r="R319"/>
  <c r="K319"/>
  <c r="U319" s="1"/>
  <c r="J319"/>
  <c r="H319"/>
  <c r="T318"/>
  <c r="S318"/>
  <c r="R318"/>
  <c r="N318"/>
  <c r="L318"/>
  <c r="K318"/>
  <c r="U318" s="1"/>
  <c r="V318" s="1"/>
  <c r="J318"/>
  <c r="H318"/>
  <c r="S317"/>
  <c r="T317" s="1"/>
  <c r="R317"/>
  <c r="L317"/>
  <c r="K317"/>
  <c r="U317" s="1"/>
  <c r="J317"/>
  <c r="H317"/>
  <c r="N317"/>
  <c r="S316"/>
  <c r="T316" s="1"/>
  <c r="R316"/>
  <c r="K316"/>
  <c r="U316" s="1"/>
  <c r="H316"/>
  <c r="J316" s="1"/>
  <c r="L316"/>
  <c r="S315"/>
  <c r="T315" s="1"/>
  <c r="R315"/>
  <c r="N315"/>
  <c r="L315"/>
  <c r="K315"/>
  <c r="U315" s="1"/>
  <c r="H315"/>
  <c r="J315" s="1"/>
  <c r="S314"/>
  <c r="T314" s="1"/>
  <c r="R314"/>
  <c r="Q314"/>
  <c r="K314"/>
  <c r="U314" s="1"/>
  <c r="J314"/>
  <c r="H314"/>
  <c r="L314"/>
  <c r="R313"/>
  <c r="K313"/>
  <c r="U313" s="1"/>
  <c r="S313"/>
  <c r="T313" s="1"/>
  <c r="T312"/>
  <c r="S312"/>
  <c r="R312"/>
  <c r="N312"/>
  <c r="L312"/>
  <c r="K312"/>
  <c r="U312" s="1"/>
  <c r="V312" s="1"/>
  <c r="J312"/>
  <c r="H312"/>
  <c r="P312"/>
  <c r="S311"/>
  <c r="T311" s="1"/>
  <c r="R311"/>
  <c r="K311"/>
  <c r="U311" s="1"/>
  <c r="J311"/>
  <c r="H311"/>
  <c r="L311"/>
  <c r="S310"/>
  <c r="T310" s="1"/>
  <c r="R310"/>
  <c r="N310"/>
  <c r="L310"/>
  <c r="K310"/>
  <c r="U310" s="1"/>
  <c r="H310"/>
  <c r="J310" s="1"/>
  <c r="S309"/>
  <c r="T309" s="1"/>
  <c r="R309"/>
  <c r="L309"/>
  <c r="K309"/>
  <c r="U309" s="1"/>
  <c r="H309"/>
  <c r="J309" s="1"/>
  <c r="N309"/>
  <c r="S308"/>
  <c r="T308" s="1"/>
  <c r="V308" s="1"/>
  <c r="R308"/>
  <c r="K308"/>
  <c r="U308" s="1"/>
  <c r="H308"/>
  <c r="J308" s="1"/>
  <c r="N308"/>
  <c r="S307"/>
  <c r="T307" s="1"/>
  <c r="R307"/>
  <c r="N307"/>
  <c r="L307"/>
  <c r="K307"/>
  <c r="U307" s="1"/>
  <c r="H307"/>
  <c r="J307" s="1"/>
  <c r="T306"/>
  <c r="V306" s="1"/>
  <c r="S306"/>
  <c r="R306"/>
  <c r="K306"/>
  <c r="U306" s="1"/>
  <c r="H306"/>
  <c r="J306" s="1"/>
  <c r="L306"/>
  <c r="R305"/>
  <c r="K305"/>
  <c r="U305" s="1"/>
  <c r="S305"/>
  <c r="T305" s="1"/>
  <c r="V305" s="1"/>
  <c r="T304"/>
  <c r="S304"/>
  <c r="R304"/>
  <c r="N304"/>
  <c r="L304"/>
  <c r="K304"/>
  <c r="U304" s="1"/>
  <c r="V304" s="1"/>
  <c r="J304"/>
  <c r="H304"/>
  <c r="S303"/>
  <c r="T303" s="1"/>
  <c r="V303" s="1"/>
  <c r="R303"/>
  <c r="K303"/>
  <c r="U303" s="1"/>
  <c r="J303"/>
  <c r="H303"/>
  <c r="L303"/>
  <c r="S302"/>
  <c r="T302" s="1"/>
  <c r="R302"/>
  <c r="N302"/>
  <c r="L302"/>
  <c r="K302"/>
  <c r="U302" s="1"/>
  <c r="H302"/>
  <c r="J302" s="1"/>
  <c r="T301"/>
  <c r="S301"/>
  <c r="R301"/>
  <c r="L301"/>
  <c r="K301"/>
  <c r="U301" s="1"/>
  <c r="H301"/>
  <c r="J301" s="1"/>
  <c r="N301"/>
  <c r="S300"/>
  <c r="T300" s="1"/>
  <c r="V300" s="1"/>
  <c r="R300"/>
  <c r="R321" s="1"/>
  <c r="K300"/>
  <c r="U300" s="1"/>
  <c r="H300"/>
  <c r="J300" s="1"/>
  <c r="N300"/>
  <c r="S299"/>
  <c r="T299" s="1"/>
  <c r="R299"/>
  <c r="N299"/>
  <c r="L299"/>
  <c r="K299"/>
  <c r="K321" s="1"/>
  <c r="H299"/>
  <c r="M284"/>
  <c r="I284"/>
  <c r="G284"/>
  <c r="F284"/>
  <c r="S283"/>
  <c r="T283" s="1"/>
  <c r="R283"/>
  <c r="N283"/>
  <c r="L283"/>
  <c r="K283"/>
  <c r="U283" s="1"/>
  <c r="H283"/>
  <c r="J283" s="1"/>
  <c r="T282"/>
  <c r="V282" s="1"/>
  <c r="S282"/>
  <c r="R282"/>
  <c r="K282"/>
  <c r="U282" s="1"/>
  <c r="H282"/>
  <c r="J282" s="1"/>
  <c r="N282"/>
  <c r="T281"/>
  <c r="S281"/>
  <c r="R281"/>
  <c r="N281"/>
  <c r="L281"/>
  <c r="K281"/>
  <c r="U281" s="1"/>
  <c r="V281" s="1"/>
  <c r="J281"/>
  <c r="H281"/>
  <c r="T280"/>
  <c r="S280"/>
  <c r="R280"/>
  <c r="L280"/>
  <c r="K280"/>
  <c r="U280" s="1"/>
  <c r="V280" s="1"/>
  <c r="J280"/>
  <c r="H280"/>
  <c r="N280"/>
  <c r="S279"/>
  <c r="T279" s="1"/>
  <c r="R279"/>
  <c r="K279"/>
  <c r="U279" s="1"/>
  <c r="H279"/>
  <c r="J279" s="1"/>
  <c r="N279"/>
  <c r="T278"/>
  <c r="S278"/>
  <c r="R278"/>
  <c r="N278"/>
  <c r="L278"/>
  <c r="K278"/>
  <c r="U278" s="1"/>
  <c r="V278" s="1"/>
  <c r="J278"/>
  <c r="H278"/>
  <c r="T277"/>
  <c r="S277"/>
  <c r="R277"/>
  <c r="K277"/>
  <c r="U277" s="1"/>
  <c r="J277"/>
  <c r="H277"/>
  <c r="L277"/>
  <c r="R276"/>
  <c r="K276"/>
  <c r="U276" s="1"/>
  <c r="S276"/>
  <c r="T276" s="1"/>
  <c r="T275"/>
  <c r="S275"/>
  <c r="R275"/>
  <c r="N275"/>
  <c r="L275"/>
  <c r="K275"/>
  <c r="U275" s="1"/>
  <c r="H275"/>
  <c r="J275" s="1"/>
  <c r="T274"/>
  <c r="S274"/>
  <c r="R274"/>
  <c r="K274"/>
  <c r="U274" s="1"/>
  <c r="H274"/>
  <c r="J274" s="1"/>
  <c r="N274"/>
  <c r="T273"/>
  <c r="S273"/>
  <c r="R273"/>
  <c r="N273"/>
  <c r="L273"/>
  <c r="K273"/>
  <c r="U273" s="1"/>
  <c r="V273" s="1"/>
  <c r="J273"/>
  <c r="H273"/>
  <c r="T272"/>
  <c r="S272"/>
  <c r="R272"/>
  <c r="L272"/>
  <c r="K272"/>
  <c r="U272" s="1"/>
  <c r="V272" s="1"/>
  <c r="J272"/>
  <c r="H272"/>
  <c r="N272"/>
  <c r="S271"/>
  <c r="T271" s="1"/>
  <c r="V271" s="1"/>
  <c r="R271"/>
  <c r="K271"/>
  <c r="U271" s="1"/>
  <c r="H271"/>
  <c r="J271" s="1"/>
  <c r="L271"/>
  <c r="T270"/>
  <c r="S270"/>
  <c r="R270"/>
  <c r="N270"/>
  <c r="L270"/>
  <c r="K270"/>
  <c r="U270" s="1"/>
  <c r="V270" s="1"/>
  <c r="J270"/>
  <c r="H270"/>
  <c r="T269"/>
  <c r="V269" s="1"/>
  <c r="S269"/>
  <c r="R269"/>
  <c r="K269"/>
  <c r="U269" s="1"/>
  <c r="J269"/>
  <c r="H269"/>
  <c r="L269"/>
  <c r="R268"/>
  <c r="K268"/>
  <c r="U268" s="1"/>
  <c r="S268"/>
  <c r="T268" s="1"/>
  <c r="V268" s="1"/>
  <c r="T267"/>
  <c r="S267"/>
  <c r="R267"/>
  <c r="N267"/>
  <c r="L267"/>
  <c r="K267"/>
  <c r="U267" s="1"/>
  <c r="J267"/>
  <c r="H267"/>
  <c r="T266"/>
  <c r="V266" s="1"/>
  <c r="S266"/>
  <c r="R266"/>
  <c r="K266"/>
  <c r="U266" s="1"/>
  <c r="J266"/>
  <c r="H266"/>
  <c r="N266"/>
  <c r="T265"/>
  <c r="S265"/>
  <c r="R265"/>
  <c r="N265"/>
  <c r="L265"/>
  <c r="K265"/>
  <c r="U265" s="1"/>
  <c r="V265" s="1"/>
  <c r="J265"/>
  <c r="H265"/>
  <c r="T264"/>
  <c r="S264"/>
  <c r="R264"/>
  <c r="L264"/>
  <c r="K264"/>
  <c r="U264" s="1"/>
  <c r="V264" s="1"/>
  <c r="J264"/>
  <c r="H264"/>
  <c r="N264"/>
  <c r="S263"/>
  <c r="T263" s="1"/>
  <c r="V263" s="1"/>
  <c r="R263"/>
  <c r="R284" s="1"/>
  <c r="K263"/>
  <c r="U263" s="1"/>
  <c r="H263"/>
  <c r="J263" s="1"/>
  <c r="N263"/>
  <c r="T262"/>
  <c r="T284" s="1"/>
  <c r="S262"/>
  <c r="R262"/>
  <c r="N262"/>
  <c r="L262"/>
  <c r="K262"/>
  <c r="U262" s="1"/>
  <c r="J262"/>
  <c r="H262"/>
  <c r="M246"/>
  <c r="I246"/>
  <c r="G246"/>
  <c r="F246"/>
  <c r="T245"/>
  <c r="S245"/>
  <c r="R245"/>
  <c r="N245"/>
  <c r="L245"/>
  <c r="K245"/>
  <c r="U245" s="1"/>
  <c r="V245" s="1"/>
  <c r="J245"/>
  <c r="H245"/>
  <c r="S244"/>
  <c r="T244" s="1"/>
  <c r="V244" s="1"/>
  <c r="R244"/>
  <c r="K244"/>
  <c r="U244" s="1"/>
  <c r="J244"/>
  <c r="H244"/>
  <c r="L244"/>
  <c r="S243"/>
  <c r="T243" s="1"/>
  <c r="R243"/>
  <c r="Q243"/>
  <c r="N243"/>
  <c r="L243"/>
  <c r="K243"/>
  <c r="U243" s="1"/>
  <c r="H243"/>
  <c r="J243" s="1"/>
  <c r="T242"/>
  <c r="S242"/>
  <c r="R242"/>
  <c r="Q242"/>
  <c r="L242"/>
  <c r="K242"/>
  <c r="U242" s="1"/>
  <c r="H242"/>
  <c r="J242" s="1"/>
  <c r="N242"/>
  <c r="S241"/>
  <c r="T241" s="1"/>
  <c r="R241"/>
  <c r="K241"/>
  <c r="U241" s="1"/>
  <c r="H241"/>
  <c r="J241" s="1"/>
  <c r="S240"/>
  <c r="T240" s="1"/>
  <c r="R240"/>
  <c r="N240"/>
  <c r="L240"/>
  <c r="K240"/>
  <c r="U240" s="1"/>
  <c r="H240"/>
  <c r="J240" s="1"/>
  <c r="T239"/>
  <c r="S239"/>
  <c r="R239"/>
  <c r="K239"/>
  <c r="U239" s="1"/>
  <c r="H239"/>
  <c r="J239" s="1"/>
  <c r="L239"/>
  <c r="R238"/>
  <c r="K238"/>
  <c r="U238" s="1"/>
  <c r="S238"/>
  <c r="T238" s="1"/>
  <c r="T237"/>
  <c r="S237"/>
  <c r="R237"/>
  <c r="N237"/>
  <c r="L237"/>
  <c r="K237"/>
  <c r="U237" s="1"/>
  <c r="V237" s="1"/>
  <c r="J237"/>
  <c r="H237"/>
  <c r="S236"/>
  <c r="T236" s="1"/>
  <c r="R236"/>
  <c r="K236"/>
  <c r="U236" s="1"/>
  <c r="J236"/>
  <c r="H236"/>
  <c r="N236"/>
  <c r="S235"/>
  <c r="T235" s="1"/>
  <c r="R235"/>
  <c r="N235"/>
  <c r="L235"/>
  <c r="K235"/>
  <c r="U235" s="1"/>
  <c r="H235"/>
  <c r="J235" s="1"/>
  <c r="T234"/>
  <c r="S234"/>
  <c r="R234"/>
  <c r="L234"/>
  <c r="K234"/>
  <c r="U234" s="1"/>
  <c r="H234"/>
  <c r="J234" s="1"/>
  <c r="N234"/>
  <c r="S233"/>
  <c r="T233" s="1"/>
  <c r="V233" s="1"/>
  <c r="R233"/>
  <c r="K233"/>
  <c r="U233" s="1"/>
  <c r="H233"/>
  <c r="J233" s="1"/>
  <c r="N233"/>
  <c r="T232"/>
  <c r="S232"/>
  <c r="R232"/>
  <c r="N232"/>
  <c r="L232"/>
  <c r="K232"/>
  <c r="U232" s="1"/>
  <c r="J232"/>
  <c r="H232"/>
  <c r="T231"/>
  <c r="V231" s="1"/>
  <c r="S231"/>
  <c r="R231"/>
  <c r="K231"/>
  <c r="U231" s="1"/>
  <c r="H231"/>
  <c r="J231" s="1"/>
  <c r="L231"/>
  <c r="R230"/>
  <c r="K230"/>
  <c r="U230" s="1"/>
  <c r="S230"/>
  <c r="T230" s="1"/>
  <c r="V230" s="1"/>
  <c r="S229"/>
  <c r="T229" s="1"/>
  <c r="R229"/>
  <c r="N229"/>
  <c r="L229"/>
  <c r="K229"/>
  <c r="U229" s="1"/>
  <c r="J229"/>
  <c r="H229"/>
  <c r="T228"/>
  <c r="V228" s="1"/>
  <c r="S228"/>
  <c r="R228"/>
  <c r="K228"/>
  <c r="U228" s="1"/>
  <c r="J228"/>
  <c r="H228"/>
  <c r="N228"/>
  <c r="T227"/>
  <c r="S227"/>
  <c r="R227"/>
  <c r="N227"/>
  <c r="L227"/>
  <c r="K227"/>
  <c r="U227" s="1"/>
  <c r="J227"/>
  <c r="H227"/>
  <c r="T226"/>
  <c r="S226"/>
  <c r="R226"/>
  <c r="L226"/>
  <c r="K226"/>
  <c r="U226" s="1"/>
  <c r="J226"/>
  <c r="H226"/>
  <c r="N226"/>
  <c r="S225"/>
  <c r="T225" s="1"/>
  <c r="V225" s="1"/>
  <c r="R225"/>
  <c r="R246" s="1"/>
  <c r="K225"/>
  <c r="U225" s="1"/>
  <c r="H225"/>
  <c r="J225" s="1"/>
  <c r="L225"/>
  <c r="T224"/>
  <c r="S224"/>
  <c r="S246" s="1"/>
  <c r="R224"/>
  <c r="N224"/>
  <c r="L224"/>
  <c r="K224"/>
  <c r="K246" s="1"/>
  <c r="J224"/>
  <c r="H224"/>
  <c r="H7"/>
  <c r="H43"/>
  <c r="M70"/>
  <c r="I70"/>
  <c r="G70"/>
  <c r="R69"/>
  <c r="Q69"/>
  <c r="K69"/>
  <c r="U69" s="1"/>
  <c r="H69"/>
  <c r="J69" s="1"/>
  <c r="N69"/>
  <c r="R68"/>
  <c r="K68"/>
  <c r="U68" s="1"/>
  <c r="H68"/>
  <c r="J68" s="1"/>
  <c r="R67"/>
  <c r="K67"/>
  <c r="U67" s="1"/>
  <c r="S67"/>
  <c r="T67" s="1"/>
  <c r="R66"/>
  <c r="K66"/>
  <c r="U66" s="1"/>
  <c r="H66"/>
  <c r="J66" s="1"/>
  <c r="R65"/>
  <c r="K65"/>
  <c r="U65" s="1"/>
  <c r="S65"/>
  <c r="T65" s="1"/>
  <c r="R64"/>
  <c r="Q64"/>
  <c r="K64"/>
  <c r="U64" s="1"/>
  <c r="H64"/>
  <c r="J64" s="1"/>
  <c r="R63"/>
  <c r="K63"/>
  <c r="U63" s="1"/>
  <c r="R62"/>
  <c r="K62"/>
  <c r="U62" s="1"/>
  <c r="H62"/>
  <c r="J62" s="1"/>
  <c r="R61"/>
  <c r="Q61"/>
  <c r="N61"/>
  <c r="L61"/>
  <c r="K61"/>
  <c r="U61" s="1"/>
  <c r="H61"/>
  <c r="J61" s="1"/>
  <c r="R60"/>
  <c r="K60"/>
  <c r="U60" s="1"/>
  <c r="H60"/>
  <c r="J60" s="1"/>
  <c r="R59"/>
  <c r="K59"/>
  <c r="U59" s="1"/>
  <c r="S59"/>
  <c r="T59" s="1"/>
  <c r="R58"/>
  <c r="K58"/>
  <c r="U58" s="1"/>
  <c r="H58"/>
  <c r="J58" s="1"/>
  <c r="R57"/>
  <c r="K57"/>
  <c r="U57" s="1"/>
  <c r="S57"/>
  <c r="T57" s="1"/>
  <c r="R56"/>
  <c r="K56"/>
  <c r="U56" s="1"/>
  <c r="H56"/>
  <c r="J56" s="1"/>
  <c r="N56"/>
  <c r="R55"/>
  <c r="K55"/>
  <c r="U55" s="1"/>
  <c r="H55"/>
  <c r="J55" s="1"/>
  <c r="R54"/>
  <c r="L54"/>
  <c r="K54"/>
  <c r="U54" s="1"/>
  <c r="H54"/>
  <c r="J54" s="1"/>
  <c r="N54"/>
  <c r="S53"/>
  <c r="T53" s="1"/>
  <c r="R53"/>
  <c r="K53"/>
  <c r="U53" s="1"/>
  <c r="J53"/>
  <c r="H53"/>
  <c r="R52"/>
  <c r="K52"/>
  <c r="U52" s="1"/>
  <c r="H52"/>
  <c r="J52" s="1"/>
  <c r="R51"/>
  <c r="N51"/>
  <c r="K51"/>
  <c r="U51" s="1"/>
  <c r="S51"/>
  <c r="T51" s="1"/>
  <c r="R50"/>
  <c r="N50"/>
  <c r="K50"/>
  <c r="U50" s="1"/>
  <c r="H50"/>
  <c r="J50" s="1"/>
  <c r="R49"/>
  <c r="K49"/>
  <c r="U49" s="1"/>
  <c r="S49"/>
  <c r="T49" s="1"/>
  <c r="R48"/>
  <c r="K48"/>
  <c r="U48" s="1"/>
  <c r="R47"/>
  <c r="K47"/>
  <c r="U47" s="1"/>
  <c r="R46"/>
  <c r="N46"/>
  <c r="K46"/>
  <c r="U46" s="1"/>
  <c r="H46"/>
  <c r="J46" s="1"/>
  <c r="R45"/>
  <c r="K45"/>
  <c r="U45" s="1"/>
  <c r="S45"/>
  <c r="T45" s="1"/>
  <c r="S44"/>
  <c r="T44" s="1"/>
  <c r="R44"/>
  <c r="K44"/>
  <c r="U44" s="1"/>
  <c r="R43"/>
  <c r="P43"/>
  <c r="N43"/>
  <c r="K43"/>
  <c r="S43"/>
  <c r="E27" i="43"/>
  <c r="F27"/>
  <c r="G27"/>
  <c r="H27"/>
  <c r="I27"/>
  <c r="J27"/>
  <c r="U27"/>
  <c r="V27"/>
  <c r="K27"/>
  <c r="U25"/>
  <c r="V25"/>
  <c r="V20"/>
  <c r="V21"/>
  <c r="V22"/>
  <c r="V23"/>
  <c r="V24"/>
  <c r="U24"/>
  <c r="U23"/>
  <c r="U22"/>
  <c r="U21"/>
  <c r="U20"/>
  <c r="D73" i="45"/>
  <c r="X5"/>
  <c r="X6"/>
  <c r="X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34"/>
  <c r="X35"/>
  <c r="X36"/>
  <c r="X37"/>
  <c r="X38"/>
  <c r="X39"/>
  <c r="X40"/>
  <c r="X41"/>
  <c r="X42"/>
  <c r="X43"/>
  <c r="X44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64"/>
  <c r="X65"/>
  <c r="X66"/>
  <c r="X67"/>
  <c r="X68"/>
  <c r="X69"/>
  <c r="X70"/>
  <c r="X71"/>
  <c r="E73"/>
  <c r="F73"/>
  <c r="G73"/>
  <c r="H73"/>
  <c r="I73"/>
  <c r="J73"/>
  <c r="K73"/>
  <c r="L73"/>
  <c r="M73"/>
  <c r="N73"/>
  <c r="O73"/>
  <c r="P73"/>
  <c r="Q73"/>
  <c r="R73"/>
  <c r="S73"/>
  <c r="T73"/>
  <c r="U73"/>
  <c r="V73"/>
  <c r="W73"/>
  <c r="J72"/>
  <c r="K72"/>
  <c r="L72"/>
  <c r="M72"/>
  <c r="N72"/>
  <c r="O72"/>
  <c r="P72"/>
  <c r="Q72"/>
  <c r="R72"/>
  <c r="S72"/>
  <c r="T72"/>
  <c r="U72"/>
  <c r="V72"/>
  <c r="W72"/>
  <c r="E72"/>
  <c r="F72"/>
  <c r="G72"/>
  <c r="H72"/>
  <c r="I72"/>
  <c r="D72"/>
  <c r="P393" i="52" l="1"/>
  <c r="P391"/>
  <c r="Q388"/>
  <c r="P385"/>
  <c r="Q383"/>
  <c r="P377"/>
  <c r="Q376"/>
  <c r="O394"/>
  <c r="L41" i="53" s="1"/>
  <c r="Q41" s="1"/>
  <c r="P373" i="52"/>
  <c r="Q372"/>
  <c r="Q310"/>
  <c r="P270"/>
  <c r="Q278"/>
  <c r="P356"/>
  <c r="P354"/>
  <c r="Q351"/>
  <c r="P348"/>
  <c r="P346"/>
  <c r="Q343"/>
  <c r="Q340"/>
  <c r="Q338"/>
  <c r="Q335"/>
  <c r="O357"/>
  <c r="L40" i="53" s="1"/>
  <c r="Q40" s="1"/>
  <c r="P320" i="52"/>
  <c r="Q319"/>
  <c r="Q318"/>
  <c r="Q315"/>
  <c r="Q307"/>
  <c r="P304"/>
  <c r="Q302"/>
  <c r="O321"/>
  <c r="L39" i="53" s="1"/>
  <c r="Q39" s="1"/>
  <c r="P267" i="52"/>
  <c r="P275"/>
  <c r="Q299"/>
  <c r="P299"/>
  <c r="P283"/>
  <c r="Q281"/>
  <c r="Q273"/>
  <c r="P265"/>
  <c r="O284"/>
  <c r="L38" i="53" s="1"/>
  <c r="Q38" s="1"/>
  <c r="P262" i="52"/>
  <c r="Q262"/>
  <c r="P227"/>
  <c r="P245"/>
  <c r="U176" i="42"/>
  <c r="U175"/>
  <c r="U174"/>
  <c r="U173"/>
  <c r="Q241" i="52"/>
  <c r="U172" i="42"/>
  <c r="Q240" i="52"/>
  <c r="U171" i="42"/>
  <c r="U170"/>
  <c r="U169"/>
  <c r="U168"/>
  <c r="P237" i="52"/>
  <c r="U167" i="42"/>
  <c r="U166"/>
  <c r="Q235" i="52"/>
  <c r="U165" i="42"/>
  <c r="U164"/>
  <c r="Q232" i="52"/>
  <c r="U163" i="42"/>
  <c r="U162"/>
  <c r="U161"/>
  <c r="P229" i="52"/>
  <c r="U160" i="42"/>
  <c r="U159"/>
  <c r="U158"/>
  <c r="U157"/>
  <c r="U156"/>
  <c r="Q224" i="52"/>
  <c r="O246"/>
  <c r="L37" i="53" s="1"/>
  <c r="Q37" s="1"/>
  <c r="U155" i="42"/>
  <c r="U33"/>
  <c r="U32"/>
  <c r="U31"/>
  <c r="U30"/>
  <c r="U29"/>
  <c r="U28"/>
  <c r="U27"/>
  <c r="U26"/>
  <c r="U25"/>
  <c r="U24"/>
  <c r="U23"/>
  <c r="U22"/>
  <c r="U21"/>
  <c r="U20"/>
  <c r="U19"/>
  <c r="U18"/>
  <c r="U17"/>
  <c r="U16"/>
  <c r="U15"/>
  <c r="U14"/>
  <c r="U13"/>
  <c r="U12"/>
  <c r="U11"/>
  <c r="Q46" i="52"/>
  <c r="Q70" s="1"/>
  <c r="N32" i="53" s="1"/>
  <c r="U10" i="42"/>
  <c r="U9"/>
  <c r="O70" i="52"/>
  <c r="L32" i="53" s="1"/>
  <c r="Q32" s="1"/>
  <c r="U8" i="42"/>
  <c r="U7"/>
  <c r="S42" i="53"/>
  <c r="T394" i="52"/>
  <c r="V390"/>
  <c r="V393"/>
  <c r="V382"/>
  <c r="H394"/>
  <c r="V388"/>
  <c r="S357"/>
  <c r="V337"/>
  <c r="V340"/>
  <c r="V345"/>
  <c r="V348"/>
  <c r="V343"/>
  <c r="V353"/>
  <c r="V356"/>
  <c r="T321"/>
  <c r="V317"/>
  <c r="S321"/>
  <c r="V309"/>
  <c r="V310"/>
  <c r="V315"/>
  <c r="V301"/>
  <c r="V302"/>
  <c r="V307"/>
  <c r="J299"/>
  <c r="N284"/>
  <c r="J284"/>
  <c r="V275"/>
  <c r="S284"/>
  <c r="V283"/>
  <c r="V267"/>
  <c r="T246"/>
  <c r="V242"/>
  <c r="V229"/>
  <c r="V243"/>
  <c r="V234"/>
  <c r="V235"/>
  <c r="V240"/>
  <c r="V226"/>
  <c r="V227"/>
  <c r="V232"/>
  <c r="V378"/>
  <c r="V375"/>
  <c r="V386"/>
  <c r="V383"/>
  <c r="P386"/>
  <c r="N378"/>
  <c r="P389"/>
  <c r="N373"/>
  <c r="L378"/>
  <c r="N381"/>
  <c r="L386"/>
  <c r="P392"/>
  <c r="L373"/>
  <c r="L394" s="1"/>
  <c r="N376"/>
  <c r="P379"/>
  <c r="P387"/>
  <c r="L389"/>
  <c r="P374"/>
  <c r="H375"/>
  <c r="J375" s="1"/>
  <c r="J394" s="1"/>
  <c r="L376"/>
  <c r="N379"/>
  <c r="N394" s="1"/>
  <c r="P382"/>
  <c r="H383"/>
  <c r="J383" s="1"/>
  <c r="L384"/>
  <c r="N387"/>
  <c r="P390"/>
  <c r="H391"/>
  <c r="J391" s="1"/>
  <c r="L392"/>
  <c r="P378"/>
  <c r="U372"/>
  <c r="P381"/>
  <c r="N386"/>
  <c r="P384"/>
  <c r="H378"/>
  <c r="J378" s="1"/>
  <c r="H386"/>
  <c r="J386" s="1"/>
  <c r="V352"/>
  <c r="V335"/>
  <c r="U357"/>
  <c r="V338"/>
  <c r="V349"/>
  <c r="V346"/>
  <c r="P349"/>
  <c r="P336"/>
  <c r="N341"/>
  <c r="P352"/>
  <c r="K357"/>
  <c r="P339"/>
  <c r="L341"/>
  <c r="P347"/>
  <c r="N352"/>
  <c r="N357" s="1"/>
  <c r="P355"/>
  <c r="L336"/>
  <c r="L357" s="1"/>
  <c r="N339"/>
  <c r="L344"/>
  <c r="N347"/>
  <c r="P350"/>
  <c r="N355"/>
  <c r="P337"/>
  <c r="H338"/>
  <c r="J338" s="1"/>
  <c r="N342"/>
  <c r="P345"/>
  <c r="H346"/>
  <c r="J346" s="1"/>
  <c r="N350"/>
  <c r="P353"/>
  <c r="H354"/>
  <c r="J354" s="1"/>
  <c r="P341"/>
  <c r="P344"/>
  <c r="N349"/>
  <c r="L349"/>
  <c r="P342"/>
  <c r="H341"/>
  <c r="J341" s="1"/>
  <c r="H349"/>
  <c r="J349" s="1"/>
  <c r="J357" s="1"/>
  <c r="V313"/>
  <c r="V311"/>
  <c r="V316"/>
  <c r="V314"/>
  <c r="P313"/>
  <c r="P300"/>
  <c r="N305"/>
  <c r="P308"/>
  <c r="P316"/>
  <c r="P303"/>
  <c r="P311"/>
  <c r="L313"/>
  <c r="N316"/>
  <c r="L300"/>
  <c r="N303"/>
  <c r="P306"/>
  <c r="L308"/>
  <c r="L321" s="1"/>
  <c r="N311"/>
  <c r="N321" s="1"/>
  <c r="P314"/>
  <c r="N319"/>
  <c r="P301"/>
  <c r="N306"/>
  <c r="P309"/>
  <c r="N314"/>
  <c r="P317"/>
  <c r="L319"/>
  <c r="P305"/>
  <c r="U299"/>
  <c r="N313"/>
  <c r="L305"/>
  <c r="H305"/>
  <c r="J305" s="1"/>
  <c r="H313"/>
  <c r="J313" s="1"/>
  <c r="V262"/>
  <c r="U284"/>
  <c r="V276"/>
  <c r="V274"/>
  <c r="V279"/>
  <c r="V277"/>
  <c r="P268"/>
  <c r="P276"/>
  <c r="P263"/>
  <c r="N268"/>
  <c r="P271"/>
  <c r="N276"/>
  <c r="K284"/>
  <c r="P266"/>
  <c r="L268"/>
  <c r="L284" s="1"/>
  <c r="N271"/>
  <c r="L276"/>
  <c r="P282"/>
  <c r="L263"/>
  <c r="P269"/>
  <c r="P277"/>
  <c r="L279"/>
  <c r="P264"/>
  <c r="L266"/>
  <c r="N269"/>
  <c r="P272"/>
  <c r="L274"/>
  <c r="N277"/>
  <c r="P280"/>
  <c r="L282"/>
  <c r="P279"/>
  <c r="P274"/>
  <c r="H268"/>
  <c r="J268" s="1"/>
  <c r="H276"/>
  <c r="J276" s="1"/>
  <c r="V238"/>
  <c r="V236"/>
  <c r="V241"/>
  <c r="V239"/>
  <c r="P238"/>
  <c r="U224"/>
  <c r="P225"/>
  <c r="N230"/>
  <c r="P233"/>
  <c r="N238"/>
  <c r="N225"/>
  <c r="L230"/>
  <c r="P236"/>
  <c r="N241"/>
  <c r="P244"/>
  <c r="P231"/>
  <c r="L233"/>
  <c r="L246" s="1"/>
  <c r="P239"/>
  <c r="L241"/>
  <c r="N244"/>
  <c r="P226"/>
  <c r="L228"/>
  <c r="N231"/>
  <c r="P234"/>
  <c r="L236"/>
  <c r="N239"/>
  <c r="P242"/>
  <c r="P230"/>
  <c r="P228"/>
  <c r="L238"/>
  <c r="H230"/>
  <c r="J230" s="1"/>
  <c r="J246" s="1"/>
  <c r="H238"/>
  <c r="J238" s="1"/>
  <c r="L52"/>
  <c r="L64"/>
  <c r="K70"/>
  <c r="L48"/>
  <c r="L66"/>
  <c r="L53"/>
  <c r="V65"/>
  <c r="L51"/>
  <c r="L63"/>
  <c r="L44"/>
  <c r="R70"/>
  <c r="V44"/>
  <c r="L46"/>
  <c r="L50"/>
  <c r="L55"/>
  <c r="L60"/>
  <c r="L47"/>
  <c r="L62"/>
  <c r="L43"/>
  <c r="L58"/>
  <c r="L68"/>
  <c r="N45"/>
  <c r="L45"/>
  <c r="P53"/>
  <c r="V45"/>
  <c r="H47"/>
  <c r="J47" s="1"/>
  <c r="N53"/>
  <c r="S56"/>
  <c r="T56" s="1"/>
  <c r="V56" s="1"/>
  <c r="P45"/>
  <c r="S48"/>
  <c r="T48" s="1"/>
  <c r="V48" s="1"/>
  <c r="S69"/>
  <c r="T69" s="1"/>
  <c r="V69" s="1"/>
  <c r="S64"/>
  <c r="T64" s="1"/>
  <c r="V64" s="1"/>
  <c r="L69"/>
  <c r="H45"/>
  <c r="J45" s="1"/>
  <c r="H48"/>
  <c r="J48" s="1"/>
  <c r="V53"/>
  <c r="L59"/>
  <c r="S61"/>
  <c r="T61" s="1"/>
  <c r="V61" s="1"/>
  <c r="H63"/>
  <c r="J63" s="1"/>
  <c r="H44"/>
  <c r="J44" s="1"/>
  <c r="S62"/>
  <c r="T62" s="1"/>
  <c r="V62" s="1"/>
  <c r="S54"/>
  <c r="T54" s="1"/>
  <c r="V54" s="1"/>
  <c r="P64"/>
  <c r="P56"/>
  <c r="N64"/>
  <c r="S47"/>
  <c r="T47" s="1"/>
  <c r="V47" s="1"/>
  <c r="P62"/>
  <c r="P67"/>
  <c r="N48"/>
  <c r="P54"/>
  <c r="L56"/>
  <c r="P59"/>
  <c r="S60"/>
  <c r="T60" s="1"/>
  <c r="V60" s="1"/>
  <c r="N62"/>
  <c r="N66"/>
  <c r="N67"/>
  <c r="P69"/>
  <c r="S63"/>
  <c r="T63" s="1"/>
  <c r="V63" s="1"/>
  <c r="S66"/>
  <c r="T66" s="1"/>
  <c r="V66" s="1"/>
  <c r="S46"/>
  <c r="T46" s="1"/>
  <c r="V46" s="1"/>
  <c r="S55"/>
  <c r="T55" s="1"/>
  <c r="V55" s="1"/>
  <c r="S58"/>
  <c r="T58" s="1"/>
  <c r="V58" s="1"/>
  <c r="P48"/>
  <c r="S50"/>
  <c r="T50" s="1"/>
  <c r="V50" s="1"/>
  <c r="S68"/>
  <c r="T68" s="1"/>
  <c r="V68" s="1"/>
  <c r="P51"/>
  <c r="S52"/>
  <c r="T52" s="1"/>
  <c r="V52" s="1"/>
  <c r="N58"/>
  <c r="N59"/>
  <c r="L67"/>
  <c r="T43"/>
  <c r="V49"/>
  <c r="V67"/>
  <c r="V59"/>
  <c r="V57"/>
  <c r="V51"/>
  <c r="F70"/>
  <c r="P57"/>
  <c r="P65"/>
  <c r="U43"/>
  <c r="U70" s="1"/>
  <c r="P44"/>
  <c r="N49"/>
  <c r="P52"/>
  <c r="N57"/>
  <c r="P60"/>
  <c r="N65"/>
  <c r="P68"/>
  <c r="N44"/>
  <c r="P47"/>
  <c r="L49"/>
  <c r="N52"/>
  <c r="P55"/>
  <c r="L57"/>
  <c r="N60"/>
  <c r="P63"/>
  <c r="L65"/>
  <c r="N68"/>
  <c r="N47"/>
  <c r="P50"/>
  <c r="H51"/>
  <c r="J51" s="1"/>
  <c r="N55"/>
  <c r="P58"/>
  <c r="H59"/>
  <c r="J59" s="1"/>
  <c r="N63"/>
  <c r="P66"/>
  <c r="H67"/>
  <c r="J67" s="1"/>
  <c r="P49"/>
  <c r="H49"/>
  <c r="J49" s="1"/>
  <c r="H57"/>
  <c r="J57" s="1"/>
  <c r="H65"/>
  <c r="J65" s="1"/>
  <c r="E122" i="48"/>
  <c r="E123" s="1"/>
  <c r="F122"/>
  <c r="G122"/>
  <c r="H122"/>
  <c r="I122"/>
  <c r="J122"/>
  <c r="K122"/>
  <c r="L122"/>
  <c r="M122"/>
  <c r="N122"/>
  <c r="O122"/>
  <c r="P122"/>
  <c r="Q122"/>
  <c r="R122"/>
  <c r="S122"/>
  <c r="T122"/>
  <c r="U122"/>
  <c r="U123" s="1"/>
  <c r="V122"/>
  <c r="W122"/>
  <c r="X122"/>
  <c r="Y122"/>
  <c r="D122"/>
  <c r="F104"/>
  <c r="F105" s="1"/>
  <c r="G104"/>
  <c r="H104"/>
  <c r="I104"/>
  <c r="J104"/>
  <c r="K104"/>
  <c r="L104"/>
  <c r="M104"/>
  <c r="N104"/>
  <c r="O104"/>
  <c r="P104"/>
  <c r="Q104"/>
  <c r="R104"/>
  <c r="S104"/>
  <c r="T104"/>
  <c r="U104"/>
  <c r="V104"/>
  <c r="W104"/>
  <c r="X104"/>
  <c r="Y104"/>
  <c r="E104"/>
  <c r="D104"/>
  <c r="D103"/>
  <c r="E121"/>
  <c r="F121"/>
  <c r="F123" s="1"/>
  <c r="G121"/>
  <c r="G123" s="1"/>
  <c r="H121"/>
  <c r="I121"/>
  <c r="J121"/>
  <c r="J123" s="1"/>
  <c r="K121"/>
  <c r="L121"/>
  <c r="M121"/>
  <c r="N121"/>
  <c r="N123" s="1"/>
  <c r="O121"/>
  <c r="P121"/>
  <c r="Q121"/>
  <c r="R121"/>
  <c r="S121"/>
  <c r="T121"/>
  <c r="U121"/>
  <c r="V121"/>
  <c r="W121"/>
  <c r="W123" s="1"/>
  <c r="X121"/>
  <c r="Y121"/>
  <c r="D121"/>
  <c r="O123"/>
  <c r="Z120"/>
  <c r="Z119"/>
  <c r="Z118"/>
  <c r="Z117"/>
  <c r="Z116"/>
  <c r="Z115"/>
  <c r="Z114"/>
  <c r="Z113"/>
  <c r="Z112"/>
  <c r="Z111"/>
  <c r="Z110"/>
  <c r="Z109"/>
  <c r="E103"/>
  <c r="F103"/>
  <c r="G103"/>
  <c r="G105" s="1"/>
  <c r="H103"/>
  <c r="I103"/>
  <c r="J103"/>
  <c r="K103"/>
  <c r="L103"/>
  <c r="M103"/>
  <c r="N103"/>
  <c r="O103"/>
  <c r="P103"/>
  <c r="Q103"/>
  <c r="R103"/>
  <c r="S103"/>
  <c r="T103"/>
  <c r="U103"/>
  <c r="V103"/>
  <c r="W103"/>
  <c r="X103"/>
  <c r="Y103"/>
  <c r="Z91"/>
  <c r="Z92"/>
  <c r="Z93"/>
  <c r="Z94"/>
  <c r="Z95"/>
  <c r="Z96"/>
  <c r="Z97"/>
  <c r="Z98"/>
  <c r="Z102"/>
  <c r="Z101"/>
  <c r="Z100"/>
  <c r="Z99"/>
  <c r="Z90"/>
  <c r="Z89"/>
  <c r="Z88"/>
  <c r="Z87"/>
  <c r="Z86"/>
  <c r="Z85"/>
  <c r="Z84"/>
  <c r="Z83"/>
  <c r="D78"/>
  <c r="E78"/>
  <c r="F78"/>
  <c r="G78"/>
  <c r="H78"/>
  <c r="I78"/>
  <c r="J78"/>
  <c r="K78"/>
  <c r="L78"/>
  <c r="M78"/>
  <c r="N78"/>
  <c r="O78"/>
  <c r="P78"/>
  <c r="Q78"/>
  <c r="R78"/>
  <c r="S78"/>
  <c r="T78"/>
  <c r="U78"/>
  <c r="V78"/>
  <c r="W78"/>
  <c r="X78"/>
  <c r="Y78"/>
  <c r="E77"/>
  <c r="E79" s="1"/>
  <c r="F77"/>
  <c r="F79" s="1"/>
  <c r="G77"/>
  <c r="H77"/>
  <c r="I77"/>
  <c r="J77"/>
  <c r="J79" s="1"/>
  <c r="K77"/>
  <c r="L77"/>
  <c r="M77"/>
  <c r="M79" s="1"/>
  <c r="N77"/>
  <c r="N79" s="1"/>
  <c r="O77"/>
  <c r="P77"/>
  <c r="Q77"/>
  <c r="R77"/>
  <c r="R79" s="1"/>
  <c r="S77"/>
  <c r="T77"/>
  <c r="U77"/>
  <c r="U79" s="1"/>
  <c r="V77"/>
  <c r="V79" s="1"/>
  <c r="W77"/>
  <c r="X77"/>
  <c r="Y77"/>
  <c r="D77"/>
  <c r="Z71"/>
  <c r="Z72"/>
  <c r="Z73"/>
  <c r="Z74"/>
  <c r="Z76"/>
  <c r="Z75"/>
  <c r="Z70"/>
  <c r="Z69"/>
  <c r="Z68"/>
  <c r="Z67"/>
  <c r="Z66"/>
  <c r="Z65"/>
  <c r="Z64"/>
  <c r="Z63"/>
  <c r="Z62"/>
  <c r="Z61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D56"/>
  <c r="E55"/>
  <c r="F55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D55"/>
  <c r="Q394" i="52" l="1"/>
  <c r="N41" i="53" s="1"/>
  <c r="P394" i="52"/>
  <c r="M41" i="53" s="1"/>
  <c r="Q357" i="52"/>
  <c r="N40" i="53" s="1"/>
  <c r="P357" i="52"/>
  <c r="M40" i="53" s="1"/>
  <c r="Q321" i="52"/>
  <c r="N39" i="53" s="1"/>
  <c r="P321" i="52"/>
  <c r="M39" i="53" s="1"/>
  <c r="Q284" i="52"/>
  <c r="N38" i="53" s="1"/>
  <c r="P284" i="52"/>
  <c r="M38" i="53" s="1"/>
  <c r="Q246" i="52"/>
  <c r="N37" i="53" s="1"/>
  <c r="P246" i="52"/>
  <c r="M37" i="53" s="1"/>
  <c r="H357" i="52"/>
  <c r="V357"/>
  <c r="H321"/>
  <c r="J321"/>
  <c r="V284"/>
  <c r="H284"/>
  <c r="H246"/>
  <c r="N246"/>
  <c r="V372"/>
  <c r="V394" s="1"/>
  <c r="U394"/>
  <c r="V299"/>
  <c r="V321" s="1"/>
  <c r="U321"/>
  <c r="V224"/>
  <c r="V246" s="1"/>
  <c r="U246"/>
  <c r="S70"/>
  <c r="L70"/>
  <c r="N70"/>
  <c r="P70"/>
  <c r="M32" i="53" s="1"/>
  <c r="H70" i="52"/>
  <c r="J43"/>
  <c r="J70" s="1"/>
  <c r="V43"/>
  <c r="V70" s="1"/>
  <c r="T70"/>
  <c r="V123" i="48"/>
  <c r="R123"/>
  <c r="Z122"/>
  <c r="Z121"/>
  <c r="M123"/>
  <c r="Z104"/>
  <c r="U105"/>
  <c r="M105"/>
  <c r="E105"/>
  <c r="H123"/>
  <c r="P123"/>
  <c r="X123"/>
  <c r="R105"/>
  <c r="I123"/>
  <c r="Y123"/>
  <c r="V105"/>
  <c r="W79"/>
  <c r="G79"/>
  <c r="Q123"/>
  <c r="H79"/>
  <c r="X105"/>
  <c r="P105"/>
  <c r="H105"/>
  <c r="D123"/>
  <c r="L123"/>
  <c r="T123"/>
  <c r="K123"/>
  <c r="S123"/>
  <c r="O105"/>
  <c r="N105"/>
  <c r="W105"/>
  <c r="Z103"/>
  <c r="J105"/>
  <c r="Y105"/>
  <c r="I105"/>
  <c r="Q105"/>
  <c r="D105"/>
  <c r="L105"/>
  <c r="T105"/>
  <c r="K105"/>
  <c r="S105"/>
  <c r="X79"/>
  <c r="P79"/>
  <c r="O79"/>
  <c r="Z78"/>
  <c r="Z77"/>
  <c r="T79"/>
  <c r="L79"/>
  <c r="D79"/>
  <c r="Q79"/>
  <c r="I79"/>
  <c r="Y79"/>
  <c r="K79"/>
  <c r="S79"/>
  <c r="R57"/>
  <c r="J57"/>
  <c r="X57"/>
  <c r="W57"/>
  <c r="V57"/>
  <c r="U57"/>
  <c r="T57"/>
  <c r="P57"/>
  <c r="O57"/>
  <c r="N57"/>
  <c r="M57"/>
  <c r="L57"/>
  <c r="H57"/>
  <c r="G57"/>
  <c r="F57"/>
  <c r="E57"/>
  <c r="D57"/>
  <c r="Z54"/>
  <c r="Z53"/>
  <c r="Z52"/>
  <c r="Z51"/>
  <c r="Z50"/>
  <c r="Z49"/>
  <c r="Z48"/>
  <c r="Z47"/>
  <c r="Z46"/>
  <c r="Z45"/>
  <c r="Z44"/>
  <c r="Z43"/>
  <c r="Z42"/>
  <c r="Z41"/>
  <c r="N35"/>
  <c r="E35"/>
  <c r="F35"/>
  <c r="G35"/>
  <c r="H35"/>
  <c r="H37" s="1"/>
  <c r="I35"/>
  <c r="J35"/>
  <c r="K35"/>
  <c r="L35"/>
  <c r="M35"/>
  <c r="O35"/>
  <c r="P35"/>
  <c r="Q35"/>
  <c r="R35"/>
  <c r="S35"/>
  <c r="T35"/>
  <c r="U35"/>
  <c r="V35"/>
  <c r="W35"/>
  <c r="X35"/>
  <c r="Y35"/>
  <c r="E36"/>
  <c r="F36"/>
  <c r="G36"/>
  <c r="H36"/>
  <c r="I36"/>
  <c r="J36"/>
  <c r="K36"/>
  <c r="L36"/>
  <c r="M36"/>
  <c r="N36"/>
  <c r="O36"/>
  <c r="P36"/>
  <c r="Q36"/>
  <c r="R36"/>
  <c r="S36"/>
  <c r="T36"/>
  <c r="U36"/>
  <c r="V36"/>
  <c r="W36"/>
  <c r="X36"/>
  <c r="Y36"/>
  <c r="D36"/>
  <c r="D35"/>
  <c r="Z21"/>
  <c r="Z22"/>
  <c r="Z23"/>
  <c r="Z24"/>
  <c r="Z25"/>
  <c r="Z26"/>
  <c r="Z27"/>
  <c r="Z34"/>
  <c r="Z33"/>
  <c r="Z32"/>
  <c r="Z31"/>
  <c r="Z30"/>
  <c r="Z29"/>
  <c r="Z28"/>
  <c r="Z20"/>
  <c r="Z19"/>
  <c r="S4" i="47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2" s="1"/>
  <c r="S3"/>
  <c r="R92"/>
  <c r="O165" i="52" s="1"/>
  <c r="U132" i="42" s="1"/>
  <c r="Q92" i="47"/>
  <c r="O164" i="52" s="1"/>
  <c r="U131" i="42" s="1"/>
  <c r="P92" i="47"/>
  <c r="O163" i="52" s="1"/>
  <c r="U130" i="42" s="1"/>
  <c r="O92" i="47"/>
  <c r="N92"/>
  <c r="M92"/>
  <c r="L92"/>
  <c r="K92"/>
  <c r="J92"/>
  <c r="I92"/>
  <c r="I93" s="1"/>
  <c r="H92"/>
  <c r="G92"/>
  <c r="F92"/>
  <c r="E92"/>
  <c r="H93"/>
  <c r="D92"/>
  <c r="E91"/>
  <c r="F91"/>
  <c r="G91"/>
  <c r="H91"/>
  <c r="I91"/>
  <c r="J91"/>
  <c r="K91"/>
  <c r="L91"/>
  <c r="M91"/>
  <c r="N91"/>
  <c r="O91"/>
  <c r="P91"/>
  <c r="Q91"/>
  <c r="R91"/>
  <c r="S91"/>
  <c r="D91"/>
  <c r="Y4" i="46"/>
  <c r="Y5"/>
  <c r="Y6"/>
  <c r="Y7"/>
  <c r="Y8"/>
  <c r="Y9"/>
  <c r="Y10"/>
  <c r="Y11"/>
  <c r="Y12"/>
  <c r="Y13"/>
  <c r="Y14"/>
  <c r="Y15"/>
  <c r="Y16"/>
  <c r="Y17"/>
  <c r="Y18"/>
  <c r="Y19"/>
  <c r="Y20"/>
  <c r="Y21"/>
  <c r="Y22"/>
  <c r="R21"/>
  <c r="E21"/>
  <c r="F21"/>
  <c r="G21"/>
  <c r="H21"/>
  <c r="I21"/>
  <c r="J21"/>
  <c r="K21"/>
  <c r="L21"/>
  <c r="M21"/>
  <c r="N21"/>
  <c r="O21"/>
  <c r="P21"/>
  <c r="Q21"/>
  <c r="S21"/>
  <c r="T21"/>
  <c r="U21"/>
  <c r="V21"/>
  <c r="W21"/>
  <c r="X21"/>
  <c r="D21"/>
  <c r="Z123" i="48" l="1"/>
  <c r="R37"/>
  <c r="Z105"/>
  <c r="Z79"/>
  <c r="Z56"/>
  <c r="Z55"/>
  <c r="I57"/>
  <c r="Q57"/>
  <c r="Y57"/>
  <c r="K57"/>
  <c r="Z57" s="1"/>
  <c r="S57"/>
  <c r="X37"/>
  <c r="P37"/>
  <c r="Z35"/>
  <c r="J37"/>
  <c r="Z36"/>
  <c r="W37"/>
  <c r="G37"/>
  <c r="O37"/>
  <c r="L37"/>
  <c r="T37"/>
  <c r="D37"/>
  <c r="I37"/>
  <c r="Q37"/>
  <c r="Y37"/>
  <c r="F37"/>
  <c r="N37"/>
  <c r="V37"/>
  <c r="E37"/>
  <c r="M37"/>
  <c r="U37"/>
  <c r="K37"/>
  <c r="S37"/>
  <c r="R93" i="47"/>
  <c r="Q93"/>
  <c r="P93"/>
  <c r="K93"/>
  <c r="E93"/>
  <c r="M93"/>
  <c r="J93"/>
  <c r="L93"/>
  <c r="F93"/>
  <c r="N93"/>
  <c r="G93"/>
  <c r="O93"/>
  <c r="D93"/>
  <c r="E32" i="44"/>
  <c r="F32"/>
  <c r="G32"/>
  <c r="G33" s="1"/>
  <c r="H32"/>
  <c r="I32"/>
  <c r="J32"/>
  <c r="K32"/>
  <c r="L32"/>
  <c r="M32"/>
  <c r="N32"/>
  <c r="O32"/>
  <c r="P32"/>
  <c r="Q32"/>
  <c r="R32"/>
  <c r="S32"/>
  <c r="T32"/>
  <c r="U32"/>
  <c r="V32"/>
  <c r="W32"/>
  <c r="X32"/>
  <c r="Y32"/>
  <c r="Z32"/>
  <c r="AA32"/>
  <c r="AB32"/>
  <c r="AC32"/>
  <c r="AD32"/>
  <c r="AE32"/>
  <c r="D32"/>
  <c r="E31"/>
  <c r="F31"/>
  <c r="G31"/>
  <c r="H31"/>
  <c r="H33" s="1"/>
  <c r="I31"/>
  <c r="I33" s="1"/>
  <c r="J31"/>
  <c r="K31"/>
  <c r="L31"/>
  <c r="M31"/>
  <c r="N31"/>
  <c r="O31"/>
  <c r="P31"/>
  <c r="Q31"/>
  <c r="Q33" s="1"/>
  <c r="R31"/>
  <c r="S31"/>
  <c r="T31"/>
  <c r="U31"/>
  <c r="V31"/>
  <c r="W31"/>
  <c r="X31"/>
  <c r="Y31"/>
  <c r="Z31"/>
  <c r="AA31"/>
  <c r="AB31"/>
  <c r="AC31"/>
  <c r="AD31"/>
  <c r="D31"/>
  <c r="Y33"/>
  <c r="X33"/>
  <c r="W33"/>
  <c r="AE30"/>
  <c r="AE29"/>
  <c r="AE28"/>
  <c r="AE27"/>
  <c r="AE26"/>
  <c r="AE25"/>
  <c r="AE24"/>
  <c r="AE23"/>
  <c r="E17"/>
  <c r="F17"/>
  <c r="G17"/>
  <c r="G18" s="1"/>
  <c r="H17"/>
  <c r="I17"/>
  <c r="J17"/>
  <c r="J18" s="1"/>
  <c r="K17"/>
  <c r="L17"/>
  <c r="M17"/>
  <c r="N17"/>
  <c r="O17"/>
  <c r="P17"/>
  <c r="Q17"/>
  <c r="R17"/>
  <c r="S17"/>
  <c r="T17"/>
  <c r="U17"/>
  <c r="V17"/>
  <c r="W17"/>
  <c r="W18" s="1"/>
  <c r="X17"/>
  <c r="X18" s="1"/>
  <c r="Y17"/>
  <c r="Z17"/>
  <c r="AA17"/>
  <c r="AB17"/>
  <c r="AC17"/>
  <c r="AD17"/>
  <c r="D17"/>
  <c r="E16"/>
  <c r="F16"/>
  <c r="G16"/>
  <c r="H16"/>
  <c r="I16"/>
  <c r="J16"/>
  <c r="K16"/>
  <c r="L16"/>
  <c r="L18" s="1"/>
  <c r="M16"/>
  <c r="M18" s="1"/>
  <c r="N16"/>
  <c r="O16"/>
  <c r="P16"/>
  <c r="Q16"/>
  <c r="R16"/>
  <c r="S16"/>
  <c r="T16"/>
  <c r="T18" s="1"/>
  <c r="U16"/>
  <c r="U18" s="1"/>
  <c r="V16"/>
  <c r="W16"/>
  <c r="X16"/>
  <c r="Y16"/>
  <c r="Z16"/>
  <c r="AA16"/>
  <c r="AB16"/>
  <c r="AB18" s="1"/>
  <c r="AC16"/>
  <c r="AC18" s="1"/>
  <c r="AD16"/>
  <c r="D16"/>
  <c r="Z37" i="48" l="1"/>
  <c r="S93" i="47"/>
  <c r="AE31" i="44"/>
  <c r="P33"/>
  <c r="O33"/>
  <c r="V18"/>
  <c r="D18"/>
  <c r="AD18"/>
  <c r="N18"/>
  <c r="O18"/>
  <c r="P18"/>
  <c r="Q18"/>
  <c r="R18"/>
  <c r="AD33"/>
  <c r="N33"/>
  <c r="H18"/>
  <c r="M33"/>
  <c r="Y18"/>
  <c r="I18"/>
  <c r="D33"/>
  <c r="T33"/>
  <c r="Z18"/>
  <c r="E18"/>
  <c r="K33"/>
  <c r="S33"/>
  <c r="AA33"/>
  <c r="F33"/>
  <c r="V33"/>
  <c r="E33"/>
  <c r="U33"/>
  <c r="AC33"/>
  <c r="L33"/>
  <c r="AB33"/>
  <c r="AA18"/>
  <c r="S18"/>
  <c r="K18"/>
  <c r="F18"/>
  <c r="J33"/>
  <c r="R33"/>
  <c r="Z33"/>
  <c r="O48" i="53"/>
  <c r="O47"/>
  <c r="I50"/>
  <c r="K50"/>
  <c r="K49"/>
  <c r="M49" s="1"/>
  <c r="K48"/>
  <c r="M48" s="1"/>
  <c r="K47"/>
  <c r="M47" s="1"/>
  <c r="E47"/>
  <c r="E49" s="1"/>
  <c r="P9" i="51"/>
  <c r="Q9"/>
  <c r="R9"/>
  <c r="P10"/>
  <c r="Q10"/>
  <c r="R10"/>
  <c r="P11"/>
  <c r="Q11"/>
  <c r="R11"/>
  <c r="P12"/>
  <c r="Q12"/>
  <c r="R12"/>
  <c r="P13"/>
  <c r="Q13"/>
  <c r="R13"/>
  <c r="P14"/>
  <c r="Q14"/>
  <c r="R14"/>
  <c r="R8"/>
  <c r="Q8"/>
  <c r="P8"/>
  <c r="M9"/>
  <c r="M15" s="1"/>
  <c r="M10"/>
  <c r="M11"/>
  <c r="O11" s="1"/>
  <c r="M12"/>
  <c r="M13"/>
  <c r="M14"/>
  <c r="M8"/>
  <c r="K9"/>
  <c r="K10"/>
  <c r="O10" s="1"/>
  <c r="K11"/>
  <c r="K12"/>
  <c r="K13"/>
  <c r="K14"/>
  <c r="K8"/>
  <c r="I9"/>
  <c r="J9" s="1"/>
  <c r="I10"/>
  <c r="I11"/>
  <c r="I12"/>
  <c r="I13"/>
  <c r="I14"/>
  <c r="I8"/>
  <c r="G9"/>
  <c r="G10"/>
  <c r="G11"/>
  <c r="G12"/>
  <c r="G13"/>
  <c r="G14"/>
  <c r="G8"/>
  <c r="Z9" i="43"/>
  <c r="AA9"/>
  <c r="AB9"/>
  <c r="Z10"/>
  <c r="AA10"/>
  <c r="AB10"/>
  <c r="Z11"/>
  <c r="AA11"/>
  <c r="AB11"/>
  <c r="Z12"/>
  <c r="AA12"/>
  <c r="AB12"/>
  <c r="Z13"/>
  <c r="AA13"/>
  <c r="AB13"/>
  <c r="Z14"/>
  <c r="AA14"/>
  <c r="AB14"/>
  <c r="AB8"/>
  <c r="AA8"/>
  <c r="Z8"/>
  <c r="Y14"/>
  <c r="Y13"/>
  <c r="Y12"/>
  <c r="Y11"/>
  <c r="Y10"/>
  <c r="Y9"/>
  <c r="Y8"/>
  <c r="V8"/>
  <c r="V15" s="1"/>
  <c r="W8"/>
  <c r="W15" s="1"/>
  <c r="X8"/>
  <c r="X15" s="1"/>
  <c r="V9"/>
  <c r="W9"/>
  <c r="X9"/>
  <c r="V10"/>
  <c r="W10"/>
  <c r="X10"/>
  <c r="V11"/>
  <c r="W11"/>
  <c r="X11"/>
  <c r="V12"/>
  <c r="W12"/>
  <c r="X12"/>
  <c r="V13"/>
  <c r="W13"/>
  <c r="X13"/>
  <c r="V14"/>
  <c r="W14"/>
  <c r="X14"/>
  <c r="U14"/>
  <c r="U13"/>
  <c r="U12"/>
  <c r="U11"/>
  <c r="U10"/>
  <c r="U9"/>
  <c r="U8"/>
  <c r="AE7" i="2"/>
  <c r="Q8" i="43"/>
  <c r="R8"/>
  <c r="S8"/>
  <c r="T8"/>
  <c r="Q9"/>
  <c r="R9"/>
  <c r="S9"/>
  <c r="T9"/>
  <c r="Q11"/>
  <c r="R11"/>
  <c r="S11"/>
  <c r="T11"/>
  <c r="Q12"/>
  <c r="R12"/>
  <c r="S12"/>
  <c r="T12"/>
  <c r="Q13"/>
  <c r="R13"/>
  <c r="S13"/>
  <c r="T13"/>
  <c r="Q14"/>
  <c r="R14"/>
  <c r="S14"/>
  <c r="T14"/>
  <c r="P8"/>
  <c r="P9"/>
  <c r="P11"/>
  <c r="P12"/>
  <c r="P13"/>
  <c r="P14"/>
  <c r="O8"/>
  <c r="O9"/>
  <c r="O11"/>
  <c r="O12"/>
  <c r="O13"/>
  <c r="O14"/>
  <c r="N8"/>
  <c r="N9"/>
  <c r="N11"/>
  <c r="N12"/>
  <c r="N13"/>
  <c r="N14"/>
  <c r="M8"/>
  <c r="M9"/>
  <c r="M11"/>
  <c r="M12"/>
  <c r="M13"/>
  <c r="M14"/>
  <c r="L14"/>
  <c r="L13"/>
  <c r="L12"/>
  <c r="L11"/>
  <c r="L9"/>
  <c r="L8"/>
  <c r="J8"/>
  <c r="J9"/>
  <c r="J10"/>
  <c r="J11"/>
  <c r="J12"/>
  <c r="J13"/>
  <c r="J14"/>
  <c r="I8"/>
  <c r="I15" s="1"/>
  <c r="I9"/>
  <c r="I10"/>
  <c r="I11"/>
  <c r="I12"/>
  <c r="I13"/>
  <c r="I14"/>
  <c r="G8"/>
  <c r="H8"/>
  <c r="G9"/>
  <c r="H9"/>
  <c r="G10"/>
  <c r="H10"/>
  <c r="G11"/>
  <c r="H11"/>
  <c r="G12"/>
  <c r="H12"/>
  <c r="G13"/>
  <c r="H13"/>
  <c r="G14"/>
  <c r="H14"/>
  <c r="F14"/>
  <c r="F13"/>
  <c r="F12"/>
  <c r="F11"/>
  <c r="F10"/>
  <c r="F9"/>
  <c r="F8"/>
  <c r="P12" i="53"/>
  <c r="O23"/>
  <c r="E50" i="49"/>
  <c r="N550" i="17" s="1"/>
  <c r="F50" i="49"/>
  <c r="N551" i="17" s="1"/>
  <c r="G50" i="49"/>
  <c r="H50"/>
  <c r="I50"/>
  <c r="J50"/>
  <c r="N555" i="17" s="1"/>
  <c r="K50" i="49"/>
  <c r="L50"/>
  <c r="N557" i="17" s="1"/>
  <c r="M50" i="49"/>
  <c r="N558" i="17" s="1"/>
  <c r="N50" i="49"/>
  <c r="N559" i="17" s="1"/>
  <c r="O50" i="49"/>
  <c r="P50"/>
  <c r="Q50"/>
  <c r="R50"/>
  <c r="N563" i="17" s="1"/>
  <c r="S50" i="49"/>
  <c r="T50"/>
  <c r="N565" i="17" s="1"/>
  <c r="U50" i="49"/>
  <c r="N566" i="17" s="1"/>
  <c r="D50" i="49"/>
  <c r="N549" i="17" s="1"/>
  <c r="N564"/>
  <c r="N562"/>
  <c r="N561"/>
  <c r="N560"/>
  <c r="N556"/>
  <c r="N554"/>
  <c r="N553"/>
  <c r="N552"/>
  <c r="N523"/>
  <c r="O523" s="1"/>
  <c r="N522"/>
  <c r="O522" s="1"/>
  <c r="N521"/>
  <c r="O521" s="1"/>
  <c r="N520"/>
  <c r="O520" s="1"/>
  <c r="N519"/>
  <c r="O519" s="1"/>
  <c r="N518"/>
  <c r="O518" s="1"/>
  <c r="N517"/>
  <c r="O517" s="1"/>
  <c r="N516"/>
  <c r="O516" s="1"/>
  <c r="N515"/>
  <c r="O515" s="1"/>
  <c r="N497"/>
  <c r="N496"/>
  <c r="N495"/>
  <c r="N494"/>
  <c r="N493"/>
  <c r="N492"/>
  <c r="N491"/>
  <c r="N490"/>
  <c r="N489"/>
  <c r="N488"/>
  <c r="N487"/>
  <c r="N486"/>
  <c r="N485"/>
  <c r="N484"/>
  <c r="N483"/>
  <c r="N482"/>
  <c r="N466"/>
  <c r="N465"/>
  <c r="N464"/>
  <c r="N463"/>
  <c r="N462"/>
  <c r="N461"/>
  <c r="N460"/>
  <c r="N459"/>
  <c r="N458"/>
  <c r="N457"/>
  <c r="N456"/>
  <c r="N455"/>
  <c r="N454"/>
  <c r="N453"/>
  <c r="N452"/>
  <c r="N451"/>
  <c r="N433"/>
  <c r="N432"/>
  <c r="N431"/>
  <c r="N430"/>
  <c r="N429"/>
  <c r="N428"/>
  <c r="N427"/>
  <c r="N426"/>
  <c r="N425"/>
  <c r="N424"/>
  <c r="N423"/>
  <c r="N422"/>
  <c r="N421"/>
  <c r="N420"/>
  <c r="N419"/>
  <c r="N418"/>
  <c r="N400"/>
  <c r="N399"/>
  <c r="N398"/>
  <c r="N397"/>
  <c r="N396"/>
  <c r="N395"/>
  <c r="N394"/>
  <c r="N393"/>
  <c r="N392"/>
  <c r="N391"/>
  <c r="N390"/>
  <c r="N389"/>
  <c r="N388"/>
  <c r="N387"/>
  <c r="N386"/>
  <c r="N385"/>
  <c r="N374"/>
  <c r="N373"/>
  <c r="N372"/>
  <c r="N371"/>
  <c r="N370"/>
  <c r="N369"/>
  <c r="N368"/>
  <c r="N367"/>
  <c r="N366"/>
  <c r="N365"/>
  <c r="N364"/>
  <c r="N363"/>
  <c r="N362"/>
  <c r="N361"/>
  <c r="N360"/>
  <c r="N359"/>
  <c r="N358"/>
  <c r="N357"/>
  <c r="N356"/>
  <c r="N355"/>
  <c r="N354"/>
  <c r="N353"/>
  <c r="N342"/>
  <c r="N341"/>
  <c r="N340"/>
  <c r="N339"/>
  <c r="N338"/>
  <c r="N337"/>
  <c r="N336"/>
  <c r="N335"/>
  <c r="N334"/>
  <c r="N333"/>
  <c r="N332"/>
  <c r="N331"/>
  <c r="N330"/>
  <c r="N329"/>
  <c r="N328"/>
  <c r="N327"/>
  <c r="N326"/>
  <c r="N325"/>
  <c r="N324"/>
  <c r="N323"/>
  <c r="N322"/>
  <c r="N321"/>
  <c r="N310"/>
  <c r="N309"/>
  <c r="N308"/>
  <c r="N307"/>
  <c r="N306"/>
  <c r="N305"/>
  <c r="N304"/>
  <c r="N303"/>
  <c r="N302"/>
  <c r="N301"/>
  <c r="N300"/>
  <c r="N299"/>
  <c r="N298"/>
  <c r="N297"/>
  <c r="N296"/>
  <c r="N295"/>
  <c r="N294"/>
  <c r="N293"/>
  <c r="N292"/>
  <c r="N291"/>
  <c r="N290"/>
  <c r="N289"/>
  <c r="N278"/>
  <c r="N277"/>
  <c r="N276"/>
  <c r="N275"/>
  <c r="N274"/>
  <c r="N273"/>
  <c r="N272"/>
  <c r="N271"/>
  <c r="N270"/>
  <c r="N269"/>
  <c r="N268"/>
  <c r="N267"/>
  <c r="N266"/>
  <c r="N265"/>
  <c r="N264"/>
  <c r="N263"/>
  <c r="N262"/>
  <c r="N261"/>
  <c r="N260"/>
  <c r="N259"/>
  <c r="N258"/>
  <c r="N257"/>
  <c r="N246"/>
  <c r="N245"/>
  <c r="N244"/>
  <c r="N243"/>
  <c r="N242"/>
  <c r="N241"/>
  <c r="N240"/>
  <c r="N239"/>
  <c r="N238"/>
  <c r="N237"/>
  <c r="N236"/>
  <c r="N235"/>
  <c r="N234"/>
  <c r="N233"/>
  <c r="N232"/>
  <c r="N231"/>
  <c r="N230"/>
  <c r="N229"/>
  <c r="N228"/>
  <c r="N227"/>
  <c r="N226"/>
  <c r="N225"/>
  <c r="N214"/>
  <c r="N213"/>
  <c r="N212"/>
  <c r="N211"/>
  <c r="N210"/>
  <c r="N209"/>
  <c r="N208"/>
  <c r="N207"/>
  <c r="N206"/>
  <c r="N205"/>
  <c r="N204"/>
  <c r="N203"/>
  <c r="N202"/>
  <c r="N201"/>
  <c r="N200"/>
  <c r="N199"/>
  <c r="N198"/>
  <c r="N197"/>
  <c r="N196"/>
  <c r="N195"/>
  <c r="N194"/>
  <c r="N193"/>
  <c r="N192"/>
  <c r="N191"/>
  <c r="N190"/>
  <c r="N189"/>
  <c r="N188"/>
  <c r="N177"/>
  <c r="N176"/>
  <c r="N175"/>
  <c r="N174"/>
  <c r="N173"/>
  <c r="N172"/>
  <c r="N171"/>
  <c r="N170"/>
  <c r="N169"/>
  <c r="N168"/>
  <c r="N167"/>
  <c r="N166"/>
  <c r="N165"/>
  <c r="N164"/>
  <c r="N163"/>
  <c r="N162"/>
  <c r="N161"/>
  <c r="N160"/>
  <c r="N159"/>
  <c r="N158"/>
  <c r="N157"/>
  <c r="N156"/>
  <c r="N155"/>
  <c r="N154"/>
  <c r="N153"/>
  <c r="N152"/>
  <c r="N151"/>
  <c r="N140"/>
  <c r="N139"/>
  <c r="N138"/>
  <c r="N137"/>
  <c r="N136"/>
  <c r="N135"/>
  <c r="N134"/>
  <c r="N133"/>
  <c r="N132"/>
  <c r="N131"/>
  <c r="N130"/>
  <c r="N129"/>
  <c r="N128"/>
  <c r="N127"/>
  <c r="N126"/>
  <c r="N125"/>
  <c r="N124"/>
  <c r="N123"/>
  <c r="N122"/>
  <c r="N121"/>
  <c r="N120"/>
  <c r="N119"/>
  <c r="N118"/>
  <c r="N117"/>
  <c r="N116"/>
  <c r="N115"/>
  <c r="N114"/>
  <c r="N103"/>
  <c r="N102"/>
  <c r="N101"/>
  <c r="N100"/>
  <c r="N99"/>
  <c r="N98"/>
  <c r="N97"/>
  <c r="N96"/>
  <c r="N95"/>
  <c r="N94"/>
  <c r="N93"/>
  <c r="N92"/>
  <c r="N91"/>
  <c r="N90"/>
  <c r="N89"/>
  <c r="N88"/>
  <c r="N87"/>
  <c r="N86"/>
  <c r="N85"/>
  <c r="N84"/>
  <c r="N83"/>
  <c r="N82"/>
  <c r="N81"/>
  <c r="N80"/>
  <c r="N79"/>
  <c r="N78"/>
  <c r="N77"/>
  <c r="T8" i="53"/>
  <c r="T9"/>
  <c r="U9"/>
  <c r="V9"/>
  <c r="T10"/>
  <c r="T11"/>
  <c r="U11"/>
  <c r="V11"/>
  <c r="T12"/>
  <c r="U12"/>
  <c r="V12"/>
  <c r="T13"/>
  <c r="U13"/>
  <c r="V13"/>
  <c r="T14"/>
  <c r="U14"/>
  <c r="V14"/>
  <c r="T15"/>
  <c r="U15"/>
  <c r="V15"/>
  <c r="T16"/>
  <c r="U16"/>
  <c r="V16"/>
  <c r="T17"/>
  <c r="U17"/>
  <c r="V17"/>
  <c r="T18"/>
  <c r="U18"/>
  <c r="V18"/>
  <c r="T19"/>
  <c r="U19"/>
  <c r="V19"/>
  <c r="T20"/>
  <c r="U20"/>
  <c r="V20"/>
  <c r="T21"/>
  <c r="U21"/>
  <c r="V21"/>
  <c r="T22"/>
  <c r="U22"/>
  <c r="V22"/>
  <c r="T23"/>
  <c r="U23"/>
  <c r="V23"/>
  <c r="T24"/>
  <c r="U24"/>
  <c r="V24"/>
  <c r="T25"/>
  <c r="U25"/>
  <c r="V25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N9"/>
  <c r="M9"/>
  <c r="L9"/>
  <c r="K9"/>
  <c r="K11"/>
  <c r="K12"/>
  <c r="K13"/>
  <c r="K14"/>
  <c r="K15"/>
  <c r="K16"/>
  <c r="K17"/>
  <c r="K18"/>
  <c r="K19"/>
  <c r="K20"/>
  <c r="K21"/>
  <c r="K22"/>
  <c r="K23"/>
  <c r="K24"/>
  <c r="K25"/>
  <c r="J8"/>
  <c r="J9"/>
  <c r="J11"/>
  <c r="J12"/>
  <c r="J13"/>
  <c r="J14"/>
  <c r="P14" s="1"/>
  <c r="J15"/>
  <c r="J16"/>
  <c r="J17"/>
  <c r="J18"/>
  <c r="J19"/>
  <c r="J20"/>
  <c r="P20" s="1"/>
  <c r="J21"/>
  <c r="J22"/>
  <c r="P22" s="1"/>
  <c r="J23"/>
  <c r="J24"/>
  <c r="P24" s="1"/>
  <c r="J25"/>
  <c r="I9"/>
  <c r="I11"/>
  <c r="I12"/>
  <c r="I13"/>
  <c r="I14"/>
  <c r="I15"/>
  <c r="I16"/>
  <c r="I17"/>
  <c r="I18"/>
  <c r="I19"/>
  <c r="I20"/>
  <c r="I21"/>
  <c r="I22"/>
  <c r="I23"/>
  <c r="I24"/>
  <c r="I25"/>
  <c r="H9"/>
  <c r="H11"/>
  <c r="H12"/>
  <c r="H13"/>
  <c r="H14"/>
  <c r="H15"/>
  <c r="H16"/>
  <c r="H17"/>
  <c r="H18"/>
  <c r="H19"/>
  <c r="H20"/>
  <c r="H21"/>
  <c r="H22"/>
  <c r="H23"/>
  <c r="H24"/>
  <c r="H25"/>
  <c r="G9"/>
  <c r="G11"/>
  <c r="G12"/>
  <c r="G13"/>
  <c r="G14"/>
  <c r="G15"/>
  <c r="G16"/>
  <c r="G17"/>
  <c r="G18"/>
  <c r="G19"/>
  <c r="G20"/>
  <c r="G21"/>
  <c r="G22"/>
  <c r="G23"/>
  <c r="G24"/>
  <c r="G25"/>
  <c r="F8"/>
  <c r="F9"/>
  <c r="F11"/>
  <c r="O11" s="1"/>
  <c r="F12"/>
  <c r="O12" s="1"/>
  <c r="F13"/>
  <c r="O13" s="1"/>
  <c r="F14"/>
  <c r="O14" s="1"/>
  <c r="F15"/>
  <c r="O15" s="1"/>
  <c r="F16"/>
  <c r="F17"/>
  <c r="O17" s="1"/>
  <c r="F18"/>
  <c r="F19"/>
  <c r="O19" s="1"/>
  <c r="F20"/>
  <c r="O20" s="1"/>
  <c r="F21"/>
  <c r="O21" s="1"/>
  <c r="F22"/>
  <c r="O22" s="1"/>
  <c r="F23"/>
  <c r="F24"/>
  <c r="F25"/>
  <c r="E23"/>
  <c r="E25"/>
  <c r="E24"/>
  <c r="E22"/>
  <c r="E21"/>
  <c r="E20"/>
  <c r="E19"/>
  <c r="E18"/>
  <c r="E17"/>
  <c r="E16"/>
  <c r="E15"/>
  <c r="E14"/>
  <c r="E13"/>
  <c r="E12"/>
  <c r="E11"/>
  <c r="E10"/>
  <c r="E9"/>
  <c r="E8"/>
  <c r="D25"/>
  <c r="D24"/>
  <c r="D23"/>
  <c r="D22"/>
  <c r="D21"/>
  <c r="D20"/>
  <c r="D19"/>
  <c r="D18"/>
  <c r="D17"/>
  <c r="D16"/>
  <c r="P16" s="1"/>
  <c r="D15"/>
  <c r="D14"/>
  <c r="D13"/>
  <c r="D12"/>
  <c r="D11"/>
  <c r="D10"/>
  <c r="D9"/>
  <c r="D8"/>
  <c r="R26"/>
  <c r="AC8" i="3"/>
  <c r="AC102"/>
  <c r="AC81"/>
  <c r="AC82"/>
  <c r="AC83"/>
  <c r="AC84"/>
  <c r="AC85"/>
  <c r="AC86"/>
  <c r="AC87"/>
  <c r="AC88"/>
  <c r="AC89"/>
  <c r="AC90"/>
  <c r="AC91"/>
  <c r="AC92"/>
  <c r="AC93"/>
  <c r="AC94"/>
  <c r="AC95"/>
  <c r="AC96"/>
  <c r="AC97"/>
  <c r="AC98"/>
  <c r="AC99"/>
  <c r="AC100"/>
  <c r="AC101"/>
  <c r="AC80"/>
  <c r="AC206"/>
  <c r="AC189"/>
  <c r="AC190"/>
  <c r="AC191"/>
  <c r="AC192"/>
  <c r="AC193"/>
  <c r="AC194"/>
  <c r="AC195"/>
  <c r="AC196"/>
  <c r="AC197"/>
  <c r="AC198"/>
  <c r="AC199"/>
  <c r="AC200"/>
  <c r="AC201"/>
  <c r="AC202"/>
  <c r="AC203"/>
  <c r="AC204"/>
  <c r="AC205"/>
  <c r="AC188"/>
  <c r="AC159"/>
  <c r="AC151"/>
  <c r="AC152"/>
  <c r="AC153"/>
  <c r="AC154"/>
  <c r="AC155"/>
  <c r="AC156"/>
  <c r="AC157"/>
  <c r="AC158"/>
  <c r="AC150"/>
  <c r="AC131"/>
  <c r="AC116"/>
  <c r="AC117"/>
  <c r="AC118"/>
  <c r="AC119"/>
  <c r="AC120"/>
  <c r="AC121"/>
  <c r="AC122"/>
  <c r="AC123"/>
  <c r="AC124"/>
  <c r="AC125"/>
  <c r="AC126"/>
  <c r="AC127"/>
  <c r="AC128"/>
  <c r="AC129"/>
  <c r="AC130"/>
  <c r="AC115"/>
  <c r="O209" i="52"/>
  <c r="L36" i="53" s="1"/>
  <c r="Q36" s="1"/>
  <c r="M209" i="52"/>
  <c r="I209"/>
  <c r="G209"/>
  <c r="R208"/>
  <c r="Q208"/>
  <c r="K208"/>
  <c r="U208" s="1"/>
  <c r="L208"/>
  <c r="R207"/>
  <c r="Q207"/>
  <c r="K207"/>
  <c r="U207" s="1"/>
  <c r="S207"/>
  <c r="T207" s="1"/>
  <c r="R206"/>
  <c r="Q206"/>
  <c r="K206"/>
  <c r="U206" s="1"/>
  <c r="P206"/>
  <c r="R205"/>
  <c r="Q205"/>
  <c r="K205"/>
  <c r="U205" s="1"/>
  <c r="R204"/>
  <c r="Q204"/>
  <c r="K204"/>
  <c r="U204" s="1"/>
  <c r="S204"/>
  <c r="T204" s="1"/>
  <c r="R203"/>
  <c r="Q203"/>
  <c r="K203"/>
  <c r="U203" s="1"/>
  <c r="N203"/>
  <c r="R202"/>
  <c r="Q202"/>
  <c r="K202"/>
  <c r="U202" s="1"/>
  <c r="R201"/>
  <c r="Q201"/>
  <c r="K201"/>
  <c r="U201" s="1"/>
  <c r="S201"/>
  <c r="T201" s="1"/>
  <c r="R200"/>
  <c r="Q200"/>
  <c r="K200"/>
  <c r="U200" s="1"/>
  <c r="R199"/>
  <c r="Q199"/>
  <c r="K199"/>
  <c r="U199" s="1"/>
  <c r="S199"/>
  <c r="T199" s="1"/>
  <c r="R198"/>
  <c r="Q198"/>
  <c r="K198"/>
  <c r="U198" s="1"/>
  <c r="P198"/>
  <c r="R197"/>
  <c r="Q197"/>
  <c r="K197"/>
  <c r="U197" s="1"/>
  <c r="S197"/>
  <c r="T197" s="1"/>
  <c r="R196"/>
  <c r="Q196"/>
  <c r="K196"/>
  <c r="U196" s="1"/>
  <c r="S196"/>
  <c r="T196" s="1"/>
  <c r="R195"/>
  <c r="Q195"/>
  <c r="K195"/>
  <c r="U195" s="1"/>
  <c r="N195"/>
  <c r="R194"/>
  <c r="Q194"/>
  <c r="K194"/>
  <c r="U194" s="1"/>
  <c r="H194"/>
  <c r="J194" s="1"/>
  <c r="R193"/>
  <c r="Q193"/>
  <c r="N193"/>
  <c r="K193"/>
  <c r="U193" s="1"/>
  <c r="P193"/>
  <c r="R192"/>
  <c r="Q192"/>
  <c r="K192"/>
  <c r="U192" s="1"/>
  <c r="H192"/>
  <c r="J192" s="1"/>
  <c r="R191"/>
  <c r="Q191"/>
  <c r="K191"/>
  <c r="U191" s="1"/>
  <c r="S191"/>
  <c r="T191" s="1"/>
  <c r="R190"/>
  <c r="Q190"/>
  <c r="K190"/>
  <c r="U190" s="1"/>
  <c r="P190"/>
  <c r="R189"/>
  <c r="Q189"/>
  <c r="K189"/>
  <c r="U189" s="1"/>
  <c r="H189"/>
  <c r="J189" s="1"/>
  <c r="R188"/>
  <c r="Q188"/>
  <c r="K188"/>
  <c r="U188" s="1"/>
  <c r="S188"/>
  <c r="T188" s="1"/>
  <c r="R187"/>
  <c r="Q187"/>
  <c r="K187"/>
  <c r="U187" s="1"/>
  <c r="N187"/>
  <c r="O166"/>
  <c r="L35" i="53" s="1"/>
  <c r="Q35" s="1"/>
  <c r="M166" i="52"/>
  <c r="I166"/>
  <c r="G166"/>
  <c r="R165"/>
  <c r="Q165"/>
  <c r="K165"/>
  <c r="U165" s="1"/>
  <c r="S165"/>
  <c r="T165" s="1"/>
  <c r="S164"/>
  <c r="T164" s="1"/>
  <c r="R164"/>
  <c r="Q164"/>
  <c r="N164"/>
  <c r="K164"/>
  <c r="U164" s="1"/>
  <c r="H164"/>
  <c r="J164" s="1"/>
  <c r="P164"/>
  <c r="S163"/>
  <c r="T163" s="1"/>
  <c r="R163"/>
  <c r="Q163"/>
  <c r="K163"/>
  <c r="U163" s="1"/>
  <c r="H163"/>
  <c r="J163" s="1"/>
  <c r="R162"/>
  <c r="Q162"/>
  <c r="P162"/>
  <c r="N162"/>
  <c r="K162"/>
  <c r="U162" s="1"/>
  <c r="S162"/>
  <c r="T162" s="1"/>
  <c r="S161"/>
  <c r="T161" s="1"/>
  <c r="R161"/>
  <c r="Q161"/>
  <c r="K161"/>
  <c r="L161" s="1"/>
  <c r="H161"/>
  <c r="J161" s="1"/>
  <c r="N161"/>
  <c r="S160"/>
  <c r="T160" s="1"/>
  <c r="R160"/>
  <c r="Q160"/>
  <c r="K160"/>
  <c r="U160" s="1"/>
  <c r="H160"/>
  <c r="J160" s="1"/>
  <c r="S159"/>
  <c r="T159" s="1"/>
  <c r="R159"/>
  <c r="Q159"/>
  <c r="P159"/>
  <c r="N159"/>
  <c r="K159"/>
  <c r="U159" s="1"/>
  <c r="H159"/>
  <c r="J159" s="1"/>
  <c r="S158"/>
  <c r="T158" s="1"/>
  <c r="R158"/>
  <c r="Q158"/>
  <c r="K158"/>
  <c r="U158" s="1"/>
  <c r="H158"/>
  <c r="J158" s="1"/>
  <c r="R157"/>
  <c r="Q157"/>
  <c r="K157"/>
  <c r="U157" s="1"/>
  <c r="S157"/>
  <c r="T157" s="1"/>
  <c r="S156"/>
  <c r="T156" s="1"/>
  <c r="R156"/>
  <c r="Q156"/>
  <c r="N156"/>
  <c r="K156"/>
  <c r="U156" s="1"/>
  <c r="H156"/>
  <c r="J156" s="1"/>
  <c r="P156"/>
  <c r="S155"/>
  <c r="T155" s="1"/>
  <c r="R155"/>
  <c r="Q155"/>
  <c r="K155"/>
  <c r="U155" s="1"/>
  <c r="H155"/>
  <c r="J155" s="1"/>
  <c r="R154"/>
  <c r="Q154"/>
  <c r="P154"/>
  <c r="N154"/>
  <c r="K154"/>
  <c r="U154" s="1"/>
  <c r="H154"/>
  <c r="J154" s="1"/>
  <c r="S154"/>
  <c r="T154" s="1"/>
  <c r="S153"/>
  <c r="T153" s="1"/>
  <c r="R153"/>
  <c r="Q153"/>
  <c r="K153"/>
  <c r="U153" s="1"/>
  <c r="H153"/>
  <c r="J153" s="1"/>
  <c r="N153"/>
  <c r="S152"/>
  <c r="T152" s="1"/>
  <c r="R152"/>
  <c r="Q152"/>
  <c r="K152"/>
  <c r="U152" s="1"/>
  <c r="H152"/>
  <c r="J152" s="1"/>
  <c r="F166"/>
  <c r="S151"/>
  <c r="T151" s="1"/>
  <c r="R151"/>
  <c r="Q151"/>
  <c r="P151"/>
  <c r="N151"/>
  <c r="K151"/>
  <c r="U151" s="1"/>
  <c r="H151"/>
  <c r="J151" s="1"/>
  <c r="O136"/>
  <c r="L34" i="53" s="1"/>
  <c r="Q34" s="1"/>
  <c r="M136" i="52"/>
  <c r="I136"/>
  <c r="G136"/>
  <c r="S135"/>
  <c r="T135" s="1"/>
  <c r="R135"/>
  <c r="Q135"/>
  <c r="K135"/>
  <c r="U135" s="1"/>
  <c r="H135"/>
  <c r="J135" s="1"/>
  <c r="S134"/>
  <c r="T134" s="1"/>
  <c r="R134"/>
  <c r="Q134"/>
  <c r="P134"/>
  <c r="N134"/>
  <c r="K134"/>
  <c r="U134" s="1"/>
  <c r="H134"/>
  <c r="J134" s="1"/>
  <c r="S133"/>
  <c r="T133" s="1"/>
  <c r="R133"/>
  <c r="Q133"/>
  <c r="K133"/>
  <c r="U133" s="1"/>
  <c r="H133"/>
  <c r="J133" s="1"/>
  <c r="N133"/>
  <c r="S132"/>
  <c r="T132" s="1"/>
  <c r="R132"/>
  <c r="Q132"/>
  <c r="K132"/>
  <c r="U132" s="1"/>
  <c r="H132"/>
  <c r="J132" s="1"/>
  <c r="S131"/>
  <c r="T131" s="1"/>
  <c r="R131"/>
  <c r="Q131"/>
  <c r="P131"/>
  <c r="N131"/>
  <c r="K131"/>
  <c r="U131" s="1"/>
  <c r="H131"/>
  <c r="J131" s="1"/>
  <c r="R130"/>
  <c r="Q130"/>
  <c r="K130"/>
  <c r="U130" s="1"/>
  <c r="R129"/>
  <c r="Q129"/>
  <c r="K129"/>
  <c r="U129" s="1"/>
  <c r="S129"/>
  <c r="T129" s="1"/>
  <c r="R128"/>
  <c r="Q128"/>
  <c r="N128"/>
  <c r="K128"/>
  <c r="U128" s="1"/>
  <c r="P128"/>
  <c r="S127"/>
  <c r="T127" s="1"/>
  <c r="R127"/>
  <c r="Q127"/>
  <c r="K127"/>
  <c r="U127" s="1"/>
  <c r="H127"/>
  <c r="J127" s="1"/>
  <c r="S126"/>
  <c r="T126" s="1"/>
  <c r="R126"/>
  <c r="Q126"/>
  <c r="P126"/>
  <c r="N126"/>
  <c r="K126"/>
  <c r="U126" s="1"/>
  <c r="H126"/>
  <c r="J126" s="1"/>
  <c r="S125"/>
  <c r="T125" s="1"/>
  <c r="R125"/>
  <c r="Q125"/>
  <c r="K125"/>
  <c r="U125" s="1"/>
  <c r="H125"/>
  <c r="J125" s="1"/>
  <c r="N125"/>
  <c r="S124"/>
  <c r="T124" s="1"/>
  <c r="R124"/>
  <c r="Q124"/>
  <c r="K124"/>
  <c r="U124" s="1"/>
  <c r="H124"/>
  <c r="J124" s="1"/>
  <c r="P124"/>
  <c r="S123"/>
  <c r="T123" s="1"/>
  <c r="R123"/>
  <c r="Q123"/>
  <c r="P123"/>
  <c r="N123"/>
  <c r="K123"/>
  <c r="U123" s="1"/>
  <c r="H123"/>
  <c r="J123" s="1"/>
  <c r="S122"/>
  <c r="T122" s="1"/>
  <c r="R122"/>
  <c r="Q122"/>
  <c r="K122"/>
  <c r="U122" s="1"/>
  <c r="H122"/>
  <c r="J122" s="1"/>
  <c r="R121"/>
  <c r="Q121"/>
  <c r="K121"/>
  <c r="U121" s="1"/>
  <c r="S121"/>
  <c r="T121" s="1"/>
  <c r="R120"/>
  <c r="Q120"/>
  <c r="N120"/>
  <c r="K120"/>
  <c r="U120" s="1"/>
  <c r="P120"/>
  <c r="S119"/>
  <c r="T119" s="1"/>
  <c r="R119"/>
  <c r="Q119"/>
  <c r="K119"/>
  <c r="U119" s="1"/>
  <c r="H119"/>
  <c r="J119" s="1"/>
  <c r="S118"/>
  <c r="T118" s="1"/>
  <c r="R118"/>
  <c r="Q118"/>
  <c r="P118"/>
  <c r="N118"/>
  <c r="K118"/>
  <c r="U118" s="1"/>
  <c r="H118"/>
  <c r="J118" s="1"/>
  <c r="S117"/>
  <c r="T117" s="1"/>
  <c r="R117"/>
  <c r="Q117"/>
  <c r="K117"/>
  <c r="U117" s="1"/>
  <c r="H117"/>
  <c r="J117" s="1"/>
  <c r="N117"/>
  <c r="S116"/>
  <c r="T116" s="1"/>
  <c r="R116"/>
  <c r="Q116"/>
  <c r="K116"/>
  <c r="U116" s="1"/>
  <c r="H116"/>
  <c r="J116" s="1"/>
  <c r="S115"/>
  <c r="T115" s="1"/>
  <c r="R115"/>
  <c r="Q115"/>
  <c r="P115"/>
  <c r="N115"/>
  <c r="K115"/>
  <c r="U115" s="1"/>
  <c r="H115"/>
  <c r="F136"/>
  <c r="O99"/>
  <c r="L33" i="53" s="1"/>
  <c r="Q33" s="1"/>
  <c r="M99" i="52"/>
  <c r="I99"/>
  <c r="G99"/>
  <c r="S98"/>
  <c r="T98" s="1"/>
  <c r="R98"/>
  <c r="Q98"/>
  <c r="K98"/>
  <c r="U98" s="1"/>
  <c r="H98"/>
  <c r="J98" s="1"/>
  <c r="R97"/>
  <c r="Q97"/>
  <c r="P97"/>
  <c r="N97"/>
  <c r="K97"/>
  <c r="U97" s="1"/>
  <c r="H97"/>
  <c r="J97" s="1"/>
  <c r="S97"/>
  <c r="T97" s="1"/>
  <c r="S96"/>
  <c r="T96" s="1"/>
  <c r="R96"/>
  <c r="Q96"/>
  <c r="K96"/>
  <c r="U96" s="1"/>
  <c r="H96"/>
  <c r="J96" s="1"/>
  <c r="N96"/>
  <c r="S95"/>
  <c r="T95" s="1"/>
  <c r="R95"/>
  <c r="Q95"/>
  <c r="K95"/>
  <c r="U95" s="1"/>
  <c r="H95"/>
  <c r="J95" s="1"/>
  <c r="S94"/>
  <c r="T94" s="1"/>
  <c r="R94"/>
  <c r="Q94"/>
  <c r="P94"/>
  <c r="N94"/>
  <c r="K94"/>
  <c r="U94" s="1"/>
  <c r="H94"/>
  <c r="J94" s="1"/>
  <c r="S93"/>
  <c r="T93" s="1"/>
  <c r="R93"/>
  <c r="Q93"/>
  <c r="K93"/>
  <c r="U93" s="1"/>
  <c r="H93"/>
  <c r="J93" s="1"/>
  <c r="R92"/>
  <c r="Q92"/>
  <c r="K92"/>
  <c r="U92" s="1"/>
  <c r="S92"/>
  <c r="T92" s="1"/>
  <c r="R91"/>
  <c r="Q91"/>
  <c r="N91"/>
  <c r="K91"/>
  <c r="U91" s="1"/>
  <c r="P91"/>
  <c r="S90"/>
  <c r="T90" s="1"/>
  <c r="R90"/>
  <c r="Q90"/>
  <c r="K90"/>
  <c r="U90" s="1"/>
  <c r="H90"/>
  <c r="J90" s="1"/>
  <c r="S89"/>
  <c r="T89" s="1"/>
  <c r="R89"/>
  <c r="Q89"/>
  <c r="P89"/>
  <c r="N89"/>
  <c r="K89"/>
  <c r="U89" s="1"/>
  <c r="H89"/>
  <c r="J89" s="1"/>
  <c r="S88"/>
  <c r="T88" s="1"/>
  <c r="R88"/>
  <c r="Q88"/>
  <c r="K88"/>
  <c r="U88" s="1"/>
  <c r="H88"/>
  <c r="J88" s="1"/>
  <c r="N88"/>
  <c r="S87"/>
  <c r="T87" s="1"/>
  <c r="R87"/>
  <c r="Q87"/>
  <c r="K87"/>
  <c r="U87" s="1"/>
  <c r="H87"/>
  <c r="J87" s="1"/>
  <c r="S86"/>
  <c r="T86" s="1"/>
  <c r="R86"/>
  <c r="Q86"/>
  <c r="P86"/>
  <c r="N86"/>
  <c r="K86"/>
  <c r="U86" s="1"/>
  <c r="H86"/>
  <c r="J86" s="1"/>
  <c r="S85"/>
  <c r="T85" s="1"/>
  <c r="R85"/>
  <c r="Q85"/>
  <c r="K85"/>
  <c r="U85" s="1"/>
  <c r="H85"/>
  <c r="J85" s="1"/>
  <c r="R84"/>
  <c r="Q84"/>
  <c r="K84"/>
  <c r="U84" s="1"/>
  <c r="S84"/>
  <c r="T84" s="1"/>
  <c r="R83"/>
  <c r="Q83"/>
  <c r="N83"/>
  <c r="K83"/>
  <c r="U83" s="1"/>
  <c r="P83"/>
  <c r="S82"/>
  <c r="T82" s="1"/>
  <c r="R82"/>
  <c r="Q82"/>
  <c r="K82"/>
  <c r="U82" s="1"/>
  <c r="H82"/>
  <c r="J82" s="1"/>
  <c r="S81"/>
  <c r="T81" s="1"/>
  <c r="R81"/>
  <c r="Q81"/>
  <c r="P81"/>
  <c r="N81"/>
  <c r="K81"/>
  <c r="U81" s="1"/>
  <c r="H81"/>
  <c r="J81" s="1"/>
  <c r="S80"/>
  <c r="T80" s="1"/>
  <c r="R80"/>
  <c r="Q80"/>
  <c r="K80"/>
  <c r="U80" s="1"/>
  <c r="H80"/>
  <c r="J80" s="1"/>
  <c r="N80"/>
  <c r="S79"/>
  <c r="T79" s="1"/>
  <c r="R79"/>
  <c r="Q79"/>
  <c r="K79"/>
  <c r="U79" s="1"/>
  <c r="H79"/>
  <c r="J79" s="1"/>
  <c r="F99"/>
  <c r="O34"/>
  <c r="L31" i="53" s="1"/>
  <c r="M34" i="52"/>
  <c r="I34"/>
  <c r="G34"/>
  <c r="R33"/>
  <c r="Q33"/>
  <c r="N33"/>
  <c r="K33"/>
  <c r="U33" s="1"/>
  <c r="P33"/>
  <c r="R32"/>
  <c r="Q32"/>
  <c r="K32"/>
  <c r="U32" s="1"/>
  <c r="R31"/>
  <c r="Q31"/>
  <c r="P31"/>
  <c r="N31"/>
  <c r="K31"/>
  <c r="U31" s="1"/>
  <c r="S31"/>
  <c r="T31" s="1"/>
  <c r="R30"/>
  <c r="Q30"/>
  <c r="K30"/>
  <c r="U30" s="1"/>
  <c r="N30"/>
  <c r="R29"/>
  <c r="Q29"/>
  <c r="K29"/>
  <c r="U29" s="1"/>
  <c r="H29"/>
  <c r="J29" s="1"/>
  <c r="S28"/>
  <c r="T28" s="1"/>
  <c r="R28"/>
  <c r="Q28"/>
  <c r="P28"/>
  <c r="N28"/>
  <c r="K28"/>
  <c r="U28" s="1"/>
  <c r="H28"/>
  <c r="J28" s="1"/>
  <c r="S27"/>
  <c r="T27" s="1"/>
  <c r="R27"/>
  <c r="Q27"/>
  <c r="K27"/>
  <c r="U27" s="1"/>
  <c r="H27"/>
  <c r="J27" s="1"/>
  <c r="R26"/>
  <c r="Q26"/>
  <c r="K26"/>
  <c r="U26" s="1"/>
  <c r="S26"/>
  <c r="T26" s="1"/>
  <c r="R25"/>
  <c r="Q25"/>
  <c r="K25"/>
  <c r="U25" s="1"/>
  <c r="H25"/>
  <c r="J25" s="1"/>
  <c r="P25"/>
  <c r="R24"/>
  <c r="Q24"/>
  <c r="K24"/>
  <c r="U24" s="1"/>
  <c r="H24"/>
  <c r="J24" s="1"/>
  <c r="R23"/>
  <c r="Q23"/>
  <c r="K23"/>
  <c r="U23" s="1"/>
  <c r="S23"/>
  <c r="T23" s="1"/>
  <c r="R22"/>
  <c r="Q22"/>
  <c r="K22"/>
  <c r="U22" s="1"/>
  <c r="H22"/>
  <c r="J22" s="1"/>
  <c r="N22"/>
  <c r="R21"/>
  <c r="Q21"/>
  <c r="K21"/>
  <c r="U21" s="1"/>
  <c r="H21"/>
  <c r="J21" s="1"/>
  <c r="R20"/>
  <c r="Q20"/>
  <c r="K20"/>
  <c r="U20" s="1"/>
  <c r="H20"/>
  <c r="J20" s="1"/>
  <c r="R19"/>
  <c r="Q19"/>
  <c r="K19"/>
  <c r="U19" s="1"/>
  <c r="H19"/>
  <c r="J19" s="1"/>
  <c r="R18"/>
  <c r="Q18"/>
  <c r="K18"/>
  <c r="U18" s="1"/>
  <c r="S18"/>
  <c r="T18" s="1"/>
  <c r="R17"/>
  <c r="Q17"/>
  <c r="N17"/>
  <c r="K17"/>
  <c r="U17" s="1"/>
  <c r="P17"/>
  <c r="S16"/>
  <c r="T16" s="1"/>
  <c r="R16"/>
  <c r="Q16"/>
  <c r="K16"/>
  <c r="U16" s="1"/>
  <c r="H16"/>
  <c r="J16" s="1"/>
  <c r="R15"/>
  <c r="Q15"/>
  <c r="N15"/>
  <c r="K15"/>
  <c r="U15" s="1"/>
  <c r="H15"/>
  <c r="J15" s="1"/>
  <c r="S15"/>
  <c r="T15" s="1"/>
  <c r="R14"/>
  <c r="Q14"/>
  <c r="K14"/>
  <c r="U14" s="1"/>
  <c r="N14"/>
  <c r="R13"/>
  <c r="Q13"/>
  <c r="K13"/>
  <c r="U13" s="1"/>
  <c r="H13"/>
  <c r="J13" s="1"/>
  <c r="R12"/>
  <c r="Q12"/>
  <c r="P12"/>
  <c r="N12"/>
  <c r="K12"/>
  <c r="U12" s="1"/>
  <c r="H12"/>
  <c r="J12" s="1"/>
  <c r="S12"/>
  <c r="T12" s="1"/>
  <c r="R11"/>
  <c r="Q11"/>
  <c r="K11"/>
  <c r="U11" s="1"/>
  <c r="H11"/>
  <c r="J11" s="1"/>
  <c r="R10"/>
  <c r="Q10"/>
  <c r="K10"/>
  <c r="U10" s="1"/>
  <c r="S10"/>
  <c r="T10" s="1"/>
  <c r="R9"/>
  <c r="Q9"/>
  <c r="N9"/>
  <c r="K9"/>
  <c r="U9" s="1"/>
  <c r="P9"/>
  <c r="S8"/>
  <c r="T8" s="1"/>
  <c r="R8"/>
  <c r="Q8"/>
  <c r="K8"/>
  <c r="U8" s="1"/>
  <c r="H8"/>
  <c r="J8" s="1"/>
  <c r="R7"/>
  <c r="Q7"/>
  <c r="P7"/>
  <c r="N7"/>
  <c r="K7"/>
  <c r="S7"/>
  <c r="G15" i="43"/>
  <c r="H15"/>
  <c r="AC15"/>
  <c r="N8" i="17"/>
  <c r="O12" i="51"/>
  <c r="O13"/>
  <c r="O14"/>
  <c r="N11"/>
  <c r="O21"/>
  <c r="O22"/>
  <c r="O23"/>
  <c r="O24"/>
  <c r="O20"/>
  <c r="N21"/>
  <c r="J21"/>
  <c r="S27"/>
  <c r="G25"/>
  <c r="P25" s="1"/>
  <c r="I25"/>
  <c r="K25"/>
  <c r="Q25" s="1"/>
  <c r="M25"/>
  <c r="R25" s="1"/>
  <c r="S25"/>
  <c r="S15"/>
  <c r="H21"/>
  <c r="H24"/>
  <c r="F24"/>
  <c r="E24"/>
  <c r="J24" s="1"/>
  <c r="F23"/>
  <c r="H23" s="1"/>
  <c r="E23"/>
  <c r="J23" s="1"/>
  <c r="F22"/>
  <c r="H22" s="1"/>
  <c r="E22"/>
  <c r="L22" s="1"/>
  <c r="F21"/>
  <c r="E21"/>
  <c r="F20"/>
  <c r="H20" s="1"/>
  <c r="E20"/>
  <c r="J20" s="1"/>
  <c r="F14"/>
  <c r="E14"/>
  <c r="J14" s="1"/>
  <c r="F13"/>
  <c r="H13" s="1"/>
  <c r="E13"/>
  <c r="J13" s="1"/>
  <c r="F12"/>
  <c r="H12" s="1"/>
  <c r="E12"/>
  <c r="J12" s="1"/>
  <c r="F11"/>
  <c r="H11" s="1"/>
  <c r="E11"/>
  <c r="F10"/>
  <c r="E10"/>
  <c r="F9"/>
  <c r="E9"/>
  <c r="F8"/>
  <c r="E8"/>
  <c r="M27" l="1"/>
  <c r="R27" s="1"/>
  <c r="L42" i="53"/>
  <c r="Q31"/>
  <c r="L135" i="52"/>
  <c r="S194"/>
  <c r="T194" s="1"/>
  <c r="V194" s="1"/>
  <c r="L117"/>
  <c r="V160"/>
  <c r="L190"/>
  <c r="U161"/>
  <c r="L205"/>
  <c r="L83"/>
  <c r="N196"/>
  <c r="V18"/>
  <c r="L115"/>
  <c r="N190"/>
  <c r="L200"/>
  <c r="L202"/>
  <c r="L16"/>
  <c r="L17"/>
  <c r="L19"/>
  <c r="V97"/>
  <c r="H193"/>
  <c r="J193" s="1"/>
  <c r="V127"/>
  <c r="S187"/>
  <c r="T187" s="1"/>
  <c r="V8"/>
  <c r="S202"/>
  <c r="T202" s="1"/>
  <c r="V202" s="1"/>
  <c r="V98"/>
  <c r="L155"/>
  <c r="L187"/>
  <c r="P204"/>
  <c r="L86"/>
  <c r="L97"/>
  <c r="L160"/>
  <c r="S205"/>
  <c r="T205" s="1"/>
  <c r="V205" s="1"/>
  <c r="L8"/>
  <c r="L91"/>
  <c r="L80"/>
  <c r="L95"/>
  <c r="L126"/>
  <c r="L151"/>
  <c r="L153"/>
  <c r="V161"/>
  <c r="L163"/>
  <c r="P188"/>
  <c r="L193"/>
  <c r="L197"/>
  <c r="N198"/>
  <c r="Q209"/>
  <c r="N36" i="53" s="1"/>
  <c r="L27" i="52"/>
  <c r="L28"/>
  <c r="L81"/>
  <c r="L118"/>
  <c r="V124"/>
  <c r="N188"/>
  <c r="S193"/>
  <c r="T193" s="1"/>
  <c r="V193" s="1"/>
  <c r="L195"/>
  <c r="L198"/>
  <c r="N206"/>
  <c r="H208"/>
  <c r="J208" s="1"/>
  <c r="L93"/>
  <c r="L24"/>
  <c r="L192"/>
  <c r="S203"/>
  <c r="T203" s="1"/>
  <c r="V203" s="1"/>
  <c r="L98"/>
  <c r="L127"/>
  <c r="V156"/>
  <c r="L188"/>
  <c r="S192"/>
  <c r="T192" s="1"/>
  <c r="V192" s="1"/>
  <c r="V123"/>
  <c r="L120"/>
  <c r="P196"/>
  <c r="H203"/>
  <c r="J203" s="1"/>
  <c r="V96"/>
  <c r="Q99"/>
  <c r="N33" i="53" s="1"/>
  <c r="V153" i="52"/>
  <c r="Q34"/>
  <c r="N31" i="53" s="1"/>
  <c r="L14" i="52"/>
  <c r="L23"/>
  <c r="L29"/>
  <c r="V80"/>
  <c r="V81"/>
  <c r="L82"/>
  <c r="L88"/>
  <c r="L122"/>
  <c r="L133"/>
  <c r="L159"/>
  <c r="L162"/>
  <c r="L164"/>
  <c r="L196"/>
  <c r="N201"/>
  <c r="L203"/>
  <c r="N204"/>
  <c r="L206"/>
  <c r="S208"/>
  <c r="T208" s="1"/>
  <c r="V208" s="1"/>
  <c r="R34"/>
  <c r="L32"/>
  <c r="V92"/>
  <c r="L116"/>
  <c r="S200"/>
  <c r="T200" s="1"/>
  <c r="V200" s="1"/>
  <c r="L20"/>
  <c r="V27"/>
  <c r="L30"/>
  <c r="L33"/>
  <c r="L87"/>
  <c r="L96"/>
  <c r="L119"/>
  <c r="L125"/>
  <c r="L132"/>
  <c r="L134"/>
  <c r="V164"/>
  <c r="H187"/>
  <c r="J187" s="1"/>
  <c r="H190"/>
  <c r="J190" s="1"/>
  <c r="L194"/>
  <c r="L201"/>
  <c r="H202"/>
  <c r="J202" s="1"/>
  <c r="L204"/>
  <c r="L85"/>
  <c r="P201"/>
  <c r="K34"/>
  <c r="L15"/>
  <c r="L89"/>
  <c r="L94"/>
  <c r="Q136"/>
  <c r="N34" i="53" s="1"/>
  <c r="V116" i="52"/>
  <c r="V122"/>
  <c r="V134"/>
  <c r="V152"/>
  <c r="L158"/>
  <c r="L189"/>
  <c r="S190"/>
  <c r="T190" s="1"/>
  <c r="V190" s="1"/>
  <c r="H195"/>
  <c r="J195" s="1"/>
  <c r="H197"/>
  <c r="J197" s="1"/>
  <c r="H198"/>
  <c r="J198" s="1"/>
  <c r="V201"/>
  <c r="R99"/>
  <c r="L13"/>
  <c r="R136"/>
  <c r="R166"/>
  <c r="V158"/>
  <c r="S198"/>
  <c r="T198" s="1"/>
  <c r="V198" s="1"/>
  <c r="H205"/>
  <c r="J205" s="1"/>
  <c r="H206"/>
  <c r="J206" s="1"/>
  <c r="V94"/>
  <c r="L9"/>
  <c r="L11"/>
  <c r="L12"/>
  <c r="L21"/>
  <c r="L31"/>
  <c r="V87"/>
  <c r="L90"/>
  <c r="L128"/>
  <c r="L130"/>
  <c r="Q166"/>
  <c r="N35" i="53" s="1"/>
  <c r="L154" i="52"/>
  <c r="L156"/>
  <c r="R209"/>
  <c r="S189"/>
  <c r="T189" s="1"/>
  <c r="V189" s="1"/>
  <c r="S195"/>
  <c r="T195" s="1"/>
  <c r="V195" s="1"/>
  <c r="H200"/>
  <c r="J200" s="1"/>
  <c r="H201"/>
  <c r="J201" s="1"/>
  <c r="S206"/>
  <c r="T206" s="1"/>
  <c r="V206" s="1"/>
  <c r="V159"/>
  <c r="V117"/>
  <c r="V118"/>
  <c r="V126"/>
  <c r="V88"/>
  <c r="V86"/>
  <c r="V89"/>
  <c r="S20"/>
  <c r="T20" s="1"/>
  <c r="V20" s="1"/>
  <c r="L7"/>
  <c r="S19"/>
  <c r="T19" s="1"/>
  <c r="V19" s="1"/>
  <c r="S21"/>
  <c r="T21" s="1"/>
  <c r="V21" s="1"/>
  <c r="S22"/>
  <c r="T22" s="1"/>
  <c r="V22" s="1"/>
  <c r="H30"/>
  <c r="J30" s="1"/>
  <c r="H32"/>
  <c r="J32" s="1"/>
  <c r="H14"/>
  <c r="J14" s="1"/>
  <c r="P20"/>
  <c r="S24"/>
  <c r="T24" s="1"/>
  <c r="V24" s="1"/>
  <c r="V28"/>
  <c r="N20"/>
  <c r="P23"/>
  <c r="N25"/>
  <c r="S29"/>
  <c r="T29" s="1"/>
  <c r="V29" s="1"/>
  <c r="S30"/>
  <c r="T30" s="1"/>
  <c r="V30" s="1"/>
  <c r="S11"/>
  <c r="T11" s="1"/>
  <c r="V11" s="1"/>
  <c r="S13"/>
  <c r="T13" s="1"/>
  <c r="V13" s="1"/>
  <c r="S14"/>
  <c r="T14" s="1"/>
  <c r="V14" s="1"/>
  <c r="P15"/>
  <c r="L22"/>
  <c r="N23"/>
  <c r="L25"/>
  <c r="S32"/>
  <c r="T32" s="1"/>
  <c r="V32" s="1"/>
  <c r="N22" i="51"/>
  <c r="N25" s="1"/>
  <c r="F25"/>
  <c r="L23"/>
  <c r="AE33" i="44"/>
  <c r="M50" i="53"/>
  <c r="O49"/>
  <c r="P15"/>
  <c r="Q9"/>
  <c r="P13"/>
  <c r="P21"/>
  <c r="O24"/>
  <c r="O16"/>
  <c r="P25"/>
  <c r="P17"/>
  <c r="P23"/>
  <c r="O25"/>
  <c r="P18"/>
  <c r="P9"/>
  <c r="O18"/>
  <c r="O9"/>
  <c r="P19"/>
  <c r="P11"/>
  <c r="O50"/>
  <c r="T26"/>
  <c r="R15" i="51"/>
  <c r="Q15"/>
  <c r="P15"/>
  <c r="N10"/>
  <c r="N9"/>
  <c r="O9"/>
  <c r="L11"/>
  <c r="K15"/>
  <c r="K27" s="1"/>
  <c r="Q27" s="1"/>
  <c r="O8"/>
  <c r="I15"/>
  <c r="I27" s="1"/>
  <c r="J8"/>
  <c r="H10"/>
  <c r="H14"/>
  <c r="H9"/>
  <c r="G15"/>
  <c r="G27" s="1"/>
  <c r="P27" s="1"/>
  <c r="H8"/>
  <c r="AA15" i="43"/>
  <c r="Z15"/>
  <c r="AB15"/>
  <c r="Y15"/>
  <c r="U15"/>
  <c r="F15"/>
  <c r="P8" i="53"/>
  <c r="O8"/>
  <c r="S26"/>
  <c r="E26"/>
  <c r="D26"/>
  <c r="E42"/>
  <c r="D42"/>
  <c r="V26" i="52"/>
  <c r="V85"/>
  <c r="U136"/>
  <c r="V119"/>
  <c r="V131"/>
  <c r="V135"/>
  <c r="V157"/>
  <c r="V162"/>
  <c r="V188"/>
  <c r="V199"/>
  <c r="V191"/>
  <c r="U99"/>
  <c r="V93"/>
  <c r="V95"/>
  <c r="V121"/>
  <c r="V125"/>
  <c r="V196"/>
  <c r="V207"/>
  <c r="V79"/>
  <c r="V115"/>
  <c r="U166"/>
  <c r="V151"/>
  <c r="V129"/>
  <c r="V165"/>
  <c r="V31"/>
  <c r="V82"/>
  <c r="V132"/>
  <c r="V163"/>
  <c r="V204"/>
  <c r="T7"/>
  <c r="U209"/>
  <c r="V10"/>
  <c r="V23"/>
  <c r="V12"/>
  <c r="V15"/>
  <c r="V16"/>
  <c r="V84"/>
  <c r="V90"/>
  <c r="V133"/>
  <c r="T166"/>
  <c r="V154"/>
  <c r="V155"/>
  <c r="V197"/>
  <c r="F34"/>
  <c r="P84"/>
  <c r="P92"/>
  <c r="K99"/>
  <c r="P121"/>
  <c r="L123"/>
  <c r="P129"/>
  <c r="H130"/>
  <c r="J130" s="1"/>
  <c r="S130"/>
  <c r="T130" s="1"/>
  <c r="V130" s="1"/>
  <c r="L131"/>
  <c r="K136"/>
  <c r="P157"/>
  <c r="P165"/>
  <c r="P191"/>
  <c r="P199"/>
  <c r="P207"/>
  <c r="K166"/>
  <c r="F209"/>
  <c r="P10"/>
  <c r="N84"/>
  <c r="P116"/>
  <c r="N121"/>
  <c r="N129"/>
  <c r="P132"/>
  <c r="P152"/>
  <c r="N157"/>
  <c r="P160"/>
  <c r="N165"/>
  <c r="N191"/>
  <c r="P194"/>
  <c r="N199"/>
  <c r="P202"/>
  <c r="N207"/>
  <c r="K209"/>
  <c r="N18"/>
  <c r="P79"/>
  <c r="N92"/>
  <c r="P95"/>
  <c r="U7"/>
  <c r="U34" s="1"/>
  <c r="P8"/>
  <c r="H9"/>
  <c r="J9" s="1"/>
  <c r="S9"/>
  <c r="T9" s="1"/>
  <c r="V9" s="1"/>
  <c r="L10"/>
  <c r="N13"/>
  <c r="P16"/>
  <c r="H17"/>
  <c r="J17" s="1"/>
  <c r="S17"/>
  <c r="T17" s="1"/>
  <c r="V17" s="1"/>
  <c r="L18"/>
  <c r="N21"/>
  <c r="P24"/>
  <c r="S25"/>
  <c r="T25" s="1"/>
  <c r="V25" s="1"/>
  <c r="L26"/>
  <c r="N29"/>
  <c r="P32"/>
  <c r="H33"/>
  <c r="J33" s="1"/>
  <c r="S33"/>
  <c r="T33" s="1"/>
  <c r="V33" s="1"/>
  <c r="N79"/>
  <c r="P82"/>
  <c r="H83"/>
  <c r="J83" s="1"/>
  <c r="S83"/>
  <c r="T83" s="1"/>
  <c r="V83" s="1"/>
  <c r="L84"/>
  <c r="N87"/>
  <c r="P90"/>
  <c r="H91"/>
  <c r="J91" s="1"/>
  <c r="S91"/>
  <c r="T91" s="1"/>
  <c r="V91" s="1"/>
  <c r="L92"/>
  <c r="N95"/>
  <c r="P98"/>
  <c r="J115"/>
  <c r="N116"/>
  <c r="P119"/>
  <c r="H120"/>
  <c r="J120" s="1"/>
  <c r="S120"/>
  <c r="T120" s="1"/>
  <c r="V120" s="1"/>
  <c r="L121"/>
  <c r="N124"/>
  <c r="P127"/>
  <c r="H128"/>
  <c r="J128" s="1"/>
  <c r="S128"/>
  <c r="T128" s="1"/>
  <c r="V128" s="1"/>
  <c r="L129"/>
  <c r="N132"/>
  <c r="P135"/>
  <c r="N152"/>
  <c r="P155"/>
  <c r="L157"/>
  <c r="N160"/>
  <c r="P163"/>
  <c r="L165"/>
  <c r="P189"/>
  <c r="L191"/>
  <c r="N194"/>
  <c r="P197"/>
  <c r="L199"/>
  <c r="N202"/>
  <c r="P205"/>
  <c r="L207"/>
  <c r="P18"/>
  <c r="P13"/>
  <c r="P21"/>
  <c r="N26"/>
  <c r="P29"/>
  <c r="P87"/>
  <c r="N8"/>
  <c r="P11"/>
  <c r="N16"/>
  <c r="P19"/>
  <c r="N24"/>
  <c r="P27"/>
  <c r="N32"/>
  <c r="L79"/>
  <c r="N82"/>
  <c r="P85"/>
  <c r="N90"/>
  <c r="P93"/>
  <c r="N98"/>
  <c r="N119"/>
  <c r="P122"/>
  <c r="L124"/>
  <c r="N127"/>
  <c r="P130"/>
  <c r="N135"/>
  <c r="L152"/>
  <c r="N155"/>
  <c r="P158"/>
  <c r="N163"/>
  <c r="N189"/>
  <c r="P192"/>
  <c r="N197"/>
  <c r="P200"/>
  <c r="N205"/>
  <c r="P208"/>
  <c r="P26"/>
  <c r="N10"/>
  <c r="N11"/>
  <c r="P14"/>
  <c r="N19"/>
  <c r="P22"/>
  <c r="H23"/>
  <c r="J23" s="1"/>
  <c r="N27"/>
  <c r="P30"/>
  <c r="H31"/>
  <c r="J31" s="1"/>
  <c r="P80"/>
  <c r="N85"/>
  <c r="P88"/>
  <c r="N93"/>
  <c r="P96"/>
  <c r="P117"/>
  <c r="N122"/>
  <c r="P125"/>
  <c r="N130"/>
  <c r="P133"/>
  <c r="P153"/>
  <c r="N158"/>
  <c r="P161"/>
  <c r="H162"/>
  <c r="J162" s="1"/>
  <c r="P187"/>
  <c r="H188"/>
  <c r="J188" s="1"/>
  <c r="N192"/>
  <c r="P195"/>
  <c r="H196"/>
  <c r="J196" s="1"/>
  <c r="N200"/>
  <c r="P203"/>
  <c r="H204"/>
  <c r="J204" s="1"/>
  <c r="N208"/>
  <c r="S166"/>
  <c r="H10"/>
  <c r="J10" s="1"/>
  <c r="H18"/>
  <c r="J18" s="1"/>
  <c r="H26"/>
  <c r="J26" s="1"/>
  <c r="H84"/>
  <c r="J84" s="1"/>
  <c r="H92"/>
  <c r="J92" s="1"/>
  <c r="H121"/>
  <c r="J121" s="1"/>
  <c r="H129"/>
  <c r="J129" s="1"/>
  <c r="H157"/>
  <c r="J157" s="1"/>
  <c r="H165"/>
  <c r="J165" s="1"/>
  <c r="H191"/>
  <c r="J191" s="1"/>
  <c r="H199"/>
  <c r="J199" s="1"/>
  <c r="H207"/>
  <c r="J207" s="1"/>
  <c r="H25" i="51"/>
  <c r="L24"/>
  <c r="L20"/>
  <c r="N23"/>
  <c r="J22"/>
  <c r="J25" s="1"/>
  <c r="N24"/>
  <c r="N20"/>
  <c r="E25"/>
  <c r="L21"/>
  <c r="L12"/>
  <c r="J10"/>
  <c r="L13"/>
  <c r="N12"/>
  <c r="J11"/>
  <c r="L14"/>
  <c r="N13"/>
  <c r="L8"/>
  <c r="N14"/>
  <c r="N8"/>
  <c r="L9"/>
  <c r="L10"/>
  <c r="E15"/>
  <c r="O25"/>
  <c r="F15"/>
  <c r="F27" s="1"/>
  <c r="E27"/>
  <c r="Y189" i="3"/>
  <c r="Y190"/>
  <c r="Y191"/>
  <c r="Y192"/>
  <c r="Y193"/>
  <c r="Y194"/>
  <c r="Y195"/>
  <c r="Y196"/>
  <c r="Y197"/>
  <c r="Y198"/>
  <c r="Y199"/>
  <c r="Y200"/>
  <c r="Y201"/>
  <c r="Y202"/>
  <c r="Y203"/>
  <c r="Y204"/>
  <c r="Y188"/>
  <c r="Y151"/>
  <c r="Y152"/>
  <c r="Y153"/>
  <c r="Y154"/>
  <c r="Y155"/>
  <c r="Y156"/>
  <c r="Y157"/>
  <c r="Y158"/>
  <c r="Y150"/>
  <c r="Y116"/>
  <c r="Y117"/>
  <c r="Y118"/>
  <c r="Y119"/>
  <c r="Y120"/>
  <c r="Y121"/>
  <c r="Y122"/>
  <c r="Y123"/>
  <c r="Y124"/>
  <c r="Y125"/>
  <c r="Y126"/>
  <c r="Y127"/>
  <c r="Y128"/>
  <c r="Y129"/>
  <c r="Y130"/>
  <c r="Y115"/>
  <c r="Y81"/>
  <c r="Y82"/>
  <c r="Y83"/>
  <c r="Y84"/>
  <c r="Y85"/>
  <c r="Y86"/>
  <c r="Y87"/>
  <c r="Y88"/>
  <c r="Y89"/>
  <c r="Y90"/>
  <c r="Y91"/>
  <c r="Y92"/>
  <c r="Y93"/>
  <c r="Y94"/>
  <c r="Y95"/>
  <c r="Y96"/>
  <c r="Y97"/>
  <c r="Y98"/>
  <c r="Y99"/>
  <c r="Y100"/>
  <c r="Y101"/>
  <c r="Y80"/>
  <c r="Y8"/>
  <c r="O25" i="50"/>
  <c r="O27" s="1"/>
  <c r="N25"/>
  <c r="N27" s="1"/>
  <c r="M25"/>
  <c r="J24"/>
  <c r="K24" s="1"/>
  <c r="G24"/>
  <c r="F24"/>
  <c r="J23"/>
  <c r="K23" s="1"/>
  <c r="G23"/>
  <c r="F23"/>
  <c r="J22"/>
  <c r="K22" s="1"/>
  <c r="G22"/>
  <c r="F22"/>
  <c r="J21"/>
  <c r="L21" s="1"/>
  <c r="G21"/>
  <c r="F21"/>
  <c r="J20"/>
  <c r="G20"/>
  <c r="F20"/>
  <c r="O15"/>
  <c r="N15"/>
  <c r="J14"/>
  <c r="K14" s="1"/>
  <c r="I14"/>
  <c r="G14"/>
  <c r="F14"/>
  <c r="E14"/>
  <c r="J13"/>
  <c r="K13" s="1"/>
  <c r="H13"/>
  <c r="G13"/>
  <c r="F13"/>
  <c r="E13"/>
  <c r="J12"/>
  <c r="K12" s="1"/>
  <c r="I12"/>
  <c r="G12"/>
  <c r="F12"/>
  <c r="E12"/>
  <c r="J11"/>
  <c r="K11" s="1"/>
  <c r="I11"/>
  <c r="H11"/>
  <c r="G11"/>
  <c r="F11"/>
  <c r="E11"/>
  <c r="J10"/>
  <c r="L10" s="1"/>
  <c r="H10"/>
  <c r="G10"/>
  <c r="F10"/>
  <c r="E10"/>
  <c r="L9"/>
  <c r="L15" s="1"/>
  <c r="J9"/>
  <c r="I9"/>
  <c r="I15" s="1"/>
  <c r="G9"/>
  <c r="F9"/>
  <c r="E9"/>
  <c r="M8"/>
  <c r="M15" s="1"/>
  <c r="J8"/>
  <c r="H8"/>
  <c r="H15" s="1"/>
  <c r="G8"/>
  <c r="F8"/>
  <c r="E8"/>
  <c r="W189" i="3"/>
  <c r="W190"/>
  <c r="W191"/>
  <c r="W192"/>
  <c r="W193"/>
  <c r="W194"/>
  <c r="W195"/>
  <c r="W196"/>
  <c r="W197"/>
  <c r="W198"/>
  <c r="W199"/>
  <c r="W200"/>
  <c r="W201"/>
  <c r="W202"/>
  <c r="W203"/>
  <c r="W204"/>
  <c r="W205"/>
  <c r="W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188"/>
  <c r="W151"/>
  <c r="W152"/>
  <c r="W153"/>
  <c r="W154"/>
  <c r="W155"/>
  <c r="W156"/>
  <c r="W157"/>
  <c r="W158"/>
  <c r="W150"/>
  <c r="S151"/>
  <c r="S152"/>
  <c r="S153"/>
  <c r="S154"/>
  <c r="S155"/>
  <c r="S156"/>
  <c r="S157"/>
  <c r="S158"/>
  <c r="S150"/>
  <c r="W116"/>
  <c r="W117"/>
  <c r="W118"/>
  <c r="W119"/>
  <c r="W120"/>
  <c r="W121"/>
  <c r="W122"/>
  <c r="W123"/>
  <c r="W124"/>
  <c r="W125"/>
  <c r="W126"/>
  <c r="W127"/>
  <c r="W128"/>
  <c r="W129"/>
  <c r="W130"/>
  <c r="W115"/>
  <c r="S116"/>
  <c r="S117"/>
  <c r="S118"/>
  <c r="S119"/>
  <c r="S120"/>
  <c r="S121"/>
  <c r="S122"/>
  <c r="S123"/>
  <c r="S124"/>
  <c r="S125"/>
  <c r="S126"/>
  <c r="S127"/>
  <c r="S128"/>
  <c r="S129"/>
  <c r="S130"/>
  <c r="S115"/>
  <c r="W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80"/>
  <c r="N159"/>
  <c r="W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64"/>
  <c r="W65"/>
  <c r="W66"/>
  <c r="W67"/>
  <c r="W68"/>
  <c r="W69"/>
  <c r="W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43"/>
  <c r="S7"/>
  <c r="T7" s="1"/>
  <c r="S8"/>
  <c r="T8" s="1"/>
  <c r="W8"/>
  <c r="W7"/>
  <c r="M8" i="17"/>
  <c r="M7"/>
  <c r="K8" i="53" s="1"/>
  <c r="I8" i="17"/>
  <c r="G7"/>
  <c r="N498"/>
  <c r="L23" i="53" s="1"/>
  <c r="Q23" s="1"/>
  <c r="L498" i="17"/>
  <c r="H498"/>
  <c r="F498"/>
  <c r="R497"/>
  <c r="S497" s="1"/>
  <c r="Q497"/>
  <c r="P497"/>
  <c r="M497"/>
  <c r="K497"/>
  <c r="J497"/>
  <c r="T497" s="1"/>
  <c r="I497"/>
  <c r="G497"/>
  <c r="O497"/>
  <c r="R496"/>
  <c r="S496" s="1"/>
  <c r="Q496"/>
  <c r="P496"/>
  <c r="J496"/>
  <c r="T496" s="1"/>
  <c r="I496"/>
  <c r="G496"/>
  <c r="O496"/>
  <c r="R495"/>
  <c r="S495" s="1"/>
  <c r="Q495"/>
  <c r="P495"/>
  <c r="O495"/>
  <c r="M495"/>
  <c r="J495"/>
  <c r="T495" s="1"/>
  <c r="G495"/>
  <c r="I495" s="1"/>
  <c r="S494"/>
  <c r="R494"/>
  <c r="Q494"/>
  <c r="P494"/>
  <c r="J494"/>
  <c r="T494" s="1"/>
  <c r="G494"/>
  <c r="I494" s="1"/>
  <c r="M494"/>
  <c r="R493"/>
  <c r="S493" s="1"/>
  <c r="U493" s="1"/>
  <c r="Q493"/>
  <c r="P493"/>
  <c r="J493"/>
  <c r="T493" s="1"/>
  <c r="G493"/>
  <c r="I493" s="1"/>
  <c r="R492"/>
  <c r="S492" s="1"/>
  <c r="Q492"/>
  <c r="P492"/>
  <c r="O492"/>
  <c r="M492"/>
  <c r="K492"/>
  <c r="J492"/>
  <c r="T492" s="1"/>
  <c r="G492"/>
  <c r="I492" s="1"/>
  <c r="R491"/>
  <c r="S491" s="1"/>
  <c r="Q491"/>
  <c r="P491"/>
  <c r="J491"/>
  <c r="T491" s="1"/>
  <c r="I491"/>
  <c r="G491"/>
  <c r="Q490"/>
  <c r="P490"/>
  <c r="J490"/>
  <c r="T490" s="1"/>
  <c r="R490"/>
  <c r="S490" s="1"/>
  <c r="S489"/>
  <c r="R489"/>
  <c r="Q489"/>
  <c r="P489"/>
  <c r="M489"/>
  <c r="J489"/>
  <c r="T489" s="1"/>
  <c r="G489"/>
  <c r="I489" s="1"/>
  <c r="O489"/>
  <c r="R488"/>
  <c r="S488" s="1"/>
  <c r="Q488"/>
  <c r="P488"/>
  <c r="J488"/>
  <c r="T488" s="1"/>
  <c r="G488"/>
  <c r="I488" s="1"/>
  <c r="M488"/>
  <c r="R487"/>
  <c r="S487" s="1"/>
  <c r="Q487"/>
  <c r="P487"/>
  <c r="O487"/>
  <c r="M487"/>
  <c r="J487"/>
  <c r="T487" s="1"/>
  <c r="G487"/>
  <c r="I487" s="1"/>
  <c r="R486"/>
  <c r="S486" s="1"/>
  <c r="Q486"/>
  <c r="P486"/>
  <c r="J486"/>
  <c r="T486" s="1"/>
  <c r="G486"/>
  <c r="I486" s="1"/>
  <c r="M486"/>
  <c r="R485"/>
  <c r="S485" s="1"/>
  <c r="Q485"/>
  <c r="P485"/>
  <c r="J485"/>
  <c r="T485" s="1"/>
  <c r="G485"/>
  <c r="I485" s="1"/>
  <c r="R484"/>
  <c r="S484" s="1"/>
  <c r="Q484"/>
  <c r="P484"/>
  <c r="O484"/>
  <c r="M484"/>
  <c r="J484"/>
  <c r="T484" s="1"/>
  <c r="G484"/>
  <c r="I484" s="1"/>
  <c r="S483"/>
  <c r="R483"/>
  <c r="Q483"/>
  <c r="P483"/>
  <c r="J483"/>
  <c r="G483"/>
  <c r="I483" s="1"/>
  <c r="Q482"/>
  <c r="P482"/>
  <c r="J482"/>
  <c r="T482" s="1"/>
  <c r="R482"/>
  <c r="N467"/>
  <c r="L22" i="53" s="1"/>
  <c r="Q22" s="1"/>
  <c r="L467" i="17"/>
  <c r="H467"/>
  <c r="F467"/>
  <c r="R466"/>
  <c r="S466" s="1"/>
  <c r="Q466"/>
  <c r="P466"/>
  <c r="M466"/>
  <c r="K466"/>
  <c r="J466"/>
  <c r="T466" s="1"/>
  <c r="G466"/>
  <c r="I466" s="1"/>
  <c r="O466"/>
  <c r="R465"/>
  <c r="S465" s="1"/>
  <c r="Q465"/>
  <c r="P465"/>
  <c r="J465"/>
  <c r="T465" s="1"/>
  <c r="G465"/>
  <c r="I465" s="1"/>
  <c r="O465"/>
  <c r="R464"/>
  <c r="S464" s="1"/>
  <c r="Q464"/>
  <c r="P464"/>
  <c r="O464"/>
  <c r="M464"/>
  <c r="J464"/>
  <c r="T464" s="1"/>
  <c r="G464"/>
  <c r="I464" s="1"/>
  <c r="R463"/>
  <c r="S463" s="1"/>
  <c r="Q463"/>
  <c r="P463"/>
  <c r="J463"/>
  <c r="T463" s="1"/>
  <c r="G463"/>
  <c r="I463" s="1"/>
  <c r="M463"/>
  <c r="R462"/>
  <c r="S462" s="1"/>
  <c r="Q462"/>
  <c r="P462"/>
  <c r="J462"/>
  <c r="T462" s="1"/>
  <c r="G462"/>
  <c r="I462" s="1"/>
  <c r="M462"/>
  <c r="R461"/>
  <c r="S461" s="1"/>
  <c r="Q461"/>
  <c r="P461"/>
  <c r="O461"/>
  <c r="M461"/>
  <c r="J461"/>
  <c r="T461" s="1"/>
  <c r="G461"/>
  <c r="I461" s="1"/>
  <c r="R460"/>
  <c r="S460" s="1"/>
  <c r="U460" s="1"/>
  <c r="Q460"/>
  <c r="P460"/>
  <c r="J460"/>
  <c r="T460" s="1"/>
  <c r="G460"/>
  <c r="I460" s="1"/>
  <c r="Q459"/>
  <c r="P459"/>
  <c r="J459"/>
  <c r="T459" s="1"/>
  <c r="R459"/>
  <c r="S459" s="1"/>
  <c r="R458"/>
  <c r="S458" s="1"/>
  <c r="Q458"/>
  <c r="P458"/>
  <c r="M458"/>
  <c r="J458"/>
  <c r="T458" s="1"/>
  <c r="G458"/>
  <c r="I458" s="1"/>
  <c r="O458"/>
  <c r="S457"/>
  <c r="R457"/>
  <c r="Q457"/>
  <c r="P457"/>
  <c r="J457"/>
  <c r="T457" s="1"/>
  <c r="G457"/>
  <c r="I457" s="1"/>
  <c r="R456"/>
  <c r="S456" s="1"/>
  <c r="Q456"/>
  <c r="P456"/>
  <c r="O456"/>
  <c r="M456"/>
  <c r="J456"/>
  <c r="T456" s="1"/>
  <c r="G456"/>
  <c r="I456" s="1"/>
  <c r="R455"/>
  <c r="S455" s="1"/>
  <c r="Q455"/>
  <c r="P455"/>
  <c r="J455"/>
  <c r="T455" s="1"/>
  <c r="G455"/>
  <c r="I455" s="1"/>
  <c r="M455"/>
  <c r="R454"/>
  <c r="S454" s="1"/>
  <c r="Q454"/>
  <c r="P454"/>
  <c r="J454"/>
  <c r="T454" s="1"/>
  <c r="G454"/>
  <c r="I454" s="1"/>
  <c r="R453"/>
  <c r="S453" s="1"/>
  <c r="Q453"/>
  <c r="P453"/>
  <c r="O453"/>
  <c r="M453"/>
  <c r="J453"/>
  <c r="T453" s="1"/>
  <c r="G453"/>
  <c r="I453" s="1"/>
  <c r="R452"/>
  <c r="S452" s="1"/>
  <c r="Q452"/>
  <c r="P452"/>
  <c r="J452"/>
  <c r="K452" s="1"/>
  <c r="G452"/>
  <c r="I452" s="1"/>
  <c r="Q451"/>
  <c r="P451"/>
  <c r="J451"/>
  <c r="T451" s="1"/>
  <c r="R451"/>
  <c r="N434"/>
  <c r="L21" i="53" s="1"/>
  <c r="Q21" s="1"/>
  <c r="L434" i="17"/>
  <c r="H434"/>
  <c r="F434"/>
  <c r="R433"/>
  <c r="S433" s="1"/>
  <c r="Q433"/>
  <c r="P433"/>
  <c r="M433"/>
  <c r="K433"/>
  <c r="J433"/>
  <c r="T433" s="1"/>
  <c r="G433"/>
  <c r="I433" s="1"/>
  <c r="O433"/>
  <c r="R432"/>
  <c r="S432" s="1"/>
  <c r="Q432"/>
  <c r="P432"/>
  <c r="J432"/>
  <c r="T432" s="1"/>
  <c r="G432"/>
  <c r="I432" s="1"/>
  <c r="O432"/>
  <c r="S431"/>
  <c r="R431"/>
  <c r="Q431"/>
  <c r="P431"/>
  <c r="O431"/>
  <c r="M431"/>
  <c r="K431"/>
  <c r="J431"/>
  <c r="T431" s="1"/>
  <c r="I431"/>
  <c r="G431"/>
  <c r="R430"/>
  <c r="S430" s="1"/>
  <c r="Q430"/>
  <c r="P430"/>
  <c r="J430"/>
  <c r="T430" s="1"/>
  <c r="I430"/>
  <c r="G430"/>
  <c r="M430"/>
  <c r="R429"/>
  <c r="S429" s="1"/>
  <c r="Q429"/>
  <c r="P429"/>
  <c r="J429"/>
  <c r="T429" s="1"/>
  <c r="G429"/>
  <c r="I429" s="1"/>
  <c r="R428"/>
  <c r="S428" s="1"/>
  <c r="Q428"/>
  <c r="P428"/>
  <c r="O428"/>
  <c r="M428"/>
  <c r="J428"/>
  <c r="T428" s="1"/>
  <c r="G428"/>
  <c r="I428" s="1"/>
  <c r="R427"/>
  <c r="S427" s="1"/>
  <c r="Q427"/>
  <c r="P427"/>
  <c r="J427"/>
  <c r="T427" s="1"/>
  <c r="G427"/>
  <c r="I427" s="1"/>
  <c r="Q426"/>
  <c r="P426"/>
  <c r="J426"/>
  <c r="T426" s="1"/>
  <c r="R426"/>
  <c r="S426" s="1"/>
  <c r="R425"/>
  <c r="S425" s="1"/>
  <c r="Q425"/>
  <c r="P425"/>
  <c r="M425"/>
  <c r="J425"/>
  <c r="T425" s="1"/>
  <c r="G425"/>
  <c r="I425" s="1"/>
  <c r="O425"/>
  <c r="R424"/>
  <c r="S424" s="1"/>
  <c r="Q424"/>
  <c r="P424"/>
  <c r="J424"/>
  <c r="T424" s="1"/>
  <c r="G424"/>
  <c r="I424" s="1"/>
  <c r="M424"/>
  <c r="R423"/>
  <c r="S423" s="1"/>
  <c r="Q423"/>
  <c r="P423"/>
  <c r="O423"/>
  <c r="M423"/>
  <c r="J423"/>
  <c r="T423" s="1"/>
  <c r="G423"/>
  <c r="I423" s="1"/>
  <c r="R422"/>
  <c r="S422" s="1"/>
  <c r="Q422"/>
  <c r="P422"/>
  <c r="K422"/>
  <c r="J422"/>
  <c r="T422" s="1"/>
  <c r="G422"/>
  <c r="I422" s="1"/>
  <c r="M422"/>
  <c r="R421"/>
  <c r="S421" s="1"/>
  <c r="Q421"/>
  <c r="P421"/>
  <c r="J421"/>
  <c r="T421" s="1"/>
  <c r="G421"/>
  <c r="I421" s="1"/>
  <c r="M421"/>
  <c r="R420"/>
  <c r="S420" s="1"/>
  <c r="Q420"/>
  <c r="P420"/>
  <c r="O420"/>
  <c r="M420"/>
  <c r="J420"/>
  <c r="T420" s="1"/>
  <c r="G420"/>
  <c r="I420" s="1"/>
  <c r="S419"/>
  <c r="R419"/>
  <c r="Q419"/>
  <c r="P419"/>
  <c r="J419"/>
  <c r="T419" s="1"/>
  <c r="G419"/>
  <c r="I419" s="1"/>
  <c r="Q418"/>
  <c r="P418"/>
  <c r="J418"/>
  <c r="T418" s="1"/>
  <c r="R418"/>
  <c r="R415"/>
  <c r="N375"/>
  <c r="L19" i="53" s="1"/>
  <c r="Q19" s="1"/>
  <c r="L375" i="17"/>
  <c r="H375"/>
  <c r="F375"/>
  <c r="E375"/>
  <c r="S374"/>
  <c r="R374"/>
  <c r="Q374"/>
  <c r="P374"/>
  <c r="M374"/>
  <c r="K374"/>
  <c r="J374"/>
  <c r="T374" s="1"/>
  <c r="G374"/>
  <c r="I374" s="1"/>
  <c r="O374"/>
  <c r="R373"/>
  <c r="S373" s="1"/>
  <c r="Q373"/>
  <c r="P373"/>
  <c r="J373"/>
  <c r="T373" s="1"/>
  <c r="G373"/>
  <c r="I373" s="1"/>
  <c r="Q372"/>
  <c r="P372"/>
  <c r="O372"/>
  <c r="M372"/>
  <c r="J372"/>
  <c r="T372" s="1"/>
  <c r="R372"/>
  <c r="S372" s="1"/>
  <c r="R371"/>
  <c r="S371" s="1"/>
  <c r="Q371"/>
  <c r="P371"/>
  <c r="K371"/>
  <c r="J371"/>
  <c r="T371" s="1"/>
  <c r="G371"/>
  <c r="I371" s="1"/>
  <c r="M371"/>
  <c r="R370"/>
  <c r="S370" s="1"/>
  <c r="Q370"/>
  <c r="P370"/>
  <c r="J370"/>
  <c r="T370" s="1"/>
  <c r="G370"/>
  <c r="I370" s="1"/>
  <c r="Q369"/>
  <c r="P369"/>
  <c r="O369"/>
  <c r="M369"/>
  <c r="J369"/>
  <c r="T369" s="1"/>
  <c r="G369"/>
  <c r="I369" s="1"/>
  <c r="R369"/>
  <c r="S369" s="1"/>
  <c r="R368"/>
  <c r="S368" s="1"/>
  <c r="Q368"/>
  <c r="P368"/>
  <c r="J368"/>
  <c r="T368" s="1"/>
  <c r="G368"/>
  <c r="I368" s="1"/>
  <c r="Q367"/>
  <c r="P367"/>
  <c r="J367"/>
  <c r="T367" s="1"/>
  <c r="R367"/>
  <c r="S367" s="1"/>
  <c r="R366"/>
  <c r="S366" s="1"/>
  <c r="Q366"/>
  <c r="P366"/>
  <c r="M366"/>
  <c r="J366"/>
  <c r="T366" s="1"/>
  <c r="G366"/>
  <c r="I366" s="1"/>
  <c r="O366"/>
  <c r="R365"/>
  <c r="S365" s="1"/>
  <c r="Q365"/>
  <c r="P365"/>
  <c r="J365"/>
  <c r="T365" s="1"/>
  <c r="G365"/>
  <c r="I365" s="1"/>
  <c r="R364"/>
  <c r="S364" s="1"/>
  <c r="Q364"/>
  <c r="P364"/>
  <c r="O364"/>
  <c r="M364"/>
  <c r="J364"/>
  <c r="T364" s="1"/>
  <c r="G364"/>
  <c r="I364" s="1"/>
  <c r="R363"/>
  <c r="S363" s="1"/>
  <c r="Q363"/>
  <c r="P363"/>
  <c r="J363"/>
  <c r="T363" s="1"/>
  <c r="G363"/>
  <c r="I363" s="1"/>
  <c r="M363"/>
  <c r="R362"/>
  <c r="S362" s="1"/>
  <c r="Q362"/>
  <c r="P362"/>
  <c r="J362"/>
  <c r="T362" s="1"/>
  <c r="G362"/>
  <c r="I362" s="1"/>
  <c r="Q361"/>
  <c r="P361"/>
  <c r="O361"/>
  <c r="M361"/>
  <c r="J361"/>
  <c r="T361" s="1"/>
  <c r="R361"/>
  <c r="S361" s="1"/>
  <c r="R360"/>
  <c r="S360" s="1"/>
  <c r="Q360"/>
  <c r="P360"/>
  <c r="J360"/>
  <c r="T360" s="1"/>
  <c r="G360"/>
  <c r="I360" s="1"/>
  <c r="Q359"/>
  <c r="P359"/>
  <c r="J359"/>
  <c r="T359" s="1"/>
  <c r="R359"/>
  <c r="S359" s="1"/>
  <c r="R358"/>
  <c r="S358" s="1"/>
  <c r="Q358"/>
  <c r="P358"/>
  <c r="M358"/>
  <c r="J358"/>
  <c r="T358" s="1"/>
  <c r="G358"/>
  <c r="I358" s="1"/>
  <c r="O358"/>
  <c r="R357"/>
  <c r="S357" s="1"/>
  <c r="Q357"/>
  <c r="P357"/>
  <c r="J357"/>
  <c r="T357" s="1"/>
  <c r="I357"/>
  <c r="G357"/>
  <c r="Q356"/>
  <c r="P356"/>
  <c r="O356"/>
  <c r="M356"/>
  <c r="J356"/>
  <c r="T356" s="1"/>
  <c r="R356"/>
  <c r="S356" s="1"/>
  <c r="R355"/>
  <c r="S355" s="1"/>
  <c r="Q355"/>
  <c r="P355"/>
  <c r="J355"/>
  <c r="T355" s="1"/>
  <c r="G355"/>
  <c r="I355" s="1"/>
  <c r="M355"/>
  <c r="R354"/>
  <c r="S354" s="1"/>
  <c r="Q354"/>
  <c r="P354"/>
  <c r="J354"/>
  <c r="T354" s="1"/>
  <c r="G354"/>
  <c r="I354" s="1"/>
  <c r="Q353"/>
  <c r="P353"/>
  <c r="O353"/>
  <c r="M353"/>
  <c r="K353"/>
  <c r="J353"/>
  <c r="R353"/>
  <c r="N343"/>
  <c r="L18" i="53" s="1"/>
  <c r="Q18" s="1"/>
  <c r="L343" i="17"/>
  <c r="H343"/>
  <c r="F343"/>
  <c r="E343"/>
  <c r="R342"/>
  <c r="S342" s="1"/>
  <c r="Q342"/>
  <c r="P342"/>
  <c r="M342"/>
  <c r="J342"/>
  <c r="T342" s="1"/>
  <c r="G342"/>
  <c r="I342" s="1"/>
  <c r="O342"/>
  <c r="R341"/>
  <c r="S341" s="1"/>
  <c r="Q341"/>
  <c r="P341"/>
  <c r="J341"/>
  <c r="T341" s="1"/>
  <c r="G341"/>
  <c r="I341" s="1"/>
  <c r="Q340"/>
  <c r="P340"/>
  <c r="O340"/>
  <c r="M340"/>
  <c r="J340"/>
  <c r="T340" s="1"/>
  <c r="R340"/>
  <c r="S340" s="1"/>
  <c r="Q339"/>
  <c r="P339"/>
  <c r="K339"/>
  <c r="J339"/>
  <c r="T339" s="1"/>
  <c r="M339"/>
  <c r="R338"/>
  <c r="S338" s="1"/>
  <c r="Q338"/>
  <c r="P338"/>
  <c r="J338"/>
  <c r="T338" s="1"/>
  <c r="G338"/>
  <c r="I338" s="1"/>
  <c r="R337"/>
  <c r="S337" s="1"/>
  <c r="Q337"/>
  <c r="P337"/>
  <c r="O337"/>
  <c r="M337"/>
  <c r="J337"/>
  <c r="T337" s="1"/>
  <c r="I337"/>
  <c r="G337"/>
  <c r="S336"/>
  <c r="R336"/>
  <c r="Q336"/>
  <c r="P336"/>
  <c r="J336"/>
  <c r="T336" s="1"/>
  <c r="G336"/>
  <c r="I336" s="1"/>
  <c r="Q335"/>
  <c r="P335"/>
  <c r="J335"/>
  <c r="T335" s="1"/>
  <c r="R335"/>
  <c r="S335" s="1"/>
  <c r="R334"/>
  <c r="S334" s="1"/>
  <c r="Q334"/>
  <c r="P334"/>
  <c r="M334"/>
  <c r="J334"/>
  <c r="T334" s="1"/>
  <c r="G334"/>
  <c r="I334" s="1"/>
  <c r="O334"/>
  <c r="R333"/>
  <c r="S333" s="1"/>
  <c r="Q333"/>
  <c r="P333"/>
  <c r="J333"/>
  <c r="T333" s="1"/>
  <c r="G333"/>
  <c r="I333" s="1"/>
  <c r="Q332"/>
  <c r="P332"/>
  <c r="O332"/>
  <c r="M332"/>
  <c r="J332"/>
  <c r="T332" s="1"/>
  <c r="R332"/>
  <c r="S332" s="1"/>
  <c r="Q331"/>
  <c r="P331"/>
  <c r="J331"/>
  <c r="T331" s="1"/>
  <c r="M331"/>
  <c r="R330"/>
  <c r="S330" s="1"/>
  <c r="Q330"/>
  <c r="P330"/>
  <c r="J330"/>
  <c r="T330" s="1"/>
  <c r="G330"/>
  <c r="I330" s="1"/>
  <c r="R329"/>
  <c r="S329" s="1"/>
  <c r="Q329"/>
  <c r="P329"/>
  <c r="O329"/>
  <c r="M329"/>
  <c r="J329"/>
  <c r="T329" s="1"/>
  <c r="G329"/>
  <c r="I329" s="1"/>
  <c r="R328"/>
  <c r="S328" s="1"/>
  <c r="Q328"/>
  <c r="P328"/>
  <c r="J328"/>
  <c r="T328" s="1"/>
  <c r="G328"/>
  <c r="I328" s="1"/>
  <c r="Q327"/>
  <c r="P327"/>
  <c r="J327"/>
  <c r="T327" s="1"/>
  <c r="R327"/>
  <c r="S327" s="1"/>
  <c r="R326"/>
  <c r="S326" s="1"/>
  <c r="Q326"/>
  <c r="P326"/>
  <c r="M326"/>
  <c r="J326"/>
  <c r="T326" s="1"/>
  <c r="G326"/>
  <c r="I326" s="1"/>
  <c r="O326"/>
  <c r="R325"/>
  <c r="S325" s="1"/>
  <c r="Q325"/>
  <c r="P325"/>
  <c r="J325"/>
  <c r="T325" s="1"/>
  <c r="G325"/>
  <c r="I325" s="1"/>
  <c r="Q324"/>
  <c r="P324"/>
  <c r="O324"/>
  <c r="M324"/>
  <c r="J324"/>
  <c r="T324" s="1"/>
  <c r="R324"/>
  <c r="S324" s="1"/>
  <c r="Q323"/>
  <c r="P323"/>
  <c r="J323"/>
  <c r="T323" s="1"/>
  <c r="M323"/>
  <c r="R322"/>
  <c r="S322" s="1"/>
  <c r="Q322"/>
  <c r="P322"/>
  <c r="J322"/>
  <c r="T322" s="1"/>
  <c r="G322"/>
  <c r="I322" s="1"/>
  <c r="Q321"/>
  <c r="P321"/>
  <c r="O321"/>
  <c r="M321"/>
  <c r="J321"/>
  <c r="K321" s="1"/>
  <c r="R321"/>
  <c r="N311"/>
  <c r="L17" i="53" s="1"/>
  <c r="Q17" s="1"/>
  <c r="L311" i="17"/>
  <c r="H311"/>
  <c r="F311"/>
  <c r="E311"/>
  <c r="R310"/>
  <c r="S310" s="1"/>
  <c r="Q310"/>
  <c r="P310"/>
  <c r="M310"/>
  <c r="J310"/>
  <c r="T310" s="1"/>
  <c r="G310"/>
  <c r="I310" s="1"/>
  <c r="O310"/>
  <c r="R309"/>
  <c r="S309" s="1"/>
  <c r="Q309"/>
  <c r="P309"/>
  <c r="J309"/>
  <c r="T309" s="1"/>
  <c r="G309"/>
  <c r="I309" s="1"/>
  <c r="R308"/>
  <c r="S308" s="1"/>
  <c r="Q308"/>
  <c r="P308"/>
  <c r="O308"/>
  <c r="M308"/>
  <c r="J308"/>
  <c r="T308" s="1"/>
  <c r="G308"/>
  <c r="I308" s="1"/>
  <c r="S307"/>
  <c r="R307"/>
  <c r="Q307"/>
  <c r="P307"/>
  <c r="J307"/>
  <c r="T307" s="1"/>
  <c r="G307"/>
  <c r="I307" s="1"/>
  <c r="M307"/>
  <c r="R306"/>
  <c r="S306" s="1"/>
  <c r="Q306"/>
  <c r="P306"/>
  <c r="J306"/>
  <c r="T306" s="1"/>
  <c r="G306"/>
  <c r="I306" s="1"/>
  <c r="O306"/>
  <c r="R305"/>
  <c r="S305" s="1"/>
  <c r="Q305"/>
  <c r="P305"/>
  <c r="O305"/>
  <c r="M305"/>
  <c r="K305"/>
  <c r="J305"/>
  <c r="T305" s="1"/>
  <c r="G305"/>
  <c r="I305" s="1"/>
  <c r="R304"/>
  <c r="S304" s="1"/>
  <c r="Q304"/>
  <c r="P304"/>
  <c r="J304"/>
  <c r="T304" s="1"/>
  <c r="G304"/>
  <c r="I304" s="1"/>
  <c r="Q303"/>
  <c r="P303"/>
  <c r="J303"/>
  <c r="T303" s="1"/>
  <c r="R303"/>
  <c r="S303" s="1"/>
  <c r="R302"/>
  <c r="S302" s="1"/>
  <c r="Q302"/>
  <c r="P302"/>
  <c r="M302"/>
  <c r="J302"/>
  <c r="T302" s="1"/>
  <c r="G302"/>
  <c r="I302" s="1"/>
  <c r="O302"/>
  <c r="R301"/>
  <c r="S301" s="1"/>
  <c r="Q301"/>
  <c r="P301"/>
  <c r="J301"/>
  <c r="T301" s="1"/>
  <c r="G301"/>
  <c r="I301" s="1"/>
  <c r="R300"/>
  <c r="S300" s="1"/>
  <c r="Q300"/>
  <c r="P300"/>
  <c r="O300"/>
  <c r="M300"/>
  <c r="J300"/>
  <c r="T300" s="1"/>
  <c r="G300"/>
  <c r="I300" s="1"/>
  <c r="R299"/>
  <c r="S299" s="1"/>
  <c r="Q299"/>
  <c r="P299"/>
  <c r="J299"/>
  <c r="T299" s="1"/>
  <c r="G299"/>
  <c r="I299" s="1"/>
  <c r="M299"/>
  <c r="R298"/>
  <c r="S298" s="1"/>
  <c r="Q298"/>
  <c r="P298"/>
  <c r="J298"/>
  <c r="T298" s="1"/>
  <c r="G298"/>
  <c r="I298" s="1"/>
  <c r="M298"/>
  <c r="R297"/>
  <c r="S297" s="1"/>
  <c r="Q297"/>
  <c r="P297"/>
  <c r="O297"/>
  <c r="M297"/>
  <c r="K297"/>
  <c r="J297"/>
  <c r="T297" s="1"/>
  <c r="G297"/>
  <c r="I297" s="1"/>
  <c r="R296"/>
  <c r="S296" s="1"/>
  <c r="Q296"/>
  <c r="P296"/>
  <c r="J296"/>
  <c r="T296" s="1"/>
  <c r="G296"/>
  <c r="I296" s="1"/>
  <c r="Q295"/>
  <c r="P295"/>
  <c r="J295"/>
  <c r="T295" s="1"/>
  <c r="R295"/>
  <c r="S295" s="1"/>
  <c r="R294"/>
  <c r="S294" s="1"/>
  <c r="Q294"/>
  <c r="P294"/>
  <c r="M294"/>
  <c r="J294"/>
  <c r="T294" s="1"/>
  <c r="G294"/>
  <c r="I294" s="1"/>
  <c r="O294"/>
  <c r="R293"/>
  <c r="S293" s="1"/>
  <c r="Q293"/>
  <c r="P293"/>
  <c r="J293"/>
  <c r="T293" s="1"/>
  <c r="G293"/>
  <c r="I293" s="1"/>
  <c r="R292"/>
  <c r="S292" s="1"/>
  <c r="Q292"/>
  <c r="P292"/>
  <c r="O292"/>
  <c r="M292"/>
  <c r="J292"/>
  <c r="T292" s="1"/>
  <c r="I292"/>
  <c r="G292"/>
  <c r="R291"/>
  <c r="S291" s="1"/>
  <c r="Q291"/>
  <c r="P291"/>
  <c r="J291"/>
  <c r="T291" s="1"/>
  <c r="I291"/>
  <c r="G291"/>
  <c r="M291"/>
  <c r="R290"/>
  <c r="S290" s="1"/>
  <c r="Q290"/>
  <c r="P290"/>
  <c r="J290"/>
  <c r="T290" s="1"/>
  <c r="G290"/>
  <c r="I290" s="1"/>
  <c r="O290"/>
  <c r="R289"/>
  <c r="S289" s="1"/>
  <c r="Q289"/>
  <c r="P289"/>
  <c r="O289"/>
  <c r="M289"/>
  <c r="J289"/>
  <c r="T289" s="1"/>
  <c r="I289"/>
  <c r="G289"/>
  <c r="N279"/>
  <c r="L16" i="53" s="1"/>
  <c r="Q16" s="1"/>
  <c r="L279" i="17"/>
  <c r="H279"/>
  <c r="F279"/>
  <c r="E279"/>
  <c r="Q278"/>
  <c r="P278"/>
  <c r="O278"/>
  <c r="M278"/>
  <c r="J278"/>
  <c r="T278" s="1"/>
  <c r="R278"/>
  <c r="S278" s="1"/>
  <c r="S277"/>
  <c r="R277"/>
  <c r="Q277"/>
  <c r="P277"/>
  <c r="J277"/>
  <c r="T277" s="1"/>
  <c r="G277"/>
  <c r="I277" s="1"/>
  <c r="R276"/>
  <c r="S276" s="1"/>
  <c r="Q276"/>
  <c r="P276"/>
  <c r="O276"/>
  <c r="M276"/>
  <c r="J276"/>
  <c r="T276" s="1"/>
  <c r="G276"/>
  <c r="I276" s="1"/>
  <c r="R275"/>
  <c r="S275" s="1"/>
  <c r="Q275"/>
  <c r="P275"/>
  <c r="O275"/>
  <c r="M275"/>
  <c r="K275"/>
  <c r="J275"/>
  <c r="T275" s="1"/>
  <c r="G275"/>
  <c r="I275" s="1"/>
  <c r="R274"/>
  <c r="S274" s="1"/>
  <c r="Q274"/>
  <c r="P274"/>
  <c r="J274"/>
  <c r="T274" s="1"/>
  <c r="G274"/>
  <c r="I274" s="1"/>
  <c r="Q273"/>
  <c r="P273"/>
  <c r="O273"/>
  <c r="M273"/>
  <c r="J273"/>
  <c r="T273" s="1"/>
  <c r="R273"/>
  <c r="S273" s="1"/>
  <c r="R272"/>
  <c r="S272" s="1"/>
  <c r="Q272"/>
  <c r="P272"/>
  <c r="M272"/>
  <c r="J272"/>
  <c r="K272" s="1"/>
  <c r="G272"/>
  <c r="I272" s="1"/>
  <c r="O272"/>
  <c r="Q271"/>
  <c r="P271"/>
  <c r="J271"/>
  <c r="T271" s="1"/>
  <c r="R271"/>
  <c r="S271" s="1"/>
  <c r="Q270"/>
  <c r="P270"/>
  <c r="O270"/>
  <c r="M270"/>
  <c r="J270"/>
  <c r="T270" s="1"/>
  <c r="R270"/>
  <c r="S270" s="1"/>
  <c r="R269"/>
  <c r="S269" s="1"/>
  <c r="Q269"/>
  <c r="P269"/>
  <c r="J269"/>
  <c r="T269" s="1"/>
  <c r="G269"/>
  <c r="I269" s="1"/>
  <c r="R268"/>
  <c r="S268" s="1"/>
  <c r="Q268"/>
  <c r="P268"/>
  <c r="O268"/>
  <c r="M268"/>
  <c r="J268"/>
  <c r="T268" s="1"/>
  <c r="G268"/>
  <c r="I268" s="1"/>
  <c r="R267"/>
  <c r="S267" s="1"/>
  <c r="Q267"/>
  <c r="P267"/>
  <c r="O267"/>
  <c r="M267"/>
  <c r="J267"/>
  <c r="T267" s="1"/>
  <c r="I267"/>
  <c r="G267"/>
  <c r="R266"/>
  <c r="S266" s="1"/>
  <c r="Q266"/>
  <c r="P266"/>
  <c r="J266"/>
  <c r="T266" s="1"/>
  <c r="G266"/>
  <c r="I266" s="1"/>
  <c r="Q265"/>
  <c r="P265"/>
  <c r="O265"/>
  <c r="M265"/>
  <c r="J265"/>
  <c r="T265" s="1"/>
  <c r="R265"/>
  <c r="S265" s="1"/>
  <c r="R264"/>
  <c r="S264" s="1"/>
  <c r="Q264"/>
  <c r="P264"/>
  <c r="M264"/>
  <c r="J264"/>
  <c r="K264" s="1"/>
  <c r="G264"/>
  <c r="I264" s="1"/>
  <c r="O264"/>
  <c r="Q263"/>
  <c r="P263"/>
  <c r="J263"/>
  <c r="T263" s="1"/>
  <c r="R263"/>
  <c r="S263" s="1"/>
  <c r="Q262"/>
  <c r="P262"/>
  <c r="O262"/>
  <c r="M262"/>
  <c r="J262"/>
  <c r="T262" s="1"/>
  <c r="R262"/>
  <c r="S262" s="1"/>
  <c r="R261"/>
  <c r="S261" s="1"/>
  <c r="Q261"/>
  <c r="P261"/>
  <c r="J261"/>
  <c r="T261" s="1"/>
  <c r="G261"/>
  <c r="I261" s="1"/>
  <c r="R260"/>
  <c r="S260" s="1"/>
  <c r="Q260"/>
  <c r="P260"/>
  <c r="O260"/>
  <c r="M260"/>
  <c r="J260"/>
  <c r="T260" s="1"/>
  <c r="G260"/>
  <c r="I260" s="1"/>
  <c r="R259"/>
  <c r="S259" s="1"/>
  <c r="Q259"/>
  <c r="P259"/>
  <c r="O259"/>
  <c r="M259"/>
  <c r="K259"/>
  <c r="J259"/>
  <c r="T259" s="1"/>
  <c r="G259"/>
  <c r="I259" s="1"/>
  <c r="R258"/>
  <c r="S258" s="1"/>
  <c r="Q258"/>
  <c r="P258"/>
  <c r="J258"/>
  <c r="T258" s="1"/>
  <c r="G258"/>
  <c r="I258" s="1"/>
  <c r="Q257"/>
  <c r="P257"/>
  <c r="O257"/>
  <c r="M257"/>
  <c r="J257"/>
  <c r="K257" s="1"/>
  <c r="R257"/>
  <c r="N215"/>
  <c r="L14" i="53" s="1"/>
  <c r="Q14" s="1"/>
  <c r="L215" i="17"/>
  <c r="H215"/>
  <c r="F215"/>
  <c r="E215"/>
  <c r="R214"/>
  <c r="S214" s="1"/>
  <c r="Q214"/>
  <c r="P214"/>
  <c r="M214"/>
  <c r="J214"/>
  <c r="T214" s="1"/>
  <c r="G214"/>
  <c r="I214" s="1"/>
  <c r="O214"/>
  <c r="R213"/>
  <c r="S213" s="1"/>
  <c r="Q213"/>
  <c r="P213"/>
  <c r="J213"/>
  <c r="T213" s="1"/>
  <c r="G213"/>
  <c r="I213" s="1"/>
  <c r="O213"/>
  <c r="R212"/>
  <c r="S212" s="1"/>
  <c r="Q212"/>
  <c r="P212"/>
  <c r="O212"/>
  <c r="M212"/>
  <c r="J212"/>
  <c r="T212" s="1"/>
  <c r="G212"/>
  <c r="I212" s="1"/>
  <c r="R211"/>
  <c r="S211" s="1"/>
  <c r="Q211"/>
  <c r="P211"/>
  <c r="J211"/>
  <c r="T211" s="1"/>
  <c r="G211"/>
  <c r="I211" s="1"/>
  <c r="M211"/>
  <c r="R210"/>
  <c r="S210" s="1"/>
  <c r="Q210"/>
  <c r="P210"/>
  <c r="J210"/>
  <c r="T210" s="1"/>
  <c r="G210"/>
  <c r="I210" s="1"/>
  <c r="M210"/>
  <c r="R209"/>
  <c r="S209" s="1"/>
  <c r="Q209"/>
  <c r="P209"/>
  <c r="O209"/>
  <c r="M209"/>
  <c r="J209"/>
  <c r="T209" s="1"/>
  <c r="G209"/>
  <c r="I209" s="1"/>
  <c r="R208"/>
  <c r="S208" s="1"/>
  <c r="Q208"/>
  <c r="P208"/>
  <c r="J208"/>
  <c r="T208" s="1"/>
  <c r="G208"/>
  <c r="I208" s="1"/>
  <c r="Q207"/>
  <c r="P207"/>
  <c r="J207"/>
  <c r="T207" s="1"/>
  <c r="R207"/>
  <c r="S207" s="1"/>
  <c r="R206"/>
  <c r="S206" s="1"/>
  <c r="Q206"/>
  <c r="P206"/>
  <c r="M206"/>
  <c r="J206"/>
  <c r="T206" s="1"/>
  <c r="G206"/>
  <c r="I206" s="1"/>
  <c r="O206"/>
  <c r="R205"/>
  <c r="S205" s="1"/>
  <c r="Q205"/>
  <c r="P205"/>
  <c r="J205"/>
  <c r="T205" s="1"/>
  <c r="G205"/>
  <c r="I205" s="1"/>
  <c r="O205"/>
  <c r="R204"/>
  <c r="S204" s="1"/>
  <c r="Q204"/>
  <c r="P204"/>
  <c r="O204"/>
  <c r="M204"/>
  <c r="J204"/>
  <c r="T204" s="1"/>
  <c r="G204"/>
  <c r="I204" s="1"/>
  <c r="R203"/>
  <c r="S203" s="1"/>
  <c r="Q203"/>
  <c r="P203"/>
  <c r="K203"/>
  <c r="J203"/>
  <c r="T203" s="1"/>
  <c r="G203"/>
  <c r="I203" s="1"/>
  <c r="M203"/>
  <c r="R202"/>
  <c r="S202" s="1"/>
  <c r="Q202"/>
  <c r="P202"/>
  <c r="J202"/>
  <c r="T202" s="1"/>
  <c r="G202"/>
  <c r="I202" s="1"/>
  <c r="R201"/>
  <c r="S201" s="1"/>
  <c r="Q201"/>
  <c r="P201"/>
  <c r="O201"/>
  <c r="M201"/>
  <c r="J201"/>
  <c r="T201" s="1"/>
  <c r="G201"/>
  <c r="I201" s="1"/>
  <c r="S200"/>
  <c r="R200"/>
  <c r="Q200"/>
  <c r="P200"/>
  <c r="J200"/>
  <c r="T200" s="1"/>
  <c r="G200"/>
  <c r="I200" s="1"/>
  <c r="Q199"/>
  <c r="P199"/>
  <c r="J199"/>
  <c r="T199" s="1"/>
  <c r="R199"/>
  <c r="S199" s="1"/>
  <c r="R198"/>
  <c r="S198" s="1"/>
  <c r="Q198"/>
  <c r="P198"/>
  <c r="M198"/>
  <c r="J198"/>
  <c r="T198" s="1"/>
  <c r="I198"/>
  <c r="G198"/>
  <c r="O198"/>
  <c r="R197"/>
  <c r="S197" s="1"/>
  <c r="Q197"/>
  <c r="P197"/>
  <c r="J197"/>
  <c r="T197" s="1"/>
  <c r="G197"/>
  <c r="I197" s="1"/>
  <c r="M197"/>
  <c r="R196"/>
  <c r="S196" s="1"/>
  <c r="Q196"/>
  <c r="P196"/>
  <c r="O196"/>
  <c r="M196"/>
  <c r="J196"/>
  <c r="T196" s="1"/>
  <c r="G196"/>
  <c r="I196" s="1"/>
  <c r="R195"/>
  <c r="S195" s="1"/>
  <c r="Q195"/>
  <c r="P195"/>
  <c r="J195"/>
  <c r="T195" s="1"/>
  <c r="G195"/>
  <c r="I195" s="1"/>
  <c r="M195"/>
  <c r="R194"/>
  <c r="S194" s="1"/>
  <c r="Q194"/>
  <c r="P194"/>
  <c r="J194"/>
  <c r="T194" s="1"/>
  <c r="G194"/>
  <c r="I194" s="1"/>
  <c r="M194"/>
  <c r="R193"/>
  <c r="S193" s="1"/>
  <c r="Q193"/>
  <c r="P193"/>
  <c r="O193"/>
  <c r="M193"/>
  <c r="J193"/>
  <c r="T193" s="1"/>
  <c r="G193"/>
  <c r="I193" s="1"/>
  <c r="R192"/>
  <c r="S192" s="1"/>
  <c r="Q192"/>
  <c r="P192"/>
  <c r="J192"/>
  <c r="T192" s="1"/>
  <c r="G192"/>
  <c r="I192" s="1"/>
  <c r="Q191"/>
  <c r="P191"/>
  <c r="J191"/>
  <c r="T191" s="1"/>
  <c r="R191"/>
  <c r="S191" s="1"/>
  <c r="R190"/>
  <c r="S190" s="1"/>
  <c r="Q190"/>
  <c r="P190"/>
  <c r="M190"/>
  <c r="K190"/>
  <c r="J190"/>
  <c r="G190"/>
  <c r="I190" s="1"/>
  <c r="O190"/>
  <c r="R189"/>
  <c r="S189" s="1"/>
  <c r="Q189"/>
  <c r="P189"/>
  <c r="J189"/>
  <c r="T189" s="1"/>
  <c r="G189"/>
  <c r="I189" s="1"/>
  <c r="R188"/>
  <c r="S188" s="1"/>
  <c r="Q188"/>
  <c r="P188"/>
  <c r="O188"/>
  <c r="M188"/>
  <c r="J188"/>
  <c r="T188" s="1"/>
  <c r="G188"/>
  <c r="N178"/>
  <c r="L13" i="53" s="1"/>
  <c r="Q13" s="1"/>
  <c r="L178" i="17"/>
  <c r="H178"/>
  <c r="F178"/>
  <c r="R177"/>
  <c r="S177" s="1"/>
  <c r="Q177"/>
  <c r="P177"/>
  <c r="J177"/>
  <c r="T177" s="1"/>
  <c r="G177"/>
  <c r="I177" s="1"/>
  <c r="O177"/>
  <c r="Q176"/>
  <c r="P176"/>
  <c r="J176"/>
  <c r="T176" s="1"/>
  <c r="G176"/>
  <c r="I176" s="1"/>
  <c r="Q175"/>
  <c r="P175"/>
  <c r="J175"/>
  <c r="T175" s="1"/>
  <c r="R175"/>
  <c r="S175" s="1"/>
  <c r="Q174"/>
  <c r="P174"/>
  <c r="J174"/>
  <c r="T174" s="1"/>
  <c r="G174"/>
  <c r="I174" s="1"/>
  <c r="M174"/>
  <c r="R173"/>
  <c r="S173" s="1"/>
  <c r="Q173"/>
  <c r="P173"/>
  <c r="J173"/>
  <c r="T173" s="1"/>
  <c r="Q172"/>
  <c r="P172"/>
  <c r="O172"/>
  <c r="M172"/>
  <c r="J172"/>
  <c r="T172" s="1"/>
  <c r="R172"/>
  <c r="S172" s="1"/>
  <c r="R171"/>
  <c r="S171" s="1"/>
  <c r="Q171"/>
  <c r="P171"/>
  <c r="J171"/>
  <c r="T171" s="1"/>
  <c r="G171"/>
  <c r="I171" s="1"/>
  <c r="Q170"/>
  <c r="P170"/>
  <c r="J170"/>
  <c r="T170" s="1"/>
  <c r="R170"/>
  <c r="S170" s="1"/>
  <c r="Q169"/>
  <c r="P169"/>
  <c r="J169"/>
  <c r="T169" s="1"/>
  <c r="G169"/>
  <c r="I169" s="1"/>
  <c r="O169"/>
  <c r="Q168"/>
  <c r="P168"/>
  <c r="J168"/>
  <c r="T168" s="1"/>
  <c r="G168"/>
  <c r="I168" s="1"/>
  <c r="Q167"/>
  <c r="P167"/>
  <c r="M167"/>
  <c r="J167"/>
  <c r="T167" s="1"/>
  <c r="G167"/>
  <c r="I167" s="1"/>
  <c r="R167"/>
  <c r="S167" s="1"/>
  <c r="R166"/>
  <c r="S166" s="1"/>
  <c r="Q166"/>
  <c r="P166"/>
  <c r="J166"/>
  <c r="T166" s="1"/>
  <c r="G166"/>
  <c r="I166" s="1"/>
  <c r="M166"/>
  <c r="R165"/>
  <c r="S165" s="1"/>
  <c r="Q165"/>
  <c r="P165"/>
  <c r="J165"/>
  <c r="T165" s="1"/>
  <c r="G165"/>
  <c r="I165" s="1"/>
  <c r="Q164"/>
  <c r="P164"/>
  <c r="O164"/>
  <c r="M164"/>
  <c r="J164"/>
  <c r="T164" s="1"/>
  <c r="R164"/>
  <c r="S164" s="1"/>
  <c r="Q163"/>
  <c r="P163"/>
  <c r="J163"/>
  <c r="T163" s="1"/>
  <c r="G163"/>
  <c r="I163" s="1"/>
  <c r="Q162"/>
  <c r="P162"/>
  <c r="J162"/>
  <c r="T162" s="1"/>
  <c r="R162"/>
  <c r="S162" s="1"/>
  <c r="Q161"/>
  <c r="P161"/>
  <c r="J161"/>
  <c r="T161" s="1"/>
  <c r="G161"/>
  <c r="I161" s="1"/>
  <c r="O161"/>
  <c r="Q160"/>
  <c r="P160"/>
  <c r="J160"/>
  <c r="T160" s="1"/>
  <c r="G160"/>
  <c r="I160" s="1"/>
  <c r="Q159"/>
  <c r="P159"/>
  <c r="J159"/>
  <c r="T159" s="1"/>
  <c r="G159"/>
  <c r="I159" s="1"/>
  <c r="M159"/>
  <c r="Q158"/>
  <c r="P158"/>
  <c r="J158"/>
  <c r="T158" s="1"/>
  <c r="G158"/>
  <c r="I158" s="1"/>
  <c r="M158"/>
  <c r="Q157"/>
  <c r="P157"/>
  <c r="J157"/>
  <c r="T157" s="1"/>
  <c r="G157"/>
  <c r="I157" s="1"/>
  <c r="Q156"/>
  <c r="P156"/>
  <c r="J156"/>
  <c r="T156" s="1"/>
  <c r="R156"/>
  <c r="S156" s="1"/>
  <c r="Q155"/>
  <c r="P155"/>
  <c r="J155"/>
  <c r="T155" s="1"/>
  <c r="G155"/>
  <c r="I155" s="1"/>
  <c r="Q154"/>
  <c r="P154"/>
  <c r="J154"/>
  <c r="T154" s="1"/>
  <c r="R154"/>
  <c r="S154" s="1"/>
  <c r="Q153"/>
  <c r="P153"/>
  <c r="M153"/>
  <c r="K153"/>
  <c r="J153"/>
  <c r="G153"/>
  <c r="I153" s="1"/>
  <c r="O153"/>
  <c r="R152"/>
  <c r="S152" s="1"/>
  <c r="Q152"/>
  <c r="P152"/>
  <c r="J152"/>
  <c r="T152" s="1"/>
  <c r="G152"/>
  <c r="I152" s="1"/>
  <c r="Q151"/>
  <c r="P151"/>
  <c r="J151"/>
  <c r="T151" s="1"/>
  <c r="E178"/>
  <c r="N141"/>
  <c r="L12" i="53" s="1"/>
  <c r="Q12" s="1"/>
  <c r="L141" i="17"/>
  <c r="H141"/>
  <c r="F141"/>
  <c r="Q140"/>
  <c r="P140"/>
  <c r="M140"/>
  <c r="J140"/>
  <c r="T140" s="1"/>
  <c r="G140"/>
  <c r="I140" s="1"/>
  <c r="O140"/>
  <c r="Q139"/>
  <c r="P139"/>
  <c r="J139"/>
  <c r="T139" s="1"/>
  <c r="G139"/>
  <c r="I139" s="1"/>
  <c r="M139"/>
  <c r="Q138"/>
  <c r="P138"/>
  <c r="J138"/>
  <c r="T138" s="1"/>
  <c r="R138"/>
  <c r="S138" s="1"/>
  <c r="Q137"/>
  <c r="P137"/>
  <c r="J137"/>
  <c r="T137" s="1"/>
  <c r="G137"/>
  <c r="I137" s="1"/>
  <c r="M137"/>
  <c r="R136"/>
  <c r="S136" s="1"/>
  <c r="Q136"/>
  <c r="P136"/>
  <c r="J136"/>
  <c r="T136" s="1"/>
  <c r="G136"/>
  <c r="I136" s="1"/>
  <c r="R135"/>
  <c r="S135" s="1"/>
  <c r="Q135"/>
  <c r="P135"/>
  <c r="J135"/>
  <c r="T135" s="1"/>
  <c r="G135"/>
  <c r="I135" s="1"/>
  <c r="Q134"/>
  <c r="P134"/>
  <c r="J134"/>
  <c r="T134" s="1"/>
  <c r="G134"/>
  <c r="I134" s="1"/>
  <c r="Q133"/>
  <c r="P133"/>
  <c r="J133"/>
  <c r="T133" s="1"/>
  <c r="R133"/>
  <c r="S133" s="1"/>
  <c r="Q132"/>
  <c r="P132"/>
  <c r="J132"/>
  <c r="T132" s="1"/>
  <c r="O132"/>
  <c r="Q131"/>
  <c r="P131"/>
  <c r="J131"/>
  <c r="T131" s="1"/>
  <c r="M131"/>
  <c r="S130"/>
  <c r="R130"/>
  <c r="Q130"/>
  <c r="P130"/>
  <c r="J130"/>
  <c r="T130" s="1"/>
  <c r="G130"/>
  <c r="I130" s="1"/>
  <c r="Q129"/>
  <c r="P129"/>
  <c r="J129"/>
  <c r="T129" s="1"/>
  <c r="G129"/>
  <c r="I129" s="1"/>
  <c r="M129"/>
  <c r="Q128"/>
  <c r="P128"/>
  <c r="J128"/>
  <c r="T128" s="1"/>
  <c r="G128"/>
  <c r="I128" s="1"/>
  <c r="M128"/>
  <c r="R127"/>
  <c r="S127" s="1"/>
  <c r="Q127"/>
  <c r="P127"/>
  <c r="M127"/>
  <c r="J127"/>
  <c r="T127" s="1"/>
  <c r="G127"/>
  <c r="I127" s="1"/>
  <c r="O127"/>
  <c r="Q126"/>
  <c r="P126"/>
  <c r="J126"/>
  <c r="T126" s="1"/>
  <c r="G126"/>
  <c r="I126" s="1"/>
  <c r="Q125"/>
  <c r="P125"/>
  <c r="J125"/>
  <c r="T125" s="1"/>
  <c r="R125"/>
  <c r="S125" s="1"/>
  <c r="Q124"/>
  <c r="P124"/>
  <c r="J124"/>
  <c r="T124" s="1"/>
  <c r="G124"/>
  <c r="I124" s="1"/>
  <c r="O124"/>
  <c r="Q123"/>
  <c r="P123"/>
  <c r="J123"/>
  <c r="T123" s="1"/>
  <c r="G123"/>
  <c r="I123" s="1"/>
  <c r="R123"/>
  <c r="S123" s="1"/>
  <c r="Q122"/>
  <c r="P122"/>
  <c r="O122"/>
  <c r="M122"/>
  <c r="J122"/>
  <c r="T122" s="1"/>
  <c r="R122"/>
  <c r="S122" s="1"/>
  <c r="R121"/>
  <c r="S121" s="1"/>
  <c r="Q121"/>
  <c r="P121"/>
  <c r="J121"/>
  <c r="T121" s="1"/>
  <c r="G121"/>
  <c r="I121" s="1"/>
  <c r="M121"/>
  <c r="R120"/>
  <c r="S120" s="1"/>
  <c r="Q120"/>
  <c r="P120"/>
  <c r="J120"/>
  <c r="T120" s="1"/>
  <c r="G120"/>
  <c r="I120" s="1"/>
  <c r="M120"/>
  <c r="Q119"/>
  <c r="P119"/>
  <c r="J119"/>
  <c r="T119" s="1"/>
  <c r="R119"/>
  <c r="S119" s="1"/>
  <c r="Q118"/>
  <c r="P118"/>
  <c r="J118"/>
  <c r="T118" s="1"/>
  <c r="Q117"/>
  <c r="P117"/>
  <c r="J117"/>
  <c r="T117" s="1"/>
  <c r="R117"/>
  <c r="S117" s="1"/>
  <c r="Q116"/>
  <c r="P116"/>
  <c r="M116"/>
  <c r="J116"/>
  <c r="K116" s="1"/>
  <c r="G116"/>
  <c r="I116" s="1"/>
  <c r="O116"/>
  <c r="R115"/>
  <c r="S115" s="1"/>
  <c r="Q115"/>
  <c r="P115"/>
  <c r="J115"/>
  <c r="T115" s="1"/>
  <c r="G115"/>
  <c r="I115" s="1"/>
  <c r="M115"/>
  <c r="R114"/>
  <c r="S114" s="1"/>
  <c r="Q114"/>
  <c r="P114"/>
  <c r="J114"/>
  <c r="T114" s="1"/>
  <c r="G114"/>
  <c r="E141"/>
  <c r="N104"/>
  <c r="L11" i="53" s="1"/>
  <c r="Q11" s="1"/>
  <c r="L104" i="17"/>
  <c r="H104"/>
  <c r="F104"/>
  <c r="E104"/>
  <c r="Q103"/>
  <c r="P103"/>
  <c r="J103"/>
  <c r="T103" s="1"/>
  <c r="G103"/>
  <c r="I103" s="1"/>
  <c r="O103"/>
  <c r="Q102"/>
  <c r="P102"/>
  <c r="J102"/>
  <c r="T102" s="1"/>
  <c r="G102"/>
  <c r="I102" s="1"/>
  <c r="O102"/>
  <c r="Q101"/>
  <c r="P101"/>
  <c r="O101"/>
  <c r="M101"/>
  <c r="J101"/>
  <c r="T101" s="1"/>
  <c r="R101"/>
  <c r="S101" s="1"/>
  <c r="R100"/>
  <c r="S100" s="1"/>
  <c r="Q100"/>
  <c r="P100"/>
  <c r="J100"/>
  <c r="T100" s="1"/>
  <c r="G100"/>
  <c r="I100" s="1"/>
  <c r="M100"/>
  <c r="R99"/>
  <c r="S99" s="1"/>
  <c r="Q99"/>
  <c r="P99"/>
  <c r="J99"/>
  <c r="T99" s="1"/>
  <c r="G99"/>
  <c r="I99" s="1"/>
  <c r="M99"/>
  <c r="Q98"/>
  <c r="P98"/>
  <c r="J98"/>
  <c r="T98" s="1"/>
  <c r="R98"/>
  <c r="S98" s="1"/>
  <c r="Q97"/>
  <c r="P97"/>
  <c r="J97"/>
  <c r="T97" s="1"/>
  <c r="Q96"/>
  <c r="P96"/>
  <c r="J96"/>
  <c r="T96" s="1"/>
  <c r="R96"/>
  <c r="S96" s="1"/>
  <c r="Q95"/>
  <c r="P95"/>
  <c r="M95"/>
  <c r="J95"/>
  <c r="T95" s="1"/>
  <c r="O95"/>
  <c r="R94"/>
  <c r="S94" s="1"/>
  <c r="Q94"/>
  <c r="P94"/>
  <c r="J94"/>
  <c r="T94" s="1"/>
  <c r="M94"/>
  <c r="Q93"/>
  <c r="P93"/>
  <c r="O93"/>
  <c r="M93"/>
  <c r="J93"/>
  <c r="T93" s="1"/>
  <c r="R93"/>
  <c r="S93" s="1"/>
  <c r="Q92"/>
  <c r="P92"/>
  <c r="J92"/>
  <c r="T92" s="1"/>
  <c r="M92"/>
  <c r="Q91"/>
  <c r="P91"/>
  <c r="J91"/>
  <c r="T91" s="1"/>
  <c r="G91"/>
  <c r="I91" s="1"/>
  <c r="Q90"/>
  <c r="P90"/>
  <c r="O90"/>
  <c r="M90"/>
  <c r="J90"/>
  <c r="T90" s="1"/>
  <c r="R90"/>
  <c r="S90" s="1"/>
  <c r="R89"/>
  <c r="S89" s="1"/>
  <c r="Q89"/>
  <c r="P89"/>
  <c r="J89"/>
  <c r="T89" s="1"/>
  <c r="G89"/>
  <c r="I89" s="1"/>
  <c r="Q88"/>
  <c r="P88"/>
  <c r="J88"/>
  <c r="T88" s="1"/>
  <c r="R88"/>
  <c r="S88" s="1"/>
  <c r="Q87"/>
  <c r="P87"/>
  <c r="M87"/>
  <c r="J87"/>
  <c r="T87" s="1"/>
  <c r="G87"/>
  <c r="I87" s="1"/>
  <c r="O87"/>
  <c r="Q86"/>
  <c r="P86"/>
  <c r="J86"/>
  <c r="T86" s="1"/>
  <c r="G86"/>
  <c r="I86" s="1"/>
  <c r="M86"/>
  <c r="Q85"/>
  <c r="P85"/>
  <c r="O85"/>
  <c r="M85"/>
  <c r="J85"/>
  <c r="T85" s="1"/>
  <c r="R85"/>
  <c r="S85" s="1"/>
  <c r="Q84"/>
  <c r="P84"/>
  <c r="J84"/>
  <c r="T84" s="1"/>
  <c r="M84"/>
  <c r="Q83"/>
  <c r="P83"/>
  <c r="J83"/>
  <c r="T83" s="1"/>
  <c r="G83"/>
  <c r="I83" s="1"/>
  <c r="M83"/>
  <c r="Q82"/>
  <c r="P82"/>
  <c r="O82"/>
  <c r="M82"/>
  <c r="J82"/>
  <c r="T82" s="1"/>
  <c r="R82"/>
  <c r="S82" s="1"/>
  <c r="R81"/>
  <c r="S81" s="1"/>
  <c r="Q81"/>
  <c r="P81"/>
  <c r="J81"/>
  <c r="T81" s="1"/>
  <c r="G81"/>
  <c r="I81" s="1"/>
  <c r="Q80"/>
  <c r="P80"/>
  <c r="J80"/>
  <c r="T80" s="1"/>
  <c r="R80"/>
  <c r="S80" s="1"/>
  <c r="Q79"/>
  <c r="P79"/>
  <c r="J79"/>
  <c r="K79" s="1"/>
  <c r="I79"/>
  <c r="G79"/>
  <c r="O79"/>
  <c r="Q78"/>
  <c r="P78"/>
  <c r="J78"/>
  <c r="T78" s="1"/>
  <c r="G78"/>
  <c r="I78" s="1"/>
  <c r="O78"/>
  <c r="Q77"/>
  <c r="P77"/>
  <c r="M77"/>
  <c r="J77"/>
  <c r="T77" s="1"/>
  <c r="R77"/>
  <c r="K7" i="3"/>
  <c r="N42" i="53" l="1"/>
  <c r="N44" s="1"/>
  <c r="Q42"/>
  <c r="L44"/>
  <c r="Q44" s="1"/>
  <c r="T209" i="52"/>
  <c r="N209"/>
  <c r="L209"/>
  <c r="V187"/>
  <c r="V209" s="1"/>
  <c r="S209"/>
  <c r="L166"/>
  <c r="J99"/>
  <c r="J166"/>
  <c r="J209"/>
  <c r="N166"/>
  <c r="P166"/>
  <c r="M35" i="53" s="1"/>
  <c r="P136" i="52"/>
  <c r="M34" i="53" s="1"/>
  <c r="N136" i="52"/>
  <c r="L136"/>
  <c r="T99"/>
  <c r="N34"/>
  <c r="L34"/>
  <c r="L25" i="51"/>
  <c r="N15"/>
  <c r="O15"/>
  <c r="L15"/>
  <c r="J15"/>
  <c r="J27" s="1"/>
  <c r="H15"/>
  <c r="H27" s="1"/>
  <c r="D44" i="53"/>
  <c r="P34" i="52"/>
  <c r="M31" i="53" s="1"/>
  <c r="S99" i="52"/>
  <c r="H209"/>
  <c r="P99"/>
  <c r="M33" i="53" s="1"/>
  <c r="H166" i="52"/>
  <c r="S34"/>
  <c r="V166"/>
  <c r="V7"/>
  <c r="V34" s="1"/>
  <c r="T34"/>
  <c r="S136"/>
  <c r="V136"/>
  <c r="H99"/>
  <c r="P209"/>
  <c r="M36" i="53" s="1"/>
  <c r="L99" i="52"/>
  <c r="J136"/>
  <c r="H136"/>
  <c r="H34"/>
  <c r="J7"/>
  <c r="J34" s="1"/>
  <c r="T136"/>
  <c r="N99"/>
  <c r="V99"/>
  <c r="J25" i="50"/>
  <c r="G25"/>
  <c r="F25"/>
  <c r="F27" s="1"/>
  <c r="K25"/>
  <c r="J15"/>
  <c r="E15"/>
  <c r="G15"/>
  <c r="M27"/>
  <c r="G27"/>
  <c r="F15"/>
  <c r="O27" i="51"/>
  <c r="N27"/>
  <c r="K15" i="50"/>
  <c r="L20"/>
  <c r="L25" s="1"/>
  <c r="L27" s="1"/>
  <c r="I7" i="17"/>
  <c r="G8" i="53" s="1"/>
  <c r="U497" i="17"/>
  <c r="K212"/>
  <c r="K355"/>
  <c r="K369"/>
  <c r="K487"/>
  <c r="K494"/>
  <c r="K495"/>
  <c r="U293"/>
  <c r="K423"/>
  <c r="K461"/>
  <c r="K338"/>
  <c r="K166"/>
  <c r="K172"/>
  <c r="K193"/>
  <c r="K195"/>
  <c r="K209"/>
  <c r="K270"/>
  <c r="K326"/>
  <c r="K420"/>
  <c r="U267"/>
  <c r="U338"/>
  <c r="K427"/>
  <c r="U432"/>
  <c r="K196"/>
  <c r="U198"/>
  <c r="K366"/>
  <c r="K425"/>
  <c r="K262"/>
  <c r="U306"/>
  <c r="K329"/>
  <c r="U337"/>
  <c r="U431"/>
  <c r="K453"/>
  <c r="K455"/>
  <c r="K456"/>
  <c r="K458"/>
  <c r="K464"/>
  <c r="U453"/>
  <c r="U455"/>
  <c r="U456"/>
  <c r="K82"/>
  <c r="K267"/>
  <c r="K273"/>
  <c r="K334"/>
  <c r="U425"/>
  <c r="K127"/>
  <c r="K92"/>
  <c r="K204"/>
  <c r="P467"/>
  <c r="N22" i="53" s="1"/>
  <c r="K463" i="17"/>
  <c r="J498"/>
  <c r="K484"/>
  <c r="K486"/>
  <c r="K489"/>
  <c r="U495"/>
  <c r="U289"/>
  <c r="K100"/>
  <c r="U136"/>
  <c r="U212"/>
  <c r="U304"/>
  <c r="U365"/>
  <c r="K485"/>
  <c r="U489"/>
  <c r="U491"/>
  <c r="K429"/>
  <c r="K164"/>
  <c r="U258"/>
  <c r="K299"/>
  <c r="U461"/>
  <c r="U464"/>
  <c r="K419"/>
  <c r="K483"/>
  <c r="Q434"/>
  <c r="K457"/>
  <c r="P434"/>
  <c r="N21" i="53" s="1"/>
  <c r="K454" i="17"/>
  <c r="U463"/>
  <c r="P498"/>
  <c r="N23" i="53" s="1"/>
  <c r="U269" i="17"/>
  <c r="U357"/>
  <c r="K365"/>
  <c r="U488"/>
  <c r="K87"/>
  <c r="K101"/>
  <c r="K158"/>
  <c r="K211"/>
  <c r="U433"/>
  <c r="K491"/>
  <c r="K493"/>
  <c r="J467"/>
  <c r="Q498"/>
  <c r="K293"/>
  <c r="K309"/>
  <c r="K362"/>
  <c r="U419"/>
  <c r="U426"/>
  <c r="U173"/>
  <c r="U196"/>
  <c r="U322"/>
  <c r="U457"/>
  <c r="K90"/>
  <c r="K93"/>
  <c r="K201"/>
  <c r="U209"/>
  <c r="U214"/>
  <c r="U302"/>
  <c r="K337"/>
  <c r="K341"/>
  <c r="U362"/>
  <c r="U424"/>
  <c r="K428"/>
  <c r="K430"/>
  <c r="Q467"/>
  <c r="K460"/>
  <c r="U486"/>
  <c r="U487"/>
  <c r="U492"/>
  <c r="U494"/>
  <c r="U484"/>
  <c r="U458"/>
  <c r="U466"/>
  <c r="U430"/>
  <c r="U422"/>
  <c r="U423"/>
  <c r="U428"/>
  <c r="U420"/>
  <c r="R498"/>
  <c r="S482"/>
  <c r="U485"/>
  <c r="U490"/>
  <c r="U496"/>
  <c r="T483"/>
  <c r="U483" s="1"/>
  <c r="E498"/>
  <c r="M482"/>
  <c r="O485"/>
  <c r="M490"/>
  <c r="O493"/>
  <c r="K482"/>
  <c r="O488"/>
  <c r="M493"/>
  <c r="O483"/>
  <c r="O491"/>
  <c r="M496"/>
  <c r="M483"/>
  <c r="O486"/>
  <c r="K488"/>
  <c r="M491"/>
  <c r="O494"/>
  <c r="K496"/>
  <c r="O482"/>
  <c r="O490"/>
  <c r="M485"/>
  <c r="K490"/>
  <c r="G482"/>
  <c r="G490"/>
  <c r="I490" s="1"/>
  <c r="S451"/>
  <c r="R467"/>
  <c r="U462"/>
  <c r="U454"/>
  <c r="U459"/>
  <c r="U465"/>
  <c r="E467"/>
  <c r="O454"/>
  <c r="M459"/>
  <c r="K451"/>
  <c r="O457"/>
  <c r="O452"/>
  <c r="M457"/>
  <c r="O460"/>
  <c r="K462"/>
  <c r="M465"/>
  <c r="M452"/>
  <c r="O455"/>
  <c r="M460"/>
  <c r="O463"/>
  <c r="K465"/>
  <c r="T452"/>
  <c r="U452" s="1"/>
  <c r="O451"/>
  <c r="O459"/>
  <c r="M451"/>
  <c r="O462"/>
  <c r="M454"/>
  <c r="K459"/>
  <c r="G451"/>
  <c r="G459"/>
  <c r="I459" s="1"/>
  <c r="R434"/>
  <c r="S418"/>
  <c r="T434"/>
  <c r="U429"/>
  <c r="U427"/>
  <c r="U421"/>
  <c r="O418"/>
  <c r="O421"/>
  <c r="M426"/>
  <c r="J434"/>
  <c r="M429"/>
  <c r="K421"/>
  <c r="O427"/>
  <c r="M432"/>
  <c r="M419"/>
  <c r="O422"/>
  <c r="K424"/>
  <c r="M427"/>
  <c r="O430"/>
  <c r="K432"/>
  <c r="E434"/>
  <c r="O426"/>
  <c r="M418"/>
  <c r="O429"/>
  <c r="K418"/>
  <c r="O424"/>
  <c r="K426"/>
  <c r="O419"/>
  <c r="G418"/>
  <c r="G426"/>
  <c r="I426" s="1"/>
  <c r="U162"/>
  <c r="Q343"/>
  <c r="K274"/>
  <c r="K276"/>
  <c r="K328"/>
  <c r="U165"/>
  <c r="K304"/>
  <c r="U166"/>
  <c r="K169"/>
  <c r="K176"/>
  <c r="U201"/>
  <c r="K294"/>
  <c r="K356"/>
  <c r="K360"/>
  <c r="U361"/>
  <c r="U373"/>
  <c r="U172"/>
  <c r="K130"/>
  <c r="K160"/>
  <c r="U206"/>
  <c r="K277"/>
  <c r="K330"/>
  <c r="U123"/>
  <c r="K269"/>
  <c r="K121"/>
  <c r="K129"/>
  <c r="K136"/>
  <c r="K159"/>
  <c r="K189"/>
  <c r="U204"/>
  <c r="U274"/>
  <c r="K289"/>
  <c r="K300"/>
  <c r="K302"/>
  <c r="K308"/>
  <c r="U310"/>
  <c r="U328"/>
  <c r="U330"/>
  <c r="K358"/>
  <c r="K372"/>
  <c r="U259"/>
  <c r="U265"/>
  <c r="K202"/>
  <c r="U211"/>
  <c r="U268"/>
  <c r="K296"/>
  <c r="J343"/>
  <c r="K336"/>
  <c r="U369"/>
  <c r="K77"/>
  <c r="K84"/>
  <c r="K95"/>
  <c r="K97"/>
  <c r="K134"/>
  <c r="P215"/>
  <c r="N14" i="53" s="1"/>
  <c r="Q215" i="17"/>
  <c r="K192"/>
  <c r="U197"/>
  <c r="K260"/>
  <c r="K261"/>
  <c r="K301"/>
  <c r="K325"/>
  <c r="U336"/>
  <c r="K354"/>
  <c r="U358"/>
  <c r="U368"/>
  <c r="U372"/>
  <c r="K266"/>
  <c r="K268"/>
  <c r="U360"/>
  <c r="K370"/>
  <c r="K155"/>
  <c r="U175"/>
  <c r="K200"/>
  <c r="K208"/>
  <c r="K258"/>
  <c r="U266"/>
  <c r="R311"/>
  <c r="Q311"/>
  <c r="U298"/>
  <c r="K322"/>
  <c r="K323"/>
  <c r="K342"/>
  <c r="U366"/>
  <c r="U370"/>
  <c r="K373"/>
  <c r="J279"/>
  <c r="J311"/>
  <c r="U355"/>
  <c r="K118"/>
  <c r="K135"/>
  <c r="U202"/>
  <c r="Q279"/>
  <c r="P311"/>
  <c r="N17" i="53" s="1"/>
  <c r="U301" i="17"/>
  <c r="K333"/>
  <c r="P375"/>
  <c r="N19" i="53" s="1"/>
  <c r="K357" i="17"/>
  <c r="K361"/>
  <c r="U374"/>
  <c r="Q375"/>
  <c r="U127"/>
  <c r="U270"/>
  <c r="J375"/>
  <c r="K368"/>
  <c r="K85"/>
  <c r="K122"/>
  <c r="K140"/>
  <c r="U152"/>
  <c r="K167"/>
  <c r="K173"/>
  <c r="K188"/>
  <c r="J215"/>
  <c r="K198"/>
  <c r="K206"/>
  <c r="U208"/>
  <c r="U210"/>
  <c r="K214"/>
  <c r="P279"/>
  <c r="N16" i="53" s="1"/>
  <c r="K265" i="17"/>
  <c r="K278"/>
  <c r="K291"/>
  <c r="K292"/>
  <c r="U295"/>
  <c r="K307"/>
  <c r="K310"/>
  <c r="P343"/>
  <c r="N18" i="53" s="1"/>
  <c r="U329" i="17"/>
  <c r="K331"/>
  <c r="U354"/>
  <c r="K363"/>
  <c r="K364"/>
  <c r="U371"/>
  <c r="U363"/>
  <c r="U364"/>
  <c r="S311"/>
  <c r="U294"/>
  <c r="U307"/>
  <c r="U308"/>
  <c r="U299"/>
  <c r="U300"/>
  <c r="U305"/>
  <c r="U291"/>
  <c r="U292"/>
  <c r="U297"/>
  <c r="U275"/>
  <c r="S353"/>
  <c r="R375"/>
  <c r="U359"/>
  <c r="U367"/>
  <c r="U356"/>
  <c r="O370"/>
  <c r="O359"/>
  <c r="T353"/>
  <c r="T375" s="1"/>
  <c r="O362"/>
  <c r="M354"/>
  <c r="O357"/>
  <c r="K359"/>
  <c r="M362"/>
  <c r="O365"/>
  <c r="K367"/>
  <c r="M370"/>
  <c r="O373"/>
  <c r="O367"/>
  <c r="O354"/>
  <c r="G353"/>
  <c r="M357"/>
  <c r="O360"/>
  <c r="G361"/>
  <c r="I361" s="1"/>
  <c r="M365"/>
  <c r="O368"/>
  <c r="M373"/>
  <c r="M359"/>
  <c r="O355"/>
  <c r="G356"/>
  <c r="I356" s="1"/>
  <c r="M360"/>
  <c r="O363"/>
  <c r="M368"/>
  <c r="O371"/>
  <c r="G372"/>
  <c r="I372" s="1"/>
  <c r="M367"/>
  <c r="G359"/>
  <c r="I359" s="1"/>
  <c r="G367"/>
  <c r="I367" s="1"/>
  <c r="U324"/>
  <c r="S321"/>
  <c r="U340"/>
  <c r="U327"/>
  <c r="U335"/>
  <c r="U332"/>
  <c r="U325"/>
  <c r="U326"/>
  <c r="U333"/>
  <c r="U334"/>
  <c r="U341"/>
  <c r="U342"/>
  <c r="O327"/>
  <c r="O335"/>
  <c r="T321"/>
  <c r="T343" s="1"/>
  <c r="O322"/>
  <c r="G323"/>
  <c r="I323" s="1"/>
  <c r="R323"/>
  <c r="S323" s="1"/>
  <c r="U323" s="1"/>
  <c r="K324"/>
  <c r="M327"/>
  <c r="O330"/>
  <c r="G331"/>
  <c r="I331" s="1"/>
  <c r="R331"/>
  <c r="S331" s="1"/>
  <c r="U331" s="1"/>
  <c r="K332"/>
  <c r="M335"/>
  <c r="O338"/>
  <c r="G339"/>
  <c r="I339" s="1"/>
  <c r="R339"/>
  <c r="S339" s="1"/>
  <c r="U339" s="1"/>
  <c r="K340"/>
  <c r="M322"/>
  <c r="O325"/>
  <c r="K327"/>
  <c r="M330"/>
  <c r="O333"/>
  <c r="K335"/>
  <c r="M338"/>
  <c r="O341"/>
  <c r="G321"/>
  <c r="M325"/>
  <c r="O328"/>
  <c r="M333"/>
  <c r="O336"/>
  <c r="M341"/>
  <c r="O323"/>
  <c r="G324"/>
  <c r="I324" s="1"/>
  <c r="M328"/>
  <c r="O331"/>
  <c r="G332"/>
  <c r="I332" s="1"/>
  <c r="M336"/>
  <c r="O339"/>
  <c r="G340"/>
  <c r="I340" s="1"/>
  <c r="G327"/>
  <c r="I327" s="1"/>
  <c r="G335"/>
  <c r="I335" s="1"/>
  <c r="T311"/>
  <c r="U296"/>
  <c r="U309"/>
  <c r="U303"/>
  <c r="U290"/>
  <c r="M290"/>
  <c r="O293"/>
  <c r="O301"/>
  <c r="M306"/>
  <c r="O309"/>
  <c r="K290"/>
  <c r="M293"/>
  <c r="O296"/>
  <c r="K298"/>
  <c r="M301"/>
  <c r="O304"/>
  <c r="K306"/>
  <c r="M309"/>
  <c r="O303"/>
  <c r="M295"/>
  <c r="O298"/>
  <c r="M303"/>
  <c r="K295"/>
  <c r="K303"/>
  <c r="O291"/>
  <c r="M296"/>
  <c r="O299"/>
  <c r="M304"/>
  <c r="O307"/>
  <c r="O295"/>
  <c r="G295"/>
  <c r="I295" s="1"/>
  <c r="G303"/>
  <c r="I303" s="1"/>
  <c r="U262"/>
  <c r="U273"/>
  <c r="U278"/>
  <c r="U263"/>
  <c r="U276"/>
  <c r="S257"/>
  <c r="R279"/>
  <c r="U260"/>
  <c r="U261"/>
  <c r="U271"/>
  <c r="U277"/>
  <c r="O271"/>
  <c r="O258"/>
  <c r="M263"/>
  <c r="O274"/>
  <c r="M258"/>
  <c r="O261"/>
  <c r="G262"/>
  <c r="I262" s="1"/>
  <c r="K263"/>
  <c r="M266"/>
  <c r="O269"/>
  <c r="G270"/>
  <c r="I270" s="1"/>
  <c r="K271"/>
  <c r="M274"/>
  <c r="O277"/>
  <c r="G278"/>
  <c r="I278" s="1"/>
  <c r="T264"/>
  <c r="U264" s="1"/>
  <c r="O263"/>
  <c r="T257"/>
  <c r="O266"/>
  <c r="M271"/>
  <c r="G257"/>
  <c r="M261"/>
  <c r="G265"/>
  <c r="I265" s="1"/>
  <c r="M269"/>
  <c r="G273"/>
  <c r="I273" s="1"/>
  <c r="M277"/>
  <c r="T272"/>
  <c r="U272" s="1"/>
  <c r="G263"/>
  <c r="I263" s="1"/>
  <c r="G271"/>
  <c r="I271" s="1"/>
  <c r="S215"/>
  <c r="R215"/>
  <c r="U203"/>
  <c r="U193"/>
  <c r="U195"/>
  <c r="I188"/>
  <c r="U130"/>
  <c r="U188"/>
  <c r="U191"/>
  <c r="U200"/>
  <c r="U207"/>
  <c r="U213"/>
  <c r="U189"/>
  <c r="U194"/>
  <c r="U192"/>
  <c r="U199"/>
  <c r="U205"/>
  <c r="O191"/>
  <c r="O194"/>
  <c r="M199"/>
  <c r="O210"/>
  <c r="O189"/>
  <c r="O197"/>
  <c r="M202"/>
  <c r="K207"/>
  <c r="M189"/>
  <c r="K194"/>
  <c r="O200"/>
  <c r="M205"/>
  <c r="K210"/>
  <c r="M213"/>
  <c r="M192"/>
  <c r="O195"/>
  <c r="K197"/>
  <c r="M200"/>
  <c r="O203"/>
  <c r="K205"/>
  <c r="M208"/>
  <c r="O211"/>
  <c r="K213"/>
  <c r="T190"/>
  <c r="U190" s="1"/>
  <c r="O199"/>
  <c r="O207"/>
  <c r="M191"/>
  <c r="O202"/>
  <c r="M207"/>
  <c r="K191"/>
  <c r="K199"/>
  <c r="O192"/>
  <c r="O208"/>
  <c r="G191"/>
  <c r="I191" s="1"/>
  <c r="G199"/>
  <c r="I199" s="1"/>
  <c r="G207"/>
  <c r="I207" s="1"/>
  <c r="Q141"/>
  <c r="O98"/>
  <c r="M98"/>
  <c r="M119"/>
  <c r="M132"/>
  <c r="M138"/>
  <c r="R159"/>
  <c r="S159" s="1"/>
  <c r="U159" s="1"/>
  <c r="R79"/>
  <c r="G84"/>
  <c r="I84" s="1"/>
  <c r="U90"/>
  <c r="K91"/>
  <c r="K98"/>
  <c r="U100"/>
  <c r="M114"/>
  <c r="K119"/>
  <c r="U121"/>
  <c r="K132"/>
  <c r="R134"/>
  <c r="S134" s="1"/>
  <c r="U134" s="1"/>
  <c r="O135"/>
  <c r="K138"/>
  <c r="M151"/>
  <c r="J178"/>
  <c r="R160"/>
  <c r="S160" s="1"/>
  <c r="U160" s="1"/>
  <c r="K163"/>
  <c r="K168"/>
  <c r="R169"/>
  <c r="S169" s="1"/>
  <c r="U169" s="1"/>
  <c r="O175"/>
  <c r="M177"/>
  <c r="R151"/>
  <c r="R118"/>
  <c r="S118" s="1"/>
  <c r="U118" s="1"/>
  <c r="P178"/>
  <c r="N13" i="53" s="1"/>
  <c r="K157" i="17"/>
  <c r="R174"/>
  <c r="S174" s="1"/>
  <c r="U174" s="1"/>
  <c r="U122"/>
  <c r="G82"/>
  <c r="I82" s="1"/>
  <c r="R87"/>
  <c r="S87" s="1"/>
  <c r="U87" s="1"/>
  <c r="G92"/>
  <c r="I92" s="1"/>
  <c r="G94"/>
  <c r="I94" s="1"/>
  <c r="G95"/>
  <c r="I95" s="1"/>
  <c r="U98"/>
  <c r="G101"/>
  <c r="I101" s="1"/>
  <c r="R102"/>
  <c r="S102" s="1"/>
  <c r="U102" s="1"/>
  <c r="K114"/>
  <c r="U119"/>
  <c r="G122"/>
  <c r="I122" s="1"/>
  <c r="K126"/>
  <c r="R128"/>
  <c r="S128" s="1"/>
  <c r="U128" s="1"/>
  <c r="R129"/>
  <c r="S129" s="1"/>
  <c r="U129" s="1"/>
  <c r="O130"/>
  <c r="M135"/>
  <c r="K137"/>
  <c r="U138"/>
  <c r="R140"/>
  <c r="S140" s="1"/>
  <c r="U140" s="1"/>
  <c r="K151"/>
  <c r="O156"/>
  <c r="R157"/>
  <c r="S157" s="1"/>
  <c r="U157" s="1"/>
  <c r="R158"/>
  <c r="S158" s="1"/>
  <c r="U158" s="1"/>
  <c r="M161"/>
  <c r="K165"/>
  <c r="K174"/>
  <c r="M175"/>
  <c r="K177"/>
  <c r="J104"/>
  <c r="R97"/>
  <c r="S97" s="1"/>
  <c r="U97" s="1"/>
  <c r="P141"/>
  <c r="N12" i="53" s="1"/>
  <c r="U82" i="17"/>
  <c r="U88"/>
  <c r="U101"/>
  <c r="R103"/>
  <c r="S103" s="1"/>
  <c r="U103" s="1"/>
  <c r="O114"/>
  <c r="J141"/>
  <c r="K123"/>
  <c r="R124"/>
  <c r="S124" s="1"/>
  <c r="U124" s="1"/>
  <c r="O151"/>
  <c r="R155"/>
  <c r="S155" s="1"/>
  <c r="U155" s="1"/>
  <c r="P104"/>
  <c r="N11" i="53" s="1"/>
  <c r="R78" i="17"/>
  <c r="S78" s="1"/>
  <c r="U78" s="1"/>
  <c r="K81"/>
  <c r="R83"/>
  <c r="S83" s="1"/>
  <c r="U83" s="1"/>
  <c r="R84"/>
  <c r="S84" s="1"/>
  <c r="U84" s="1"/>
  <c r="G90"/>
  <c r="I90" s="1"/>
  <c r="R95"/>
  <c r="S95" s="1"/>
  <c r="U95" s="1"/>
  <c r="M103"/>
  <c r="R116"/>
  <c r="M124"/>
  <c r="M130"/>
  <c r="M156"/>
  <c r="O159"/>
  <c r="K161"/>
  <c r="R163"/>
  <c r="S163" s="1"/>
  <c r="U163" s="1"/>
  <c r="R168"/>
  <c r="S168" s="1"/>
  <c r="U168" s="1"/>
  <c r="K171"/>
  <c r="G173"/>
  <c r="I173" s="1"/>
  <c r="K175"/>
  <c r="U177"/>
  <c r="R132"/>
  <c r="S132" s="1"/>
  <c r="U132" s="1"/>
  <c r="O119"/>
  <c r="R131"/>
  <c r="S131" s="1"/>
  <c r="U131" s="1"/>
  <c r="R137"/>
  <c r="S137" s="1"/>
  <c r="U137" s="1"/>
  <c r="O138"/>
  <c r="Q178"/>
  <c r="R161"/>
  <c r="S161" s="1"/>
  <c r="U161" s="1"/>
  <c r="R176"/>
  <c r="S176" s="1"/>
  <c r="U176" s="1"/>
  <c r="O77"/>
  <c r="Q104"/>
  <c r="M79"/>
  <c r="R86"/>
  <c r="S86" s="1"/>
  <c r="U86" s="1"/>
  <c r="K89"/>
  <c r="R91"/>
  <c r="S91" s="1"/>
  <c r="U91" s="1"/>
  <c r="R92"/>
  <c r="S92" s="1"/>
  <c r="U92" s="1"/>
  <c r="G97"/>
  <c r="I97" s="1"/>
  <c r="G98"/>
  <c r="I98" s="1"/>
  <c r="K103"/>
  <c r="I114"/>
  <c r="G118"/>
  <c r="I118" s="1"/>
  <c r="G119"/>
  <c r="I119" s="1"/>
  <c r="K124"/>
  <c r="R126"/>
  <c r="S126" s="1"/>
  <c r="U126" s="1"/>
  <c r="G131"/>
  <c r="I131" s="1"/>
  <c r="G132"/>
  <c r="I132" s="1"/>
  <c r="U135"/>
  <c r="G138"/>
  <c r="I138" s="1"/>
  <c r="R139"/>
  <c r="S139" s="1"/>
  <c r="U139" s="1"/>
  <c r="G151"/>
  <c r="K152"/>
  <c r="R153"/>
  <c r="K156"/>
  <c r="O167"/>
  <c r="M169"/>
  <c r="U156"/>
  <c r="U170"/>
  <c r="U164"/>
  <c r="U167"/>
  <c r="U154"/>
  <c r="U171"/>
  <c r="T153"/>
  <c r="T178" s="1"/>
  <c r="O154"/>
  <c r="O162"/>
  <c r="O157"/>
  <c r="M162"/>
  <c r="M170"/>
  <c r="O173"/>
  <c r="O152"/>
  <c r="K154"/>
  <c r="M157"/>
  <c r="O160"/>
  <c r="K162"/>
  <c r="M165"/>
  <c r="O168"/>
  <c r="K170"/>
  <c r="M173"/>
  <c r="O176"/>
  <c r="M154"/>
  <c r="O165"/>
  <c r="M152"/>
  <c r="O155"/>
  <c r="G156"/>
  <c r="I156" s="1"/>
  <c r="M160"/>
  <c r="O163"/>
  <c r="G164"/>
  <c r="I164" s="1"/>
  <c r="M168"/>
  <c r="O171"/>
  <c r="G172"/>
  <c r="I172" s="1"/>
  <c r="M176"/>
  <c r="M155"/>
  <c r="O158"/>
  <c r="M163"/>
  <c r="O166"/>
  <c r="M171"/>
  <c r="O174"/>
  <c r="G175"/>
  <c r="I175" s="1"/>
  <c r="O170"/>
  <c r="G154"/>
  <c r="I154" s="1"/>
  <c r="G162"/>
  <c r="I162" s="1"/>
  <c r="G170"/>
  <c r="I170" s="1"/>
  <c r="U114"/>
  <c r="U133"/>
  <c r="U117"/>
  <c r="U115"/>
  <c r="U120"/>
  <c r="U125"/>
  <c r="O117"/>
  <c r="O133"/>
  <c r="O128"/>
  <c r="M133"/>
  <c r="O136"/>
  <c r="K117"/>
  <c r="O123"/>
  <c r="K125"/>
  <c r="K133"/>
  <c r="O139"/>
  <c r="K120"/>
  <c r="M123"/>
  <c r="K128"/>
  <c r="O134"/>
  <c r="K115"/>
  <c r="M118"/>
  <c r="O121"/>
  <c r="M126"/>
  <c r="O129"/>
  <c r="K131"/>
  <c r="M134"/>
  <c r="O137"/>
  <c r="K139"/>
  <c r="T116"/>
  <c r="O125"/>
  <c r="M117"/>
  <c r="O120"/>
  <c r="M125"/>
  <c r="O115"/>
  <c r="O131"/>
  <c r="M136"/>
  <c r="O118"/>
  <c r="O126"/>
  <c r="G117"/>
  <c r="I117" s="1"/>
  <c r="G125"/>
  <c r="I125" s="1"/>
  <c r="G133"/>
  <c r="I133" s="1"/>
  <c r="U96"/>
  <c r="S77"/>
  <c r="U85"/>
  <c r="U93"/>
  <c r="U81"/>
  <c r="U94"/>
  <c r="U89"/>
  <c r="U99"/>
  <c r="U80"/>
  <c r="T79"/>
  <c r="M80"/>
  <c r="O83"/>
  <c r="M88"/>
  <c r="O91"/>
  <c r="M96"/>
  <c r="K80"/>
  <c r="O86"/>
  <c r="M91"/>
  <c r="K96"/>
  <c r="M78"/>
  <c r="K83"/>
  <c r="O89"/>
  <c r="O97"/>
  <c r="K99"/>
  <c r="M102"/>
  <c r="G77"/>
  <c r="K78"/>
  <c r="M81"/>
  <c r="O84"/>
  <c r="G85"/>
  <c r="I85" s="1"/>
  <c r="K86"/>
  <c r="M89"/>
  <c r="O92"/>
  <c r="G93"/>
  <c r="I93" s="1"/>
  <c r="K94"/>
  <c r="M97"/>
  <c r="O100"/>
  <c r="K102"/>
  <c r="O80"/>
  <c r="O88"/>
  <c r="O96"/>
  <c r="O99"/>
  <c r="K88"/>
  <c r="O94"/>
  <c r="O81"/>
  <c r="G80"/>
  <c r="I80" s="1"/>
  <c r="G88"/>
  <c r="I88" s="1"/>
  <c r="G96"/>
  <c r="I96" s="1"/>
  <c r="N567"/>
  <c r="L25" i="53" s="1"/>
  <c r="Q25" s="1"/>
  <c r="L567" i="17"/>
  <c r="H567"/>
  <c r="F567"/>
  <c r="Q566"/>
  <c r="P566"/>
  <c r="J566"/>
  <c r="T566" s="1"/>
  <c r="M566"/>
  <c r="Q565"/>
  <c r="P565"/>
  <c r="J565"/>
  <c r="T565" s="1"/>
  <c r="Q564"/>
  <c r="P564"/>
  <c r="J564"/>
  <c r="T564" s="1"/>
  <c r="Q563"/>
  <c r="P563"/>
  <c r="J563"/>
  <c r="T563" s="1"/>
  <c r="Q562"/>
  <c r="P562"/>
  <c r="J562"/>
  <c r="T562" s="1"/>
  <c r="Q561"/>
  <c r="P561"/>
  <c r="J561"/>
  <c r="T561" s="1"/>
  <c r="G561"/>
  <c r="I561" s="1"/>
  <c r="O561"/>
  <c r="Q560"/>
  <c r="P560"/>
  <c r="J560"/>
  <c r="M560"/>
  <c r="Q559"/>
  <c r="P559"/>
  <c r="J559"/>
  <c r="O559"/>
  <c r="Q558"/>
  <c r="P558"/>
  <c r="J558"/>
  <c r="T558" s="1"/>
  <c r="M558"/>
  <c r="Q557"/>
  <c r="P557"/>
  <c r="J557"/>
  <c r="T557" s="1"/>
  <c r="G557"/>
  <c r="I557" s="1"/>
  <c r="Q556"/>
  <c r="P556"/>
  <c r="J556"/>
  <c r="T556" s="1"/>
  <c r="Q555"/>
  <c r="P555"/>
  <c r="J555"/>
  <c r="T555" s="1"/>
  <c r="Q554"/>
  <c r="P554"/>
  <c r="J554"/>
  <c r="T554" s="1"/>
  <c r="Q553"/>
  <c r="P553"/>
  <c r="J553"/>
  <c r="T553" s="1"/>
  <c r="O553"/>
  <c r="Q552"/>
  <c r="P552"/>
  <c r="J552"/>
  <c r="T552" s="1"/>
  <c r="M552"/>
  <c r="Q551"/>
  <c r="P551"/>
  <c r="J551"/>
  <c r="O551"/>
  <c r="Q550"/>
  <c r="P550"/>
  <c r="J550"/>
  <c r="T550" s="1"/>
  <c r="M550"/>
  <c r="Q549"/>
  <c r="P549"/>
  <c r="J549"/>
  <c r="R546"/>
  <c r="N524"/>
  <c r="L24" i="53" s="1"/>
  <c r="Q24" s="1"/>
  <c r="L524" i="17"/>
  <c r="H524"/>
  <c r="F524"/>
  <c r="Q523"/>
  <c r="P523"/>
  <c r="J523"/>
  <c r="Q522"/>
  <c r="P522"/>
  <c r="J522"/>
  <c r="T522" s="1"/>
  <c r="M522"/>
  <c r="Q521"/>
  <c r="P521"/>
  <c r="J521"/>
  <c r="M521"/>
  <c r="Q520"/>
  <c r="P520"/>
  <c r="J520"/>
  <c r="T520" s="1"/>
  <c r="M520"/>
  <c r="Q519"/>
  <c r="P519"/>
  <c r="J519"/>
  <c r="T519" s="1"/>
  <c r="G519"/>
  <c r="I519" s="1"/>
  <c r="Q518"/>
  <c r="P518"/>
  <c r="J518"/>
  <c r="T518" s="1"/>
  <c r="Q517"/>
  <c r="P517"/>
  <c r="J517"/>
  <c r="T517" s="1"/>
  <c r="Q516"/>
  <c r="P516"/>
  <c r="J516"/>
  <c r="T516" s="1"/>
  <c r="Q515"/>
  <c r="P515"/>
  <c r="J515"/>
  <c r="T515" s="1"/>
  <c r="R512"/>
  <c r="N401"/>
  <c r="L20" i="53" s="1"/>
  <c r="Q20" s="1"/>
  <c r="L401" i="17"/>
  <c r="H401"/>
  <c r="F401"/>
  <c r="Q400"/>
  <c r="P400"/>
  <c r="J400"/>
  <c r="T400" s="1"/>
  <c r="Q399"/>
  <c r="P399"/>
  <c r="J399"/>
  <c r="T399" s="1"/>
  <c r="Q398"/>
  <c r="P398"/>
  <c r="J398"/>
  <c r="T398" s="1"/>
  <c r="Q397"/>
  <c r="P397"/>
  <c r="J397"/>
  <c r="T397" s="1"/>
  <c r="Q396"/>
  <c r="P396"/>
  <c r="J396"/>
  <c r="T396" s="1"/>
  <c r="O396"/>
  <c r="Q395"/>
  <c r="P395"/>
  <c r="J395"/>
  <c r="T395" s="1"/>
  <c r="M395"/>
  <c r="Q394"/>
  <c r="P394"/>
  <c r="J394"/>
  <c r="O394"/>
  <c r="Q393"/>
  <c r="P393"/>
  <c r="J393"/>
  <c r="T393" s="1"/>
  <c r="M393"/>
  <c r="Q392"/>
  <c r="P392"/>
  <c r="J392"/>
  <c r="T392" s="1"/>
  <c r="Q391"/>
  <c r="P391"/>
  <c r="J391"/>
  <c r="T391" s="1"/>
  <c r="Q390"/>
  <c r="P390"/>
  <c r="J390"/>
  <c r="T390" s="1"/>
  <c r="Q389"/>
  <c r="P389"/>
  <c r="J389"/>
  <c r="T389" s="1"/>
  <c r="Q388"/>
  <c r="P388"/>
  <c r="J388"/>
  <c r="T388" s="1"/>
  <c r="O388"/>
  <c r="Q387"/>
  <c r="P387"/>
  <c r="J387"/>
  <c r="T387" s="1"/>
  <c r="M387"/>
  <c r="Q386"/>
  <c r="P386"/>
  <c r="J386"/>
  <c r="T386" s="1"/>
  <c r="O386"/>
  <c r="Q385"/>
  <c r="P385"/>
  <c r="J385"/>
  <c r="T385" s="1"/>
  <c r="R385"/>
  <c r="S385" s="1"/>
  <c r="R382"/>
  <c r="N247"/>
  <c r="L15" i="53" s="1"/>
  <c r="Q15" s="1"/>
  <c r="L247" i="17"/>
  <c r="H247"/>
  <c r="F247"/>
  <c r="Q246"/>
  <c r="P246"/>
  <c r="J246"/>
  <c r="T246" s="1"/>
  <c r="Q245"/>
  <c r="P245"/>
  <c r="J245"/>
  <c r="T245" s="1"/>
  <c r="O245"/>
  <c r="Q244"/>
  <c r="P244"/>
  <c r="J244"/>
  <c r="T244" s="1"/>
  <c r="M244"/>
  <c r="Q243"/>
  <c r="P243"/>
  <c r="J243"/>
  <c r="T243" s="1"/>
  <c r="O243"/>
  <c r="Q242"/>
  <c r="P242"/>
  <c r="J242"/>
  <c r="T242" s="1"/>
  <c r="M242"/>
  <c r="Q241"/>
  <c r="P241"/>
  <c r="J241"/>
  <c r="T241" s="1"/>
  <c r="G241"/>
  <c r="I241" s="1"/>
  <c r="Q240"/>
  <c r="P240"/>
  <c r="J240"/>
  <c r="T240" s="1"/>
  <c r="Q239"/>
  <c r="P239"/>
  <c r="J239"/>
  <c r="T239" s="1"/>
  <c r="M239"/>
  <c r="Q238"/>
  <c r="P238"/>
  <c r="J238"/>
  <c r="T238" s="1"/>
  <c r="M238"/>
  <c r="Q237"/>
  <c r="P237"/>
  <c r="J237"/>
  <c r="T237" s="1"/>
  <c r="O237"/>
  <c r="Q236"/>
  <c r="P236"/>
  <c r="J236"/>
  <c r="T236" s="1"/>
  <c r="M236"/>
  <c r="Q235"/>
  <c r="P235"/>
  <c r="J235"/>
  <c r="O235"/>
  <c r="Q234"/>
  <c r="P234"/>
  <c r="J234"/>
  <c r="T234" s="1"/>
  <c r="M234"/>
  <c r="Q233"/>
  <c r="P233"/>
  <c r="J233"/>
  <c r="T233" s="1"/>
  <c r="Q232"/>
  <c r="P232"/>
  <c r="J232"/>
  <c r="T232" s="1"/>
  <c r="O232"/>
  <c r="Q231"/>
  <c r="P231"/>
  <c r="J231"/>
  <c r="T231" s="1"/>
  <c r="Q230"/>
  <c r="P230"/>
  <c r="J230"/>
  <c r="T230" s="1"/>
  <c r="M230"/>
  <c r="Q229"/>
  <c r="P229"/>
  <c r="J229"/>
  <c r="T229" s="1"/>
  <c r="O229"/>
  <c r="Q228"/>
  <c r="P228"/>
  <c r="J228"/>
  <c r="M228"/>
  <c r="Q227"/>
  <c r="P227"/>
  <c r="J227"/>
  <c r="O227"/>
  <c r="Q226"/>
  <c r="P226"/>
  <c r="J226"/>
  <c r="T226" s="1"/>
  <c r="M226"/>
  <c r="Q225"/>
  <c r="P225"/>
  <c r="J225"/>
  <c r="T225" s="1"/>
  <c r="L67"/>
  <c r="J10" i="53" s="1"/>
  <c r="H67" i="17"/>
  <c r="F10" i="53" s="1"/>
  <c r="F67" i="17"/>
  <c r="Q66"/>
  <c r="J66"/>
  <c r="T66" s="1"/>
  <c r="Q65"/>
  <c r="J65"/>
  <c r="M65"/>
  <c r="Q64"/>
  <c r="J64"/>
  <c r="G64"/>
  <c r="I64" s="1"/>
  <c r="Q63"/>
  <c r="J63"/>
  <c r="T63" s="1"/>
  <c r="M63"/>
  <c r="Q62"/>
  <c r="J62"/>
  <c r="T62" s="1"/>
  <c r="Q61"/>
  <c r="J61"/>
  <c r="T61" s="1"/>
  <c r="M61"/>
  <c r="Q60"/>
  <c r="J60"/>
  <c r="T60" s="1"/>
  <c r="Q59"/>
  <c r="J59"/>
  <c r="T59" s="1"/>
  <c r="M59"/>
  <c r="Q58"/>
  <c r="J58"/>
  <c r="Q57"/>
  <c r="J57"/>
  <c r="T57" s="1"/>
  <c r="M57"/>
  <c r="Q56"/>
  <c r="J56"/>
  <c r="Q55"/>
  <c r="J55"/>
  <c r="T55" s="1"/>
  <c r="M55"/>
  <c r="Q54"/>
  <c r="J54"/>
  <c r="T54" s="1"/>
  <c r="Q53"/>
  <c r="J53"/>
  <c r="T53" s="1"/>
  <c r="M53"/>
  <c r="Q52"/>
  <c r="J52"/>
  <c r="T52" s="1"/>
  <c r="Q51"/>
  <c r="J51"/>
  <c r="T51" s="1"/>
  <c r="Q50"/>
  <c r="J50"/>
  <c r="T50" s="1"/>
  <c r="Q49"/>
  <c r="J49"/>
  <c r="M49"/>
  <c r="Q48"/>
  <c r="J48"/>
  <c r="Q47"/>
  <c r="J47"/>
  <c r="T47" s="1"/>
  <c r="M47"/>
  <c r="Q46"/>
  <c r="J46"/>
  <c r="T46" s="1"/>
  <c r="G46"/>
  <c r="I46" s="1"/>
  <c r="Q45"/>
  <c r="J45"/>
  <c r="T45" s="1"/>
  <c r="M45"/>
  <c r="Q44"/>
  <c r="J44"/>
  <c r="T44" s="1"/>
  <c r="Q43"/>
  <c r="J43"/>
  <c r="T43" s="1"/>
  <c r="Q42"/>
  <c r="J42"/>
  <c r="Q41"/>
  <c r="J41"/>
  <c r="T41" s="1"/>
  <c r="M41"/>
  <c r="Q40"/>
  <c r="J40"/>
  <c r="R37"/>
  <c r="L9"/>
  <c r="H9"/>
  <c r="F9"/>
  <c r="Q8"/>
  <c r="P8"/>
  <c r="J8"/>
  <c r="T8" s="1"/>
  <c r="Q7"/>
  <c r="M9"/>
  <c r="J7"/>
  <c r="AH159" i="3"/>
  <c r="AH131"/>
  <c r="AH102"/>
  <c r="AH70"/>
  <c r="AH9"/>
  <c r="AH206"/>
  <c r="P206"/>
  <c r="Q206"/>
  <c r="Q189"/>
  <c r="Q190"/>
  <c r="Q191"/>
  <c r="Q192"/>
  <c r="Q193"/>
  <c r="Q194"/>
  <c r="Q195"/>
  <c r="Q196"/>
  <c r="Q197"/>
  <c r="Q198"/>
  <c r="Q199"/>
  <c r="Q200"/>
  <c r="Q201"/>
  <c r="Q202"/>
  <c r="Q203"/>
  <c r="Q204"/>
  <c r="Q205"/>
  <c r="Q188"/>
  <c r="P159"/>
  <c r="Q159"/>
  <c r="Q151"/>
  <c r="Q152"/>
  <c r="Q153"/>
  <c r="Q154"/>
  <c r="Q155"/>
  <c r="Q156"/>
  <c r="Q157"/>
  <c r="Q158"/>
  <c r="Q150"/>
  <c r="P131"/>
  <c r="Q131"/>
  <c r="Q116"/>
  <c r="Q117"/>
  <c r="Q118"/>
  <c r="Q119"/>
  <c r="Q120"/>
  <c r="Q121"/>
  <c r="Q122"/>
  <c r="Q123"/>
  <c r="Q124"/>
  <c r="Q125"/>
  <c r="Q126"/>
  <c r="Q127"/>
  <c r="Q128"/>
  <c r="Q129"/>
  <c r="Q130"/>
  <c r="Q115"/>
  <c r="P102"/>
  <c r="Q102"/>
  <c r="Q81"/>
  <c r="Q82"/>
  <c r="Q83"/>
  <c r="Q84"/>
  <c r="Q85"/>
  <c r="Q86"/>
  <c r="Q87"/>
  <c r="Q88"/>
  <c r="Q89"/>
  <c r="Q90"/>
  <c r="Q91"/>
  <c r="Q92"/>
  <c r="Q93"/>
  <c r="Q94"/>
  <c r="Q95"/>
  <c r="Q96"/>
  <c r="Q97"/>
  <c r="Q98"/>
  <c r="Q99"/>
  <c r="Q100"/>
  <c r="Q101"/>
  <c r="Q80"/>
  <c r="P70"/>
  <c r="Q70"/>
  <c r="Q44"/>
  <c r="Q45"/>
  <c r="Q46"/>
  <c r="Q47"/>
  <c r="Q48"/>
  <c r="Q49"/>
  <c r="Q50"/>
  <c r="Q51"/>
  <c r="Q52"/>
  <c r="Q53"/>
  <c r="Q54"/>
  <c r="Q55"/>
  <c r="Q56"/>
  <c r="Q57"/>
  <c r="Q58"/>
  <c r="Q59"/>
  <c r="Q60"/>
  <c r="Q61"/>
  <c r="Q62"/>
  <c r="Q63"/>
  <c r="Q64"/>
  <c r="Q65"/>
  <c r="Q66"/>
  <c r="Q67"/>
  <c r="Q68"/>
  <c r="Q69"/>
  <c r="Q43"/>
  <c r="P9"/>
  <c r="Q9"/>
  <c r="Q8"/>
  <c r="Q7"/>
  <c r="M42" i="53" l="1"/>
  <c r="M44" s="1"/>
  <c r="L27" i="51"/>
  <c r="P10" i="53"/>
  <c r="J26"/>
  <c r="O10"/>
  <c r="F26"/>
  <c r="T7" i="17"/>
  <c r="U8" i="53" s="1"/>
  <c r="H8"/>
  <c r="K27" i="50"/>
  <c r="J27"/>
  <c r="I311" i="17"/>
  <c r="G558"/>
  <c r="I558" s="1"/>
  <c r="O434"/>
  <c r="M21" i="53" s="1"/>
  <c r="K434" i="17"/>
  <c r="G560"/>
  <c r="I560" s="1"/>
  <c r="O498"/>
  <c r="M23" i="53" s="1"/>
  <c r="M498" i="17"/>
  <c r="K498"/>
  <c r="M467"/>
  <c r="O467"/>
  <c r="M22" i="53" s="1"/>
  <c r="K467" i="17"/>
  <c r="M434"/>
  <c r="U482"/>
  <c r="U498" s="1"/>
  <c r="S498"/>
  <c r="T498"/>
  <c r="G498"/>
  <c r="I482"/>
  <c r="I498" s="1"/>
  <c r="U451"/>
  <c r="U467" s="1"/>
  <c r="S467"/>
  <c r="T467"/>
  <c r="G467"/>
  <c r="I451"/>
  <c r="I467" s="1"/>
  <c r="U418"/>
  <c r="U434" s="1"/>
  <c r="S434"/>
  <c r="G434"/>
  <c r="I418"/>
  <c r="I434" s="1"/>
  <c r="T215"/>
  <c r="K279"/>
  <c r="U311"/>
  <c r="R141"/>
  <c r="T279"/>
  <c r="M311"/>
  <c r="K343"/>
  <c r="K215"/>
  <c r="K311"/>
  <c r="O311"/>
  <c r="M17" i="53" s="1"/>
  <c r="O375" i="17"/>
  <c r="M19" i="53" s="1"/>
  <c r="K104" i="17"/>
  <c r="O215"/>
  <c r="M14" i="53" s="1"/>
  <c r="O343" i="17"/>
  <c r="M18" i="53" s="1"/>
  <c r="K375" i="17"/>
  <c r="M104"/>
  <c r="M279"/>
  <c r="O279"/>
  <c r="M16" i="53" s="1"/>
  <c r="K239" i="17"/>
  <c r="K562"/>
  <c r="M375"/>
  <c r="M343"/>
  <c r="R343"/>
  <c r="G311"/>
  <c r="S375"/>
  <c r="U353"/>
  <c r="U375" s="1"/>
  <c r="G375"/>
  <c r="I353"/>
  <c r="I375" s="1"/>
  <c r="S343"/>
  <c r="U321"/>
  <c r="U343" s="1"/>
  <c r="G343"/>
  <c r="I321"/>
  <c r="I343" s="1"/>
  <c r="G279"/>
  <c r="I257"/>
  <c r="I279" s="1"/>
  <c r="S279"/>
  <c r="U257"/>
  <c r="U279" s="1"/>
  <c r="U215"/>
  <c r="I215"/>
  <c r="M215"/>
  <c r="G215"/>
  <c r="K178"/>
  <c r="G178"/>
  <c r="O178"/>
  <c r="M13" i="53" s="1"/>
  <c r="S153" i="17"/>
  <c r="U153" s="1"/>
  <c r="R185"/>
  <c r="I151"/>
  <c r="I178" s="1"/>
  <c r="M178"/>
  <c r="I141"/>
  <c r="K141"/>
  <c r="O141"/>
  <c r="M12" i="53" s="1"/>
  <c r="M141" i="17"/>
  <c r="G141"/>
  <c r="O104"/>
  <c r="M11" i="53" s="1"/>
  <c r="R104" i="17"/>
  <c r="R479" s="1"/>
  <c r="R111"/>
  <c r="S79"/>
  <c r="U79" s="1"/>
  <c r="R148"/>
  <c r="S116"/>
  <c r="S151"/>
  <c r="R178"/>
  <c r="G42"/>
  <c r="I42" s="1"/>
  <c r="T104"/>
  <c r="T141"/>
  <c r="U77"/>
  <c r="G104"/>
  <c r="I77"/>
  <c r="I104" s="1"/>
  <c r="M44"/>
  <c r="M58"/>
  <c r="G236"/>
  <c r="I236" s="1"/>
  <c r="K8"/>
  <c r="K58"/>
  <c r="Q9"/>
  <c r="G58"/>
  <c r="I58" s="1"/>
  <c r="G237"/>
  <c r="I237" s="1"/>
  <c r="G56"/>
  <c r="I56" s="1"/>
  <c r="G65"/>
  <c r="I65" s="1"/>
  <c r="G242"/>
  <c r="I242" s="1"/>
  <c r="G40"/>
  <c r="I40" s="1"/>
  <c r="M43"/>
  <c r="K521"/>
  <c r="G552"/>
  <c r="I552" s="1"/>
  <c r="K389"/>
  <c r="R66"/>
  <c r="S66" s="1"/>
  <c r="U66" s="1"/>
  <c r="M553"/>
  <c r="K51"/>
  <c r="G50"/>
  <c r="I50" s="1"/>
  <c r="G521"/>
  <c r="I521" s="1"/>
  <c r="K553"/>
  <c r="K44"/>
  <c r="G66"/>
  <c r="I66" s="1"/>
  <c r="K246"/>
  <c r="G386"/>
  <c r="I386" s="1"/>
  <c r="G553"/>
  <c r="I553" s="1"/>
  <c r="K565"/>
  <c r="R521"/>
  <c r="S521" s="1"/>
  <c r="R227"/>
  <c r="S227" s="1"/>
  <c r="K56"/>
  <c r="M64"/>
  <c r="K64"/>
  <c r="G522"/>
  <c r="I522" s="1"/>
  <c r="P401"/>
  <c r="N20" i="53" s="1"/>
  <c r="R393" i="17"/>
  <c r="S393" s="1"/>
  <c r="U393" s="1"/>
  <c r="R515"/>
  <c r="S515" s="1"/>
  <c r="U515" s="1"/>
  <c r="K549"/>
  <c r="R40"/>
  <c r="S40" s="1"/>
  <c r="R242"/>
  <c r="S242" s="1"/>
  <c r="U242" s="1"/>
  <c r="K395"/>
  <c r="M48"/>
  <c r="R50"/>
  <c r="S50" s="1"/>
  <c r="U50" s="1"/>
  <c r="M60"/>
  <c r="K244"/>
  <c r="R523"/>
  <c r="S523" s="1"/>
  <c r="R54"/>
  <c r="S54" s="1"/>
  <c r="U54" s="1"/>
  <c r="K60"/>
  <c r="K227"/>
  <c r="M240"/>
  <c r="M246"/>
  <c r="K40"/>
  <c r="M42"/>
  <c r="G48"/>
  <c r="I48" s="1"/>
  <c r="G62"/>
  <c r="I62" s="1"/>
  <c r="G228"/>
  <c r="I228" s="1"/>
  <c r="R237"/>
  <c r="S237" s="1"/>
  <c r="U237" s="1"/>
  <c r="O241"/>
  <c r="G385"/>
  <c r="I385" s="1"/>
  <c r="R386"/>
  <c r="S386" s="1"/>
  <c r="U386" s="1"/>
  <c r="M389"/>
  <c r="G392"/>
  <c r="I392" s="1"/>
  <c r="G395"/>
  <c r="I395" s="1"/>
  <c r="G396"/>
  <c r="I396" s="1"/>
  <c r="K519"/>
  <c r="R553"/>
  <c r="S553" s="1"/>
  <c r="U553" s="1"/>
  <c r="K560"/>
  <c r="K561"/>
  <c r="R551"/>
  <c r="S551" s="1"/>
  <c r="R396"/>
  <c r="S396" s="1"/>
  <c r="U396" s="1"/>
  <c r="R394"/>
  <c r="S394" s="1"/>
  <c r="P567"/>
  <c r="N25" i="53" s="1"/>
  <c r="R226" i="17"/>
  <c r="S226" s="1"/>
  <c r="U226" s="1"/>
  <c r="R243"/>
  <c r="S243" s="1"/>
  <c r="U243" s="1"/>
  <c r="K385"/>
  <c r="K551"/>
  <c r="R561"/>
  <c r="S561" s="1"/>
  <c r="U561" s="1"/>
  <c r="M227"/>
  <c r="M245"/>
  <c r="K48"/>
  <c r="G551"/>
  <c r="I551" s="1"/>
  <c r="K557"/>
  <c r="K7"/>
  <c r="K42"/>
  <c r="G49"/>
  <c r="I49" s="1"/>
  <c r="R56"/>
  <c r="S56" s="1"/>
  <c r="G227"/>
  <c r="I227" s="1"/>
  <c r="G229"/>
  <c r="I229" s="1"/>
  <c r="G244"/>
  <c r="I244" s="1"/>
  <c r="G245"/>
  <c r="I245" s="1"/>
  <c r="G393"/>
  <c r="I393" s="1"/>
  <c r="K400"/>
  <c r="G515"/>
  <c r="I515" s="1"/>
  <c r="R520"/>
  <c r="S520" s="1"/>
  <c r="U520" s="1"/>
  <c r="R47"/>
  <c r="S47" s="1"/>
  <c r="U47" s="1"/>
  <c r="R41"/>
  <c r="S41" s="1"/>
  <c r="U41" s="1"/>
  <c r="R400"/>
  <c r="S400" s="1"/>
  <c r="U400" s="1"/>
  <c r="R565"/>
  <c r="S565" s="1"/>
  <c r="U565" s="1"/>
  <c r="T40"/>
  <c r="K55"/>
  <c r="T56"/>
  <c r="R229"/>
  <c r="S229" s="1"/>
  <c r="U229" s="1"/>
  <c r="R234"/>
  <c r="S234" s="1"/>
  <c r="U234" s="1"/>
  <c r="R552"/>
  <c r="S552" s="1"/>
  <c r="U552" s="1"/>
  <c r="K47"/>
  <c r="K226"/>
  <c r="K235"/>
  <c r="R519"/>
  <c r="S519" s="1"/>
  <c r="U519" s="1"/>
  <c r="R522"/>
  <c r="S522" s="1"/>
  <c r="U522" s="1"/>
  <c r="R49"/>
  <c r="S49" s="1"/>
  <c r="K57"/>
  <c r="T64"/>
  <c r="O225"/>
  <c r="M394"/>
  <c r="R557"/>
  <c r="S557" s="1"/>
  <c r="U557" s="1"/>
  <c r="M559"/>
  <c r="G47"/>
  <c r="I47" s="1"/>
  <c r="K50"/>
  <c r="G55"/>
  <c r="I55" s="1"/>
  <c r="G63"/>
  <c r="I63" s="1"/>
  <c r="K230"/>
  <c r="G235"/>
  <c r="I235" s="1"/>
  <c r="K243"/>
  <c r="K392"/>
  <c r="M396"/>
  <c r="G400"/>
  <c r="I400" s="1"/>
  <c r="K523"/>
  <c r="K552"/>
  <c r="K559"/>
  <c r="G566"/>
  <c r="I566" s="1"/>
  <c r="R48"/>
  <c r="S48" s="1"/>
  <c r="R64"/>
  <c r="S64" s="1"/>
  <c r="G225"/>
  <c r="I225" s="1"/>
  <c r="G226"/>
  <c r="I226" s="1"/>
  <c r="Q247"/>
  <c r="K228"/>
  <c r="R236"/>
  <c r="S236" s="1"/>
  <c r="U236" s="1"/>
  <c r="M237"/>
  <c r="O239"/>
  <c r="R245"/>
  <c r="S245" s="1"/>
  <c r="U245" s="1"/>
  <c r="M386"/>
  <c r="G388"/>
  <c r="I388" s="1"/>
  <c r="R392"/>
  <c r="S392" s="1"/>
  <c r="U392" s="1"/>
  <c r="K396"/>
  <c r="K558"/>
  <c r="G559"/>
  <c r="I559" s="1"/>
  <c r="R63"/>
  <c r="S63" s="1"/>
  <c r="U63" s="1"/>
  <c r="R388"/>
  <c r="S388" s="1"/>
  <c r="U388" s="1"/>
  <c r="R57"/>
  <c r="S57" s="1"/>
  <c r="U57" s="1"/>
  <c r="R387"/>
  <c r="S387" s="1"/>
  <c r="U387" s="1"/>
  <c r="R549"/>
  <c r="S549" s="1"/>
  <c r="R559"/>
  <c r="S559" s="1"/>
  <c r="J9"/>
  <c r="M235"/>
  <c r="K550"/>
  <c r="K566"/>
  <c r="K63"/>
  <c r="R228"/>
  <c r="S228" s="1"/>
  <c r="M388"/>
  <c r="O524"/>
  <c r="M24" i="53" s="1"/>
  <c r="R558" i="17"/>
  <c r="S558" s="1"/>
  <c r="U558" s="1"/>
  <c r="K41"/>
  <c r="T48"/>
  <c r="M50"/>
  <c r="R65"/>
  <c r="S65" s="1"/>
  <c r="M66"/>
  <c r="T227"/>
  <c r="M243"/>
  <c r="K387"/>
  <c r="M515"/>
  <c r="Q524"/>
  <c r="K520"/>
  <c r="M523"/>
  <c r="K66"/>
  <c r="M229"/>
  <c r="K234"/>
  <c r="K394"/>
  <c r="K515"/>
  <c r="G549"/>
  <c r="I549" s="1"/>
  <c r="G550"/>
  <c r="I550" s="1"/>
  <c r="G565"/>
  <c r="I565" s="1"/>
  <c r="M40"/>
  <c r="G41"/>
  <c r="I41" s="1"/>
  <c r="R42"/>
  <c r="Q67"/>
  <c r="K49"/>
  <c r="R55"/>
  <c r="S55" s="1"/>
  <c r="U55" s="1"/>
  <c r="M56"/>
  <c r="G57"/>
  <c r="I57" s="1"/>
  <c r="R58"/>
  <c r="S58" s="1"/>
  <c r="K65"/>
  <c r="J247"/>
  <c r="G234"/>
  <c r="I234" s="1"/>
  <c r="R235"/>
  <c r="S235" s="1"/>
  <c r="K237"/>
  <c r="O240"/>
  <c r="K242"/>
  <c r="G243"/>
  <c r="I243" s="1"/>
  <c r="R244"/>
  <c r="S244" s="1"/>
  <c r="U244" s="1"/>
  <c r="K386"/>
  <c r="G387"/>
  <c r="I387" s="1"/>
  <c r="K393"/>
  <c r="G394"/>
  <c r="I394" s="1"/>
  <c r="R395"/>
  <c r="S395" s="1"/>
  <c r="U395" s="1"/>
  <c r="G520"/>
  <c r="I520" s="1"/>
  <c r="G523"/>
  <c r="I523" s="1"/>
  <c r="R550"/>
  <c r="S550" s="1"/>
  <c r="U550" s="1"/>
  <c r="M551"/>
  <c r="T559"/>
  <c r="R560"/>
  <c r="S560" s="1"/>
  <c r="M561"/>
  <c r="R566"/>
  <c r="S566" s="1"/>
  <c r="U566" s="1"/>
  <c r="K233"/>
  <c r="M233"/>
  <c r="R231"/>
  <c r="S231" s="1"/>
  <c r="U231" s="1"/>
  <c r="G231"/>
  <c r="I231" s="1"/>
  <c r="U385"/>
  <c r="R390"/>
  <c r="S390" s="1"/>
  <c r="U390" s="1"/>
  <c r="G390"/>
  <c r="I390" s="1"/>
  <c r="R397"/>
  <c r="S397" s="1"/>
  <c r="U397" s="1"/>
  <c r="G397"/>
  <c r="I397" s="1"/>
  <c r="R399"/>
  <c r="S399" s="1"/>
  <c r="U399" s="1"/>
  <c r="G399"/>
  <c r="I399" s="1"/>
  <c r="K399"/>
  <c r="M399"/>
  <c r="R516"/>
  <c r="G516"/>
  <c r="I516" s="1"/>
  <c r="E524"/>
  <c r="R518"/>
  <c r="S518" s="1"/>
  <c r="U518" s="1"/>
  <c r="G518"/>
  <c r="I518" s="1"/>
  <c r="K518"/>
  <c r="M518"/>
  <c r="R554"/>
  <c r="S554" s="1"/>
  <c r="U554" s="1"/>
  <c r="G554"/>
  <c r="R556"/>
  <c r="S556" s="1"/>
  <c r="U556" s="1"/>
  <c r="G556"/>
  <c r="I556" s="1"/>
  <c r="K556"/>
  <c r="M556"/>
  <c r="R563"/>
  <c r="S563" s="1"/>
  <c r="U563" s="1"/>
  <c r="G563"/>
  <c r="I563" s="1"/>
  <c r="K563"/>
  <c r="R8"/>
  <c r="S8" s="1"/>
  <c r="U8" s="1"/>
  <c r="G8"/>
  <c r="R51"/>
  <c r="S51" s="1"/>
  <c r="U51" s="1"/>
  <c r="G51"/>
  <c r="I51" s="1"/>
  <c r="R562"/>
  <c r="S562" s="1"/>
  <c r="U562" s="1"/>
  <c r="G562"/>
  <c r="I562" s="1"/>
  <c r="R564"/>
  <c r="S564" s="1"/>
  <c r="U564" s="1"/>
  <c r="G564"/>
  <c r="I564" s="1"/>
  <c r="K564"/>
  <c r="M564"/>
  <c r="R45"/>
  <c r="S45" s="1"/>
  <c r="U45" s="1"/>
  <c r="G45"/>
  <c r="I45" s="1"/>
  <c r="K45"/>
  <c r="K46"/>
  <c r="M46"/>
  <c r="R61"/>
  <c r="S61" s="1"/>
  <c r="U61" s="1"/>
  <c r="G61"/>
  <c r="I61" s="1"/>
  <c r="K61"/>
  <c r="K62"/>
  <c r="M62"/>
  <c r="R230"/>
  <c r="S230" s="1"/>
  <c r="U230" s="1"/>
  <c r="G230"/>
  <c r="I230" s="1"/>
  <c r="R246"/>
  <c r="S246" s="1"/>
  <c r="U246" s="1"/>
  <c r="G246"/>
  <c r="I246" s="1"/>
  <c r="R389"/>
  <c r="S389" s="1"/>
  <c r="U389" s="1"/>
  <c r="G389"/>
  <c r="I389" s="1"/>
  <c r="T523"/>
  <c r="T65"/>
  <c r="T235"/>
  <c r="T521"/>
  <c r="T560"/>
  <c r="T228"/>
  <c r="O238"/>
  <c r="J524"/>
  <c r="K43"/>
  <c r="R46"/>
  <c r="S46" s="1"/>
  <c r="U46" s="1"/>
  <c r="K59"/>
  <c r="R62"/>
  <c r="S62" s="1"/>
  <c r="U62" s="1"/>
  <c r="K229"/>
  <c r="O233"/>
  <c r="K236"/>
  <c r="K245"/>
  <c r="E401"/>
  <c r="Q401"/>
  <c r="K388"/>
  <c r="T394"/>
  <c r="T401" s="1"/>
  <c r="P524"/>
  <c r="N24" i="53" s="1"/>
  <c r="K522" i="17"/>
  <c r="Q567"/>
  <c r="T551"/>
  <c r="E567"/>
  <c r="K54"/>
  <c r="M54"/>
  <c r="R52"/>
  <c r="S52" s="1"/>
  <c r="U52" s="1"/>
  <c r="G52"/>
  <c r="I52" s="1"/>
  <c r="R398"/>
  <c r="S398" s="1"/>
  <c r="U398" s="1"/>
  <c r="G398"/>
  <c r="I398" s="1"/>
  <c r="K398"/>
  <c r="R517"/>
  <c r="S517" s="1"/>
  <c r="U517" s="1"/>
  <c r="G517"/>
  <c r="I517" s="1"/>
  <c r="K517"/>
  <c r="E9"/>
  <c r="R7"/>
  <c r="T58"/>
  <c r="R233"/>
  <c r="S233" s="1"/>
  <c r="U233" s="1"/>
  <c r="T49"/>
  <c r="R232"/>
  <c r="S232" s="1"/>
  <c r="U232" s="1"/>
  <c r="G232"/>
  <c r="I232" s="1"/>
  <c r="K232"/>
  <c r="R555"/>
  <c r="S555" s="1"/>
  <c r="U555" s="1"/>
  <c r="G555"/>
  <c r="I555" s="1"/>
  <c r="K555"/>
  <c r="T42"/>
  <c r="R53"/>
  <c r="S53" s="1"/>
  <c r="U53" s="1"/>
  <c r="G53"/>
  <c r="I53" s="1"/>
  <c r="K53"/>
  <c r="R238"/>
  <c r="S238" s="1"/>
  <c r="U238" s="1"/>
  <c r="G238"/>
  <c r="I238" s="1"/>
  <c r="R391"/>
  <c r="S391" s="1"/>
  <c r="U391" s="1"/>
  <c r="G391"/>
  <c r="I391" s="1"/>
  <c r="K391"/>
  <c r="M391"/>
  <c r="R44"/>
  <c r="S44" s="1"/>
  <c r="U44" s="1"/>
  <c r="G44"/>
  <c r="I44" s="1"/>
  <c r="R60"/>
  <c r="S60" s="1"/>
  <c r="U60" s="1"/>
  <c r="G60"/>
  <c r="I60" s="1"/>
  <c r="K225"/>
  <c r="E247"/>
  <c r="M225"/>
  <c r="R240"/>
  <c r="S240" s="1"/>
  <c r="U240" s="1"/>
  <c r="G240"/>
  <c r="I240" s="1"/>
  <c r="K240"/>
  <c r="K241"/>
  <c r="M241"/>
  <c r="R239"/>
  <c r="S239" s="1"/>
  <c r="U239" s="1"/>
  <c r="G239"/>
  <c r="I239" s="1"/>
  <c r="R43"/>
  <c r="S43" s="1"/>
  <c r="U43" s="1"/>
  <c r="G43"/>
  <c r="I43" s="1"/>
  <c r="R59"/>
  <c r="S59" s="1"/>
  <c r="U59" s="1"/>
  <c r="G59"/>
  <c r="I59" s="1"/>
  <c r="M52"/>
  <c r="G54"/>
  <c r="I54" s="1"/>
  <c r="R225"/>
  <c r="O231"/>
  <c r="M232"/>
  <c r="K238"/>
  <c r="R241"/>
  <c r="S241" s="1"/>
  <c r="U241" s="1"/>
  <c r="O390"/>
  <c r="O391"/>
  <c r="O397"/>
  <c r="O398"/>
  <c r="O554"/>
  <c r="O555"/>
  <c r="O8"/>
  <c r="K52"/>
  <c r="E67"/>
  <c r="M231"/>
  <c r="G233"/>
  <c r="I233" s="1"/>
  <c r="M390"/>
  <c r="M397"/>
  <c r="M398"/>
  <c r="O399"/>
  <c r="M516"/>
  <c r="M517"/>
  <c r="J567"/>
  <c r="M554"/>
  <c r="M555"/>
  <c r="O556"/>
  <c r="O562"/>
  <c r="O563"/>
  <c r="M51"/>
  <c r="J67"/>
  <c r="H10" i="53" s="1"/>
  <c r="P247" i="17"/>
  <c r="N15" i="53" s="1"/>
  <c r="O230" i="17"/>
  <c r="K231"/>
  <c r="O246"/>
  <c r="O389"/>
  <c r="K390"/>
  <c r="K397"/>
  <c r="K516"/>
  <c r="K554"/>
  <c r="M562"/>
  <c r="M563"/>
  <c r="O564"/>
  <c r="O392"/>
  <c r="O400"/>
  <c r="O549"/>
  <c r="O557"/>
  <c r="O565"/>
  <c r="O226"/>
  <c r="O234"/>
  <c r="O242"/>
  <c r="O385"/>
  <c r="M392"/>
  <c r="O393"/>
  <c r="M400"/>
  <c r="M519"/>
  <c r="M549"/>
  <c r="O550"/>
  <c r="M557"/>
  <c r="O558"/>
  <c r="M565"/>
  <c r="O566"/>
  <c r="M385"/>
  <c r="J401"/>
  <c r="O228"/>
  <c r="O236"/>
  <c r="O244"/>
  <c r="O387"/>
  <c r="O395"/>
  <c r="T549"/>
  <c r="O552"/>
  <c r="O560"/>
  <c r="D42" i="14"/>
  <c r="E42"/>
  <c r="F42"/>
  <c r="G42"/>
  <c r="H42"/>
  <c r="I42"/>
  <c r="J42"/>
  <c r="K42"/>
  <c r="L42"/>
  <c r="E41"/>
  <c r="F41"/>
  <c r="G41"/>
  <c r="H41"/>
  <c r="I41"/>
  <c r="J41"/>
  <c r="K41"/>
  <c r="L41"/>
  <c r="D41"/>
  <c r="M17"/>
  <c r="M18"/>
  <c r="M19"/>
  <c r="M20"/>
  <c r="M21"/>
  <c r="M22"/>
  <c r="M23"/>
  <c r="M24"/>
  <c r="M25"/>
  <c r="M26"/>
  <c r="M27"/>
  <c r="M28"/>
  <c r="M29"/>
  <c r="M30"/>
  <c r="M31"/>
  <c r="M32"/>
  <c r="M33"/>
  <c r="M34"/>
  <c r="M35"/>
  <c r="M36"/>
  <c r="M37"/>
  <c r="M38"/>
  <c r="M39"/>
  <c r="M40"/>
  <c r="V4" i="49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V33"/>
  <c r="V34"/>
  <c r="V35"/>
  <c r="V36"/>
  <c r="V37"/>
  <c r="V38"/>
  <c r="V39"/>
  <c r="V40"/>
  <c r="V41"/>
  <c r="V42"/>
  <c r="V43"/>
  <c r="V44"/>
  <c r="V45"/>
  <c r="V46"/>
  <c r="V47"/>
  <c r="V48"/>
  <c r="V3"/>
  <c r="H26" i="53" l="1"/>
  <c r="T9" i="17"/>
  <c r="K9"/>
  <c r="I8" i="53"/>
  <c r="V50" i="49"/>
  <c r="U235" i="17"/>
  <c r="I524"/>
  <c r="U116"/>
  <c r="U141" s="1"/>
  <c r="S141"/>
  <c r="U104"/>
  <c r="S104"/>
  <c r="S42"/>
  <c r="U42" s="1"/>
  <c r="R74"/>
  <c r="R448" s="1"/>
  <c r="S178"/>
  <c r="U151"/>
  <c r="U178" s="1"/>
  <c r="U40"/>
  <c r="U394"/>
  <c r="U523"/>
  <c r="U227"/>
  <c r="U559"/>
  <c r="U551"/>
  <c r="U521"/>
  <c r="U64"/>
  <c r="M524"/>
  <c r="T247"/>
  <c r="M67"/>
  <c r="K10" i="53" s="1"/>
  <c r="K26" s="1"/>
  <c r="U56" i="17"/>
  <c r="U58"/>
  <c r="U48"/>
  <c r="I67"/>
  <c r="G10" i="53" s="1"/>
  <c r="G26" s="1"/>
  <c r="G524" i="17"/>
  <c r="U49"/>
  <c r="K401"/>
  <c r="T524"/>
  <c r="U560"/>
  <c r="I401"/>
  <c r="U65"/>
  <c r="O247"/>
  <c r="M15" i="53" s="1"/>
  <c r="K567" i="17"/>
  <c r="K67"/>
  <c r="I10" i="53" s="1"/>
  <c r="S7" i="17"/>
  <c r="R9"/>
  <c r="G9"/>
  <c r="I9"/>
  <c r="S225"/>
  <c r="R247"/>
  <c r="I554"/>
  <c r="I567" s="1"/>
  <c r="G567"/>
  <c r="I247"/>
  <c r="G67"/>
  <c r="T67"/>
  <c r="U10" i="53" s="1"/>
  <c r="U26" s="1"/>
  <c r="R567" i="17"/>
  <c r="U228"/>
  <c r="T567"/>
  <c r="K247"/>
  <c r="R401"/>
  <c r="S567"/>
  <c r="U549"/>
  <c r="S516"/>
  <c r="R524"/>
  <c r="G247"/>
  <c r="M401"/>
  <c r="U401"/>
  <c r="G401"/>
  <c r="M567"/>
  <c r="O401"/>
  <c r="M20" i="53" s="1"/>
  <c r="O567" i="17"/>
  <c r="M25" i="53" s="1"/>
  <c r="K524" i="17"/>
  <c r="M247"/>
  <c r="S401"/>
  <c r="R67"/>
  <c r="E49" i="49"/>
  <c r="F49"/>
  <c r="G49"/>
  <c r="H49"/>
  <c r="I49"/>
  <c r="J49"/>
  <c r="K49"/>
  <c r="L49"/>
  <c r="M49"/>
  <c r="N49"/>
  <c r="O49"/>
  <c r="P49"/>
  <c r="P51" s="1"/>
  <c r="Q49"/>
  <c r="R49"/>
  <c r="S49"/>
  <c r="T49"/>
  <c r="U49"/>
  <c r="D49"/>
  <c r="J51"/>
  <c r="I51"/>
  <c r="I26" i="53" l="1"/>
  <c r="U567" i="17"/>
  <c r="S67"/>
  <c r="U67"/>
  <c r="V10" i="53" s="1"/>
  <c r="S9" i="17"/>
  <c r="U7"/>
  <c r="S524"/>
  <c r="U516"/>
  <c r="U524" s="1"/>
  <c r="U225"/>
  <c r="U247" s="1"/>
  <c r="S247"/>
  <c r="D51" i="49"/>
  <c r="R51"/>
  <c r="T51"/>
  <c r="Q51"/>
  <c r="V49"/>
  <c r="H51"/>
  <c r="G51"/>
  <c r="S51"/>
  <c r="K51"/>
  <c r="F51"/>
  <c r="O51"/>
  <c r="E51"/>
  <c r="L51"/>
  <c r="P107" i="11"/>
  <c r="E108"/>
  <c r="E109" s="1"/>
  <c r="F108"/>
  <c r="F109" s="1"/>
  <c r="G108"/>
  <c r="H108"/>
  <c r="I108"/>
  <c r="J108"/>
  <c r="K108"/>
  <c r="L108"/>
  <c r="M108"/>
  <c r="N108"/>
  <c r="O108"/>
  <c r="P108"/>
  <c r="Q108"/>
  <c r="R108"/>
  <c r="R109" s="1"/>
  <c r="S108"/>
  <c r="D108"/>
  <c r="E107"/>
  <c r="F107"/>
  <c r="G107"/>
  <c r="H107"/>
  <c r="I107"/>
  <c r="I109" s="1"/>
  <c r="J107"/>
  <c r="K107"/>
  <c r="K109" s="1"/>
  <c r="L107"/>
  <c r="M107"/>
  <c r="N107"/>
  <c r="N109" s="1"/>
  <c r="O107"/>
  <c r="Q107"/>
  <c r="R107"/>
  <c r="S107"/>
  <c r="D107"/>
  <c r="T79"/>
  <c r="T80"/>
  <c r="T81"/>
  <c r="T82"/>
  <c r="T83"/>
  <c r="T84"/>
  <c r="T85"/>
  <c r="T86"/>
  <c r="T87"/>
  <c r="T88"/>
  <c r="T89"/>
  <c r="T90"/>
  <c r="T91"/>
  <c r="T92"/>
  <c r="T93"/>
  <c r="T94"/>
  <c r="T95"/>
  <c r="T96"/>
  <c r="T97"/>
  <c r="T98"/>
  <c r="T99"/>
  <c r="T100"/>
  <c r="T101"/>
  <c r="T102"/>
  <c r="T103"/>
  <c r="S109"/>
  <c r="Q109"/>
  <c r="T106"/>
  <c r="T105"/>
  <c r="T104"/>
  <c r="T78"/>
  <c r="T77"/>
  <c r="T76"/>
  <c r="T75"/>
  <c r="T74"/>
  <c r="T73"/>
  <c r="T72"/>
  <c r="T71"/>
  <c r="T70"/>
  <c r="T69"/>
  <c r="T68"/>
  <c r="T67"/>
  <c r="E62"/>
  <c r="F62"/>
  <c r="G62"/>
  <c r="H62"/>
  <c r="I62"/>
  <c r="J62"/>
  <c r="K62"/>
  <c r="L62"/>
  <c r="M62"/>
  <c r="N62"/>
  <c r="O62"/>
  <c r="P62"/>
  <c r="Q62"/>
  <c r="R62"/>
  <c r="S62"/>
  <c r="D62"/>
  <c r="E61"/>
  <c r="F61"/>
  <c r="G61"/>
  <c r="H61"/>
  <c r="I61"/>
  <c r="J61"/>
  <c r="K61"/>
  <c r="L61"/>
  <c r="M61"/>
  <c r="N61"/>
  <c r="O61"/>
  <c r="P61"/>
  <c r="Q61"/>
  <c r="R61"/>
  <c r="S61"/>
  <c r="D61"/>
  <c r="N206" i="3"/>
  <c r="O189"/>
  <c r="O190"/>
  <c r="O191"/>
  <c r="O192"/>
  <c r="O193"/>
  <c r="O194"/>
  <c r="O195"/>
  <c r="O196"/>
  <c r="O197"/>
  <c r="O198"/>
  <c r="O199"/>
  <c r="O200"/>
  <c r="O201"/>
  <c r="O202"/>
  <c r="O203"/>
  <c r="O204"/>
  <c r="O205"/>
  <c r="O188"/>
  <c r="O151"/>
  <c r="O152"/>
  <c r="O153"/>
  <c r="O154"/>
  <c r="O155"/>
  <c r="O156"/>
  <c r="O157"/>
  <c r="O158"/>
  <c r="O150"/>
  <c r="N131"/>
  <c r="O116"/>
  <c r="O117"/>
  <c r="O118"/>
  <c r="O119"/>
  <c r="O120"/>
  <c r="O121"/>
  <c r="O122"/>
  <c r="O123"/>
  <c r="O124"/>
  <c r="O125"/>
  <c r="O126"/>
  <c r="O127"/>
  <c r="O128"/>
  <c r="O129"/>
  <c r="O130"/>
  <c r="O115"/>
  <c r="N9"/>
  <c r="N70"/>
  <c r="N102"/>
  <c r="O81"/>
  <c r="O82"/>
  <c r="O83"/>
  <c r="O84"/>
  <c r="O85"/>
  <c r="O86"/>
  <c r="O87"/>
  <c r="O88"/>
  <c r="O89"/>
  <c r="O90"/>
  <c r="O91"/>
  <c r="O92"/>
  <c r="O93"/>
  <c r="O94"/>
  <c r="O95"/>
  <c r="O96"/>
  <c r="O97"/>
  <c r="O98"/>
  <c r="O99"/>
  <c r="O100"/>
  <c r="O101"/>
  <c r="O80"/>
  <c r="O69"/>
  <c r="O44"/>
  <c r="O45"/>
  <c r="O46"/>
  <c r="O47"/>
  <c r="O48"/>
  <c r="O49"/>
  <c r="O50"/>
  <c r="O51"/>
  <c r="O52"/>
  <c r="O53"/>
  <c r="O54"/>
  <c r="O55"/>
  <c r="O56"/>
  <c r="O57"/>
  <c r="O58"/>
  <c r="O59"/>
  <c r="O60"/>
  <c r="O61"/>
  <c r="O62"/>
  <c r="O63"/>
  <c r="O64"/>
  <c r="O65"/>
  <c r="O66"/>
  <c r="O67"/>
  <c r="O68"/>
  <c r="O43"/>
  <c r="O8"/>
  <c r="O7"/>
  <c r="U9" i="17" l="1"/>
  <c r="V8" i="53"/>
  <c r="V26" s="1"/>
  <c r="O159" i="3"/>
  <c r="O131"/>
  <c r="O9"/>
  <c r="O206"/>
  <c r="V51" i="49"/>
  <c r="P109" i="11"/>
  <c r="M109"/>
  <c r="J109"/>
  <c r="T108"/>
  <c r="H109"/>
  <c r="T107"/>
  <c r="O109"/>
  <c r="G109"/>
  <c r="L109"/>
  <c r="D109"/>
  <c r="O102" i="3"/>
  <c r="O70"/>
  <c r="M206"/>
  <c r="M159"/>
  <c r="M131"/>
  <c r="M102"/>
  <c r="M9"/>
  <c r="T47" i="11"/>
  <c r="T48"/>
  <c r="T49"/>
  <c r="T50"/>
  <c r="T51"/>
  <c r="T52"/>
  <c r="T53"/>
  <c r="T54"/>
  <c r="T55"/>
  <c r="T56"/>
  <c r="S63"/>
  <c r="R63"/>
  <c r="Q63"/>
  <c r="P63"/>
  <c r="O63"/>
  <c r="N63"/>
  <c r="L63"/>
  <c r="K63"/>
  <c r="J63"/>
  <c r="I63"/>
  <c r="H63"/>
  <c r="F63"/>
  <c r="D63"/>
  <c r="T60"/>
  <c r="T59"/>
  <c r="T58"/>
  <c r="T57"/>
  <c r="T46"/>
  <c r="T45"/>
  <c r="T44"/>
  <c r="T43"/>
  <c r="T42"/>
  <c r="T41"/>
  <c r="T61" s="1"/>
  <c r="T40"/>
  <c r="T39"/>
  <c r="T38"/>
  <c r="T37"/>
  <c r="E32"/>
  <c r="F32"/>
  <c r="G32"/>
  <c r="H32"/>
  <c r="I32"/>
  <c r="J32"/>
  <c r="K32"/>
  <c r="L32"/>
  <c r="M32"/>
  <c r="N32"/>
  <c r="O32"/>
  <c r="P32"/>
  <c r="Q32"/>
  <c r="R32"/>
  <c r="S32"/>
  <c r="D32"/>
  <c r="E31"/>
  <c r="F31"/>
  <c r="G31"/>
  <c r="H31"/>
  <c r="H33" s="1"/>
  <c r="I31"/>
  <c r="J31"/>
  <c r="J33" s="1"/>
  <c r="K31"/>
  <c r="K33" s="1"/>
  <c r="L31"/>
  <c r="M31"/>
  <c r="N31"/>
  <c r="O31"/>
  <c r="P31"/>
  <c r="Q31"/>
  <c r="Q33" s="1"/>
  <c r="R31"/>
  <c r="R33" s="1"/>
  <c r="S31"/>
  <c r="S33" s="1"/>
  <c r="D31"/>
  <c r="T15"/>
  <c r="T16"/>
  <c r="T17"/>
  <c r="T18"/>
  <c r="T19"/>
  <c r="T20"/>
  <c r="T21"/>
  <c r="T22"/>
  <c r="T23"/>
  <c r="T24"/>
  <c r="T25"/>
  <c r="T26"/>
  <c r="T27"/>
  <c r="T28"/>
  <c r="T29"/>
  <c r="T30"/>
  <c r="T14"/>
  <c r="T13"/>
  <c r="E8"/>
  <c r="F8"/>
  <c r="G8"/>
  <c r="H8"/>
  <c r="I8"/>
  <c r="J8"/>
  <c r="K8"/>
  <c r="L8"/>
  <c r="M8"/>
  <c r="N8"/>
  <c r="O8"/>
  <c r="P8"/>
  <c r="Q8"/>
  <c r="R8"/>
  <c r="S8"/>
  <c r="D8"/>
  <c r="E7"/>
  <c r="F7"/>
  <c r="G7"/>
  <c r="H7"/>
  <c r="I7"/>
  <c r="J7"/>
  <c r="K7"/>
  <c r="L7"/>
  <c r="M7"/>
  <c r="N7"/>
  <c r="O7"/>
  <c r="P7"/>
  <c r="Q7"/>
  <c r="R7"/>
  <c r="S7"/>
  <c r="D7"/>
  <c r="E114" i="6"/>
  <c r="F114"/>
  <c r="G114"/>
  <c r="H114"/>
  <c r="I114"/>
  <c r="J114"/>
  <c r="K114"/>
  <c r="L114"/>
  <c r="M114"/>
  <c r="N114"/>
  <c r="O114"/>
  <c r="P114"/>
  <c r="Q114"/>
  <c r="R114"/>
  <c r="S114"/>
  <c r="T114"/>
  <c r="U114"/>
  <c r="V114"/>
  <c r="W114"/>
  <c r="X114"/>
  <c r="Y114"/>
  <c r="E113"/>
  <c r="F113"/>
  <c r="F115" s="1"/>
  <c r="G113"/>
  <c r="H113"/>
  <c r="I113"/>
  <c r="J113"/>
  <c r="J115" s="1"/>
  <c r="K113"/>
  <c r="L113"/>
  <c r="M113"/>
  <c r="N113"/>
  <c r="N115" s="1"/>
  <c r="O113"/>
  <c r="O115" s="1"/>
  <c r="P113"/>
  <c r="Q113"/>
  <c r="R113"/>
  <c r="R115" s="1"/>
  <c r="S113"/>
  <c r="T113"/>
  <c r="U113"/>
  <c r="V113"/>
  <c r="W113"/>
  <c r="X113"/>
  <c r="Y113"/>
  <c r="D114"/>
  <c r="E94"/>
  <c r="E95" s="1"/>
  <c r="F94"/>
  <c r="G94"/>
  <c r="H94"/>
  <c r="I94"/>
  <c r="J94"/>
  <c r="K94"/>
  <c r="L94"/>
  <c r="M94"/>
  <c r="N94"/>
  <c r="O94"/>
  <c r="P94"/>
  <c r="Q94"/>
  <c r="R94"/>
  <c r="S94"/>
  <c r="T94"/>
  <c r="U94"/>
  <c r="V94"/>
  <c r="W94"/>
  <c r="X94"/>
  <c r="Y94"/>
  <c r="Z94"/>
  <c r="D94"/>
  <c r="D113"/>
  <c r="Z112"/>
  <c r="Z111"/>
  <c r="Z110"/>
  <c r="Z109"/>
  <c r="Z108"/>
  <c r="Z107"/>
  <c r="Z106"/>
  <c r="Z105"/>
  <c r="Z104"/>
  <c r="Z103"/>
  <c r="Z102"/>
  <c r="Z101"/>
  <c r="Z100"/>
  <c r="Z99"/>
  <c r="E93"/>
  <c r="F93"/>
  <c r="G93"/>
  <c r="H93"/>
  <c r="H95" s="1"/>
  <c r="I93"/>
  <c r="J93"/>
  <c r="K93"/>
  <c r="L93"/>
  <c r="M93"/>
  <c r="N93"/>
  <c r="O93"/>
  <c r="O95" s="1"/>
  <c r="P93"/>
  <c r="P95" s="1"/>
  <c r="Q93"/>
  <c r="R93"/>
  <c r="S93"/>
  <c r="T93"/>
  <c r="U93"/>
  <c r="V93"/>
  <c r="W93"/>
  <c r="W95" s="1"/>
  <c r="X93"/>
  <c r="X95" s="1"/>
  <c r="Y93"/>
  <c r="D93"/>
  <c r="Z55"/>
  <c r="Z56"/>
  <c r="Z57"/>
  <c r="Z58"/>
  <c r="Z59"/>
  <c r="Z60"/>
  <c r="Z61"/>
  <c r="Z62"/>
  <c r="Z63"/>
  <c r="Z64"/>
  <c r="Z65"/>
  <c r="Z66"/>
  <c r="Z67"/>
  <c r="Z68"/>
  <c r="Z69"/>
  <c r="Z70"/>
  <c r="Z71"/>
  <c r="Z72"/>
  <c r="Z73"/>
  <c r="Z74"/>
  <c r="Z75"/>
  <c r="Z76"/>
  <c r="Z77"/>
  <c r="Z78"/>
  <c r="Z79"/>
  <c r="Z80"/>
  <c r="Z81"/>
  <c r="Z82"/>
  <c r="R95"/>
  <c r="Z92"/>
  <c r="Z91"/>
  <c r="Z90"/>
  <c r="Z89"/>
  <c r="Z88"/>
  <c r="Z87"/>
  <c r="Z86"/>
  <c r="Z85"/>
  <c r="Z84"/>
  <c r="Z83"/>
  <c r="Z54"/>
  <c r="Z53"/>
  <c r="Z93" s="1"/>
  <c r="Y48"/>
  <c r="X48"/>
  <c r="W48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Y47"/>
  <c r="X47"/>
  <c r="W47"/>
  <c r="W49" s="1"/>
  <c r="V47"/>
  <c r="V49" s="1"/>
  <c r="U47"/>
  <c r="U49" s="1"/>
  <c r="T47"/>
  <c r="T49" s="1"/>
  <c r="S47"/>
  <c r="R47"/>
  <c r="Q47"/>
  <c r="P47"/>
  <c r="O47"/>
  <c r="N47"/>
  <c r="N49" s="1"/>
  <c r="M47"/>
  <c r="M49" s="1"/>
  <c r="L47"/>
  <c r="L49" s="1"/>
  <c r="K47"/>
  <c r="J47"/>
  <c r="I47"/>
  <c r="H47"/>
  <c r="G47"/>
  <c r="G49" s="1"/>
  <c r="F47"/>
  <c r="F49" s="1"/>
  <c r="E47"/>
  <c r="E49" s="1"/>
  <c r="D47"/>
  <c r="D49" s="1"/>
  <c r="Z46"/>
  <c r="Z45"/>
  <c r="Z44"/>
  <c r="Z43"/>
  <c r="Z42"/>
  <c r="Z41"/>
  <c r="Z40"/>
  <c r="Z39"/>
  <c r="Z38"/>
  <c r="Z37"/>
  <c r="Z36"/>
  <c r="Z35"/>
  <c r="E30"/>
  <c r="F30"/>
  <c r="G30"/>
  <c r="H30"/>
  <c r="I30"/>
  <c r="J30"/>
  <c r="K30"/>
  <c r="L30"/>
  <c r="M30"/>
  <c r="N30"/>
  <c r="O30"/>
  <c r="P30"/>
  <c r="Q30"/>
  <c r="R30"/>
  <c r="S30"/>
  <c r="T30"/>
  <c r="U30"/>
  <c r="V30"/>
  <c r="W30"/>
  <c r="X30"/>
  <c r="Y30"/>
  <c r="D30"/>
  <c r="E29"/>
  <c r="F29"/>
  <c r="G29"/>
  <c r="G31" s="1"/>
  <c r="H29"/>
  <c r="I29"/>
  <c r="J29"/>
  <c r="K29"/>
  <c r="L29"/>
  <c r="M29"/>
  <c r="N29"/>
  <c r="O29"/>
  <c r="P29"/>
  <c r="P31" s="1"/>
  <c r="Q29"/>
  <c r="R29"/>
  <c r="S29"/>
  <c r="T29"/>
  <c r="U29"/>
  <c r="V29"/>
  <c r="V31" s="1"/>
  <c r="W29"/>
  <c r="X29"/>
  <c r="Y29"/>
  <c r="D29"/>
  <c r="Z18"/>
  <c r="Z19"/>
  <c r="Z20"/>
  <c r="Z21"/>
  <c r="Z22"/>
  <c r="Z23"/>
  <c r="Z24"/>
  <c r="Z25"/>
  <c r="Z26"/>
  <c r="Z27"/>
  <c r="Z28"/>
  <c r="R31"/>
  <c r="X31"/>
  <c r="Z17"/>
  <c r="E12"/>
  <c r="F12"/>
  <c r="G12"/>
  <c r="H12"/>
  <c r="I12"/>
  <c r="J12"/>
  <c r="K12"/>
  <c r="L12"/>
  <c r="M12"/>
  <c r="N12"/>
  <c r="O12"/>
  <c r="P12"/>
  <c r="Q12"/>
  <c r="R12"/>
  <c r="S12"/>
  <c r="T12"/>
  <c r="U12"/>
  <c r="V12"/>
  <c r="W12"/>
  <c r="X12"/>
  <c r="Y12"/>
  <c r="D12"/>
  <c r="E11"/>
  <c r="F11"/>
  <c r="G11"/>
  <c r="H11"/>
  <c r="I11"/>
  <c r="J11"/>
  <c r="K11"/>
  <c r="L11"/>
  <c r="M11"/>
  <c r="N11"/>
  <c r="N13" s="1"/>
  <c r="O11"/>
  <c r="O13" s="1"/>
  <c r="P11"/>
  <c r="Q11"/>
  <c r="R11"/>
  <c r="S11"/>
  <c r="T11"/>
  <c r="U11"/>
  <c r="V11"/>
  <c r="V13" s="1"/>
  <c r="W11"/>
  <c r="W13" s="1"/>
  <c r="X11"/>
  <c r="Y11"/>
  <c r="D11"/>
  <c r="Z10"/>
  <c r="Z9"/>
  <c r="Z8"/>
  <c r="Z7"/>
  <c r="Z6"/>
  <c r="Z5"/>
  <c r="Z4"/>
  <c r="Z3"/>
  <c r="T109" i="11" l="1"/>
  <c r="T62"/>
  <c r="M70" i="3"/>
  <c r="G63" i="11"/>
  <c r="M63"/>
  <c r="E63"/>
  <c r="T32"/>
  <c r="I33"/>
  <c r="T31"/>
  <c r="L33"/>
  <c r="O33"/>
  <c r="G33"/>
  <c r="P33"/>
  <c r="D33"/>
  <c r="F33"/>
  <c r="M33"/>
  <c r="N33"/>
  <c r="E33"/>
  <c r="W115" i="6"/>
  <c r="V115"/>
  <c r="Z113"/>
  <c r="Z114"/>
  <c r="G115"/>
  <c r="U115"/>
  <c r="M115"/>
  <c r="E115"/>
  <c r="D115"/>
  <c r="T115"/>
  <c r="I115"/>
  <c r="Q115"/>
  <c r="Y115"/>
  <c r="K115"/>
  <c r="S115"/>
  <c r="L115"/>
  <c r="H115"/>
  <c r="P115"/>
  <c r="X115"/>
  <c r="Z30"/>
  <c r="L95"/>
  <c r="Z29"/>
  <c r="T31"/>
  <c r="L31"/>
  <c r="U95"/>
  <c r="M95"/>
  <c r="S13"/>
  <c r="K13"/>
  <c r="I13"/>
  <c r="U31"/>
  <c r="D95"/>
  <c r="V95"/>
  <c r="N95"/>
  <c r="T95"/>
  <c r="J95"/>
  <c r="G95"/>
  <c r="F95"/>
  <c r="Q95"/>
  <c r="W31"/>
  <c r="H31"/>
  <c r="P13"/>
  <c r="K95"/>
  <c r="S95"/>
  <c r="M31"/>
  <c r="I95"/>
  <c r="Y95"/>
  <c r="N31"/>
  <c r="X13"/>
  <c r="Y13"/>
  <c r="Q13"/>
  <c r="Z47"/>
  <c r="H49"/>
  <c r="J49"/>
  <c r="R49"/>
  <c r="O49"/>
  <c r="P49"/>
  <c r="Z48"/>
  <c r="X49"/>
  <c r="Y49"/>
  <c r="I49"/>
  <c r="Q49"/>
  <c r="K49"/>
  <c r="S49"/>
  <c r="O31"/>
  <c r="D31"/>
  <c r="J31"/>
  <c r="F31"/>
  <c r="E31"/>
  <c r="Z12"/>
  <c r="Q31"/>
  <c r="I31"/>
  <c r="Y31"/>
  <c r="K31"/>
  <c r="S31"/>
  <c r="Z11"/>
  <c r="R13"/>
  <c r="F13"/>
  <c r="J13"/>
  <c r="E13"/>
  <c r="H13"/>
  <c r="G13"/>
  <c r="U13"/>
  <c r="M13"/>
  <c r="L13"/>
  <c r="T13"/>
  <c r="D13"/>
  <c r="T63" i="11" l="1"/>
  <c r="T33"/>
  <c r="Z115" i="6"/>
  <c r="Z95"/>
  <c r="Z49"/>
  <c r="Z31"/>
  <c r="Z13"/>
  <c r="E125" i="2"/>
  <c r="F125"/>
  <c r="G125"/>
  <c r="H125"/>
  <c r="I125"/>
  <c r="I126" s="1"/>
  <c r="J125"/>
  <c r="K125"/>
  <c r="L125"/>
  <c r="M125"/>
  <c r="N125"/>
  <c r="O125"/>
  <c r="P125"/>
  <c r="Q125"/>
  <c r="R125"/>
  <c r="S125"/>
  <c r="T125"/>
  <c r="U125"/>
  <c r="V125"/>
  <c r="W125"/>
  <c r="X125"/>
  <c r="X126" s="1"/>
  <c r="Y125"/>
  <c r="Z125"/>
  <c r="AA125"/>
  <c r="AB125"/>
  <c r="AC125"/>
  <c r="AD125"/>
  <c r="AE125"/>
  <c r="D125"/>
  <c r="E124"/>
  <c r="F124"/>
  <c r="G124"/>
  <c r="H124"/>
  <c r="I124"/>
  <c r="J124"/>
  <c r="K124"/>
  <c r="L124"/>
  <c r="M124"/>
  <c r="N124"/>
  <c r="O124"/>
  <c r="P124"/>
  <c r="Q124"/>
  <c r="Q126" s="1"/>
  <c r="R124"/>
  <c r="S124"/>
  <c r="T124"/>
  <c r="U124"/>
  <c r="V124"/>
  <c r="W124"/>
  <c r="X124"/>
  <c r="Y124"/>
  <c r="Z124"/>
  <c r="AA124"/>
  <c r="AB124"/>
  <c r="AC124"/>
  <c r="AD124"/>
  <c r="AE124"/>
  <c r="D124"/>
  <c r="AE105"/>
  <c r="AE106"/>
  <c r="AE107"/>
  <c r="AE108"/>
  <c r="AE109"/>
  <c r="AE110"/>
  <c r="AE111"/>
  <c r="AE112"/>
  <c r="AE113"/>
  <c r="AE114"/>
  <c r="AE115"/>
  <c r="AE116"/>
  <c r="AE117"/>
  <c r="AE118"/>
  <c r="AE119"/>
  <c r="AE120"/>
  <c r="AE121"/>
  <c r="AE122"/>
  <c r="AE123"/>
  <c r="Y126"/>
  <c r="P126"/>
  <c r="H126"/>
  <c r="G126"/>
  <c r="AE104"/>
  <c r="E98"/>
  <c r="F98"/>
  <c r="G98"/>
  <c r="H98"/>
  <c r="I98"/>
  <c r="J98"/>
  <c r="K98"/>
  <c r="L98"/>
  <c r="M98"/>
  <c r="N98"/>
  <c r="O98"/>
  <c r="P98"/>
  <c r="Q98"/>
  <c r="R98"/>
  <c r="S98"/>
  <c r="T98"/>
  <c r="U98"/>
  <c r="V98"/>
  <c r="W98"/>
  <c r="X98"/>
  <c r="Y98"/>
  <c r="Z98"/>
  <c r="AA98"/>
  <c r="AB98"/>
  <c r="AC98"/>
  <c r="AD98"/>
  <c r="D98"/>
  <c r="E97"/>
  <c r="F97"/>
  <c r="G97"/>
  <c r="H97"/>
  <c r="I97"/>
  <c r="J97"/>
  <c r="K97"/>
  <c r="L97"/>
  <c r="M97"/>
  <c r="N97"/>
  <c r="O97"/>
  <c r="P97"/>
  <c r="Q97"/>
  <c r="R97"/>
  <c r="S97"/>
  <c r="T97"/>
  <c r="U97"/>
  <c r="V97"/>
  <c r="W97"/>
  <c r="X97"/>
  <c r="Y97"/>
  <c r="Z97"/>
  <c r="AA97"/>
  <c r="AB97"/>
  <c r="AC97"/>
  <c r="AD97"/>
  <c r="D97"/>
  <c r="AE87"/>
  <c r="AE88"/>
  <c r="AE89"/>
  <c r="AE90"/>
  <c r="AE96"/>
  <c r="AE95"/>
  <c r="AE94"/>
  <c r="AE93"/>
  <c r="AE92"/>
  <c r="AE91"/>
  <c r="E81"/>
  <c r="F81"/>
  <c r="G81"/>
  <c r="H81"/>
  <c r="I81"/>
  <c r="J81"/>
  <c r="K81"/>
  <c r="L81"/>
  <c r="M81"/>
  <c r="N81"/>
  <c r="O81"/>
  <c r="P81"/>
  <c r="Q81"/>
  <c r="R81"/>
  <c r="S81"/>
  <c r="T81"/>
  <c r="U81"/>
  <c r="V81"/>
  <c r="W81"/>
  <c r="X81"/>
  <c r="Y81"/>
  <c r="Z81"/>
  <c r="AA81"/>
  <c r="AB81"/>
  <c r="AC81"/>
  <c r="AD81"/>
  <c r="D81"/>
  <c r="E80"/>
  <c r="F80"/>
  <c r="G80"/>
  <c r="H80"/>
  <c r="I80"/>
  <c r="I82" s="1"/>
  <c r="J80"/>
  <c r="K80"/>
  <c r="L80"/>
  <c r="M80"/>
  <c r="N80"/>
  <c r="O80"/>
  <c r="P80"/>
  <c r="Q80"/>
  <c r="Q82" s="1"/>
  <c r="R80"/>
  <c r="S80"/>
  <c r="T80"/>
  <c r="U80"/>
  <c r="V80"/>
  <c r="W80"/>
  <c r="X80"/>
  <c r="Y80"/>
  <c r="Y82" s="1"/>
  <c r="Z80"/>
  <c r="AA80"/>
  <c r="AB80"/>
  <c r="AC80"/>
  <c r="AD80"/>
  <c r="D80"/>
  <c r="AE79"/>
  <c r="AE78"/>
  <c r="AE77"/>
  <c r="AE76"/>
  <c r="AE75"/>
  <c r="AE74"/>
  <c r="AE73"/>
  <c r="AE72"/>
  <c r="AE71"/>
  <c r="AE70"/>
  <c r="AE69"/>
  <c r="AE68"/>
  <c r="AE67"/>
  <c r="AE66"/>
  <c r="AE65"/>
  <c r="AE64"/>
  <c r="AE63"/>
  <c r="AE62"/>
  <c r="E56"/>
  <c r="F56"/>
  <c r="G56"/>
  <c r="H56"/>
  <c r="I56"/>
  <c r="J56"/>
  <c r="K56"/>
  <c r="L56"/>
  <c r="M56"/>
  <c r="N56"/>
  <c r="O56"/>
  <c r="P56"/>
  <c r="Q56"/>
  <c r="R56"/>
  <c r="S56"/>
  <c r="T56"/>
  <c r="U56"/>
  <c r="V56"/>
  <c r="W56"/>
  <c r="X56"/>
  <c r="Y56"/>
  <c r="Z56"/>
  <c r="AA56"/>
  <c r="AB56"/>
  <c r="AC56"/>
  <c r="AD56"/>
  <c r="D56"/>
  <c r="G55"/>
  <c r="H55"/>
  <c r="I55"/>
  <c r="J55"/>
  <c r="K55"/>
  <c r="L55"/>
  <c r="M55"/>
  <c r="N55"/>
  <c r="O55"/>
  <c r="P55"/>
  <c r="Q55"/>
  <c r="R55"/>
  <c r="S55"/>
  <c r="T55"/>
  <c r="U55"/>
  <c r="V55"/>
  <c r="W55"/>
  <c r="X55"/>
  <c r="Y55"/>
  <c r="Z55"/>
  <c r="AA55"/>
  <c r="AB55"/>
  <c r="AC55"/>
  <c r="AD55"/>
  <c r="E55"/>
  <c r="F55"/>
  <c r="D55"/>
  <c r="AE32"/>
  <c r="AE33"/>
  <c r="AE34"/>
  <c r="AE35"/>
  <c r="AE36"/>
  <c r="AE37"/>
  <c r="AE38"/>
  <c r="AE39"/>
  <c r="AE40"/>
  <c r="AE41"/>
  <c r="AE42"/>
  <c r="AE43"/>
  <c r="AE44"/>
  <c r="AE45"/>
  <c r="AE46"/>
  <c r="AE47"/>
  <c r="AE48"/>
  <c r="AE49"/>
  <c r="AE50"/>
  <c r="AE51"/>
  <c r="AE52"/>
  <c r="AE53"/>
  <c r="AE54"/>
  <c r="AE31"/>
  <c r="E25"/>
  <c r="N41" i="17" s="1"/>
  <c r="F25" i="2"/>
  <c r="N42" i="17" s="1"/>
  <c r="G25" i="2"/>
  <c r="N43" i="17" s="1"/>
  <c r="H25" i="2"/>
  <c r="N44" i="17" s="1"/>
  <c r="I25" i="2"/>
  <c r="N45" i="17" s="1"/>
  <c r="J25" i="2"/>
  <c r="N46" i="17" s="1"/>
  <c r="K25" i="2"/>
  <c r="N47" i="17" s="1"/>
  <c r="L25" i="2"/>
  <c r="N48" i="17" s="1"/>
  <c r="M25" i="2"/>
  <c r="N49" i="17" s="1"/>
  <c r="N25" i="2"/>
  <c r="N50" i="17" s="1"/>
  <c r="O25" i="2"/>
  <c r="N51" i="17" s="1"/>
  <c r="P25" i="2"/>
  <c r="N52" i="17" s="1"/>
  <c r="Q25" i="2"/>
  <c r="N53" i="17" s="1"/>
  <c r="R25" i="2"/>
  <c r="N54" i="17" s="1"/>
  <c r="S25" i="2"/>
  <c r="N55" i="17" s="1"/>
  <c r="T25" i="2"/>
  <c r="N56" i="17" s="1"/>
  <c r="U25" i="2"/>
  <c r="N57" i="17" s="1"/>
  <c r="V25" i="2"/>
  <c r="N58" i="17" s="1"/>
  <c r="W25" i="2"/>
  <c r="N59" i="17" s="1"/>
  <c r="X25" i="2"/>
  <c r="N60" i="17" s="1"/>
  <c r="Y25" i="2"/>
  <c r="N61" i="17" s="1"/>
  <c r="Z25" i="2"/>
  <c r="N62" i="17" s="1"/>
  <c r="AA25" i="2"/>
  <c r="N63" i="17" s="1"/>
  <c r="AB25" i="2"/>
  <c r="N64" i="17" s="1"/>
  <c r="AC25" i="2"/>
  <c r="N65" i="17" s="1"/>
  <c r="AD25" i="2"/>
  <c r="N66" i="17" s="1"/>
  <c r="D25" i="2"/>
  <c r="N40" i="17" s="1"/>
  <c r="E24" i="2"/>
  <c r="F24"/>
  <c r="G24"/>
  <c r="H24"/>
  <c r="I24"/>
  <c r="J24"/>
  <c r="K24"/>
  <c r="L24"/>
  <c r="M24"/>
  <c r="N24"/>
  <c r="O24"/>
  <c r="P24"/>
  <c r="Q24"/>
  <c r="R24"/>
  <c r="S24"/>
  <c r="T24"/>
  <c r="U24"/>
  <c r="V24"/>
  <c r="W24"/>
  <c r="X24"/>
  <c r="Y24"/>
  <c r="Z24"/>
  <c r="AA24"/>
  <c r="AB24"/>
  <c r="AC24"/>
  <c r="AD24"/>
  <c r="D24"/>
  <c r="AD185" i="3"/>
  <c r="AD147"/>
  <c r="AD112"/>
  <c r="AD77"/>
  <c r="AD40"/>
  <c r="G206"/>
  <c r="H206"/>
  <c r="I206"/>
  <c r="J206"/>
  <c r="L206"/>
  <c r="S206"/>
  <c r="W206"/>
  <c r="Y206"/>
  <c r="F206"/>
  <c r="G159"/>
  <c r="H159"/>
  <c r="I159"/>
  <c r="J159"/>
  <c r="L159"/>
  <c r="S159"/>
  <c r="W159"/>
  <c r="Y159"/>
  <c r="F159"/>
  <c r="G131"/>
  <c r="H131"/>
  <c r="I131"/>
  <c r="J131"/>
  <c r="L131"/>
  <c r="S131"/>
  <c r="W131"/>
  <c r="Y131"/>
  <c r="F131"/>
  <c r="G102"/>
  <c r="H102"/>
  <c r="I102"/>
  <c r="J102"/>
  <c r="L102"/>
  <c r="S102"/>
  <c r="W102"/>
  <c r="Y102"/>
  <c r="F102"/>
  <c r="G70"/>
  <c r="H70"/>
  <c r="I70"/>
  <c r="J70"/>
  <c r="L70"/>
  <c r="S70"/>
  <c r="L10" i="43" s="1"/>
  <c r="L15" s="1"/>
  <c r="W70" i="3"/>
  <c r="P10" i="43" s="1"/>
  <c r="P15" s="1"/>
  <c r="F70" i="3"/>
  <c r="G9"/>
  <c r="H9"/>
  <c r="I9"/>
  <c r="J9"/>
  <c r="L9"/>
  <c r="S9"/>
  <c r="W9"/>
  <c r="F9"/>
  <c r="G177" i="42"/>
  <c r="H177"/>
  <c r="I177"/>
  <c r="J177"/>
  <c r="K177"/>
  <c r="M177"/>
  <c r="O177"/>
  <c r="L24" i="43" s="1"/>
  <c r="Z24" s="1"/>
  <c r="S177" i="42"/>
  <c r="P24" i="43" s="1"/>
  <c r="AA24" s="1"/>
  <c r="U177" i="42"/>
  <c r="R24" i="43" s="1"/>
  <c r="AB24" s="1"/>
  <c r="F177" i="42"/>
  <c r="G133"/>
  <c r="H133"/>
  <c r="I133"/>
  <c r="J133"/>
  <c r="K133"/>
  <c r="M133"/>
  <c r="O133"/>
  <c r="L23" i="43" s="1"/>
  <c r="Z23" s="1"/>
  <c r="S133" i="42"/>
  <c r="P23" i="43" s="1"/>
  <c r="AA23" s="1"/>
  <c r="U133" i="42"/>
  <c r="R23" i="43" s="1"/>
  <c r="AB23" s="1"/>
  <c r="F133" i="42"/>
  <c r="G102"/>
  <c r="H102"/>
  <c r="I102"/>
  <c r="J102"/>
  <c r="K102"/>
  <c r="M102"/>
  <c r="O102"/>
  <c r="L22" i="43" s="1"/>
  <c r="Z22" s="1"/>
  <c r="S102" i="42"/>
  <c r="P22" i="43" s="1"/>
  <c r="AA22" s="1"/>
  <c r="U102" i="42"/>
  <c r="R22" i="43" s="1"/>
  <c r="AB22" s="1"/>
  <c r="F102" i="42"/>
  <c r="G64"/>
  <c r="H64"/>
  <c r="I64"/>
  <c r="J64"/>
  <c r="K64"/>
  <c r="M64"/>
  <c r="O64"/>
  <c r="L21" i="43" s="1"/>
  <c r="Z21" s="1"/>
  <c r="S64" i="42"/>
  <c r="P21" i="43" s="1"/>
  <c r="AA21" s="1"/>
  <c r="U64" i="42"/>
  <c r="R21" i="43" s="1"/>
  <c r="AB21" s="1"/>
  <c r="F64" i="42"/>
  <c r="G34"/>
  <c r="H34"/>
  <c r="I34"/>
  <c r="J34"/>
  <c r="K34"/>
  <c r="M34"/>
  <c r="O34"/>
  <c r="L20" i="43" s="1"/>
  <c r="S34" i="42"/>
  <c r="P20" i="43" s="1"/>
  <c r="U34" i="42"/>
  <c r="R20" i="43" s="1"/>
  <c r="F34" i="42"/>
  <c r="X156"/>
  <c r="X157"/>
  <c r="X158"/>
  <c r="X159"/>
  <c r="X160"/>
  <c r="X161"/>
  <c r="X162"/>
  <c r="X163"/>
  <c r="X164"/>
  <c r="X165"/>
  <c r="X166"/>
  <c r="X167"/>
  <c r="X168"/>
  <c r="X169"/>
  <c r="X170"/>
  <c r="X171"/>
  <c r="X172"/>
  <c r="X173"/>
  <c r="X174"/>
  <c r="X175"/>
  <c r="X176"/>
  <c r="X155"/>
  <c r="Q156"/>
  <c r="Y156" s="1"/>
  <c r="Q157"/>
  <c r="Y157" s="1"/>
  <c r="Q158"/>
  <c r="Y158" s="1"/>
  <c r="Q159"/>
  <c r="Y159" s="1"/>
  <c r="Q160"/>
  <c r="Y160" s="1"/>
  <c r="Q161"/>
  <c r="Y161" s="1"/>
  <c r="Q162"/>
  <c r="Y162" s="1"/>
  <c r="Q163"/>
  <c r="Q164"/>
  <c r="Y164" s="1"/>
  <c r="Q165"/>
  <c r="Y165" s="1"/>
  <c r="Q166"/>
  <c r="Y166" s="1"/>
  <c r="Q167"/>
  <c r="Q168"/>
  <c r="Y168" s="1"/>
  <c r="Q169"/>
  <c r="Y169" s="1"/>
  <c r="Q170"/>
  <c r="Q171"/>
  <c r="Q172"/>
  <c r="Y172" s="1"/>
  <c r="Q173"/>
  <c r="Y173" s="1"/>
  <c r="Q174"/>
  <c r="Q175"/>
  <c r="Y175" s="1"/>
  <c r="Q176"/>
  <c r="Y176" s="1"/>
  <c r="Q155"/>
  <c r="W156"/>
  <c r="W157"/>
  <c r="W158"/>
  <c r="W159"/>
  <c r="W160"/>
  <c r="W161"/>
  <c r="W162"/>
  <c r="W163"/>
  <c r="W164"/>
  <c r="W165"/>
  <c r="W166"/>
  <c r="W167"/>
  <c r="W168"/>
  <c r="W169"/>
  <c r="W170"/>
  <c r="W171"/>
  <c r="W172"/>
  <c r="W173"/>
  <c r="W174"/>
  <c r="W175"/>
  <c r="W176"/>
  <c r="W155"/>
  <c r="Q119"/>
  <c r="Q120"/>
  <c r="Q121"/>
  <c r="Q122"/>
  <c r="Q123"/>
  <c r="Q124"/>
  <c r="Y124" s="1"/>
  <c r="Q125"/>
  <c r="Q126"/>
  <c r="Y126" s="1"/>
  <c r="Q127"/>
  <c r="Q128"/>
  <c r="Q129"/>
  <c r="Q130"/>
  <c r="Q131"/>
  <c r="Q132"/>
  <c r="Y132" s="1"/>
  <c r="Q118"/>
  <c r="AB124"/>
  <c r="AB126"/>
  <c r="AB132"/>
  <c r="X119"/>
  <c r="X120"/>
  <c r="X121"/>
  <c r="X122"/>
  <c r="X123"/>
  <c r="X124"/>
  <c r="X125"/>
  <c r="X126"/>
  <c r="X127"/>
  <c r="X128"/>
  <c r="X129"/>
  <c r="X130"/>
  <c r="X131"/>
  <c r="X132"/>
  <c r="X118"/>
  <c r="X133" s="1"/>
  <c r="W119"/>
  <c r="W120"/>
  <c r="W121"/>
  <c r="W122"/>
  <c r="W123"/>
  <c r="W124"/>
  <c r="W125"/>
  <c r="W126"/>
  <c r="W127"/>
  <c r="W128"/>
  <c r="W129"/>
  <c r="W130"/>
  <c r="W131"/>
  <c r="W132"/>
  <c r="W118"/>
  <c r="AB86"/>
  <c r="AB87"/>
  <c r="X82"/>
  <c r="X83"/>
  <c r="X84"/>
  <c r="X85"/>
  <c r="X86"/>
  <c r="X87"/>
  <c r="X88"/>
  <c r="X89"/>
  <c r="X90"/>
  <c r="X91"/>
  <c r="X92"/>
  <c r="X93"/>
  <c r="X94"/>
  <c r="X95"/>
  <c r="X96"/>
  <c r="X97"/>
  <c r="X98"/>
  <c r="X99"/>
  <c r="X100"/>
  <c r="X101"/>
  <c r="X81"/>
  <c r="W82"/>
  <c r="W83"/>
  <c r="W84"/>
  <c r="W85"/>
  <c r="W86"/>
  <c r="W87"/>
  <c r="W88"/>
  <c r="W89"/>
  <c r="W90"/>
  <c r="W91"/>
  <c r="W92"/>
  <c r="W93"/>
  <c r="W94"/>
  <c r="W95"/>
  <c r="W96"/>
  <c r="W97"/>
  <c r="W98"/>
  <c r="W99"/>
  <c r="W100"/>
  <c r="W101"/>
  <c r="W81"/>
  <c r="Q82"/>
  <c r="Y82" s="1"/>
  <c r="Q83"/>
  <c r="Q84"/>
  <c r="Q85"/>
  <c r="Q86"/>
  <c r="Y86" s="1"/>
  <c r="Q87"/>
  <c r="Y87" s="1"/>
  <c r="Q88"/>
  <c r="Q89"/>
  <c r="Q90"/>
  <c r="Q91"/>
  <c r="Q92"/>
  <c r="Y92" s="1"/>
  <c r="Q93"/>
  <c r="Q94"/>
  <c r="Y94" s="1"/>
  <c r="Q95"/>
  <c r="Y95" s="1"/>
  <c r="Q96"/>
  <c r="Q97"/>
  <c r="Q98"/>
  <c r="Q99"/>
  <c r="Q100"/>
  <c r="Q101"/>
  <c r="Q81"/>
  <c r="X45"/>
  <c r="X46"/>
  <c r="X47"/>
  <c r="X48"/>
  <c r="X49"/>
  <c r="X50"/>
  <c r="X51"/>
  <c r="X52"/>
  <c r="X53"/>
  <c r="X54"/>
  <c r="X55"/>
  <c r="X56"/>
  <c r="X57"/>
  <c r="X58"/>
  <c r="X59"/>
  <c r="X60"/>
  <c r="X61"/>
  <c r="X62"/>
  <c r="X63"/>
  <c r="X44"/>
  <c r="W45"/>
  <c r="W46"/>
  <c r="W47"/>
  <c r="W48"/>
  <c r="W49"/>
  <c r="W50"/>
  <c r="W51"/>
  <c r="W52"/>
  <c r="W53"/>
  <c r="W54"/>
  <c r="W55"/>
  <c r="W56"/>
  <c r="W57"/>
  <c r="W58"/>
  <c r="W59"/>
  <c r="W60"/>
  <c r="W61"/>
  <c r="W62"/>
  <c r="W63"/>
  <c r="W44"/>
  <c r="T44"/>
  <c r="L44"/>
  <c r="V44" s="1"/>
  <c r="Q45"/>
  <c r="Q46"/>
  <c r="Q47"/>
  <c r="Q48"/>
  <c r="Y48" s="1"/>
  <c r="Q49"/>
  <c r="Q50"/>
  <c r="Q51"/>
  <c r="Q52"/>
  <c r="Q53"/>
  <c r="Q54"/>
  <c r="Y54" s="1"/>
  <c r="Q55"/>
  <c r="Y55" s="1"/>
  <c r="Q56"/>
  <c r="Y56" s="1"/>
  <c r="Q57"/>
  <c r="Q58"/>
  <c r="Q59"/>
  <c r="Q60"/>
  <c r="Q61"/>
  <c r="Q62"/>
  <c r="Q63"/>
  <c r="Q44"/>
  <c r="AB18"/>
  <c r="AB7"/>
  <c r="X8"/>
  <c r="X9"/>
  <c r="X10"/>
  <c r="X11"/>
  <c r="X12"/>
  <c r="X13"/>
  <c r="X14"/>
  <c r="X15"/>
  <c r="X16"/>
  <c r="X17"/>
  <c r="X18"/>
  <c r="X19"/>
  <c r="X20"/>
  <c r="X21"/>
  <c r="X22"/>
  <c r="X23"/>
  <c r="X24"/>
  <c r="X25"/>
  <c r="X26"/>
  <c r="X27"/>
  <c r="X28"/>
  <c r="X29"/>
  <c r="X30"/>
  <c r="X31"/>
  <c r="X32"/>
  <c r="X33"/>
  <c r="X7"/>
  <c r="W8"/>
  <c r="W9"/>
  <c r="W10"/>
  <c r="W11"/>
  <c r="W12"/>
  <c r="W13"/>
  <c r="W14"/>
  <c r="W15"/>
  <c r="W16"/>
  <c r="W17"/>
  <c r="W18"/>
  <c r="W19"/>
  <c r="W20"/>
  <c r="W21"/>
  <c r="W22"/>
  <c r="W23"/>
  <c r="W24"/>
  <c r="W25"/>
  <c r="W26"/>
  <c r="W27"/>
  <c r="W28"/>
  <c r="W29"/>
  <c r="W30"/>
  <c r="W31"/>
  <c r="W32"/>
  <c r="W33"/>
  <c r="W7"/>
  <c r="Q8"/>
  <c r="Q9"/>
  <c r="Q10"/>
  <c r="Q11"/>
  <c r="Q12"/>
  <c r="Q13"/>
  <c r="Q14"/>
  <c r="Y14" s="1"/>
  <c r="Q15"/>
  <c r="Q16"/>
  <c r="Q17"/>
  <c r="Q18"/>
  <c r="Y18" s="1"/>
  <c r="Q19"/>
  <c r="Q20"/>
  <c r="Q21"/>
  <c r="Q22"/>
  <c r="Q23"/>
  <c r="Q24"/>
  <c r="Q25"/>
  <c r="Q26"/>
  <c r="Q27"/>
  <c r="Q28"/>
  <c r="Q29"/>
  <c r="Q30"/>
  <c r="Q31"/>
  <c r="Q32"/>
  <c r="Q33"/>
  <c r="Q7"/>
  <c r="Y7" s="1"/>
  <c r="Y14" i="48"/>
  <c r="X14"/>
  <c r="W14"/>
  <c r="V14"/>
  <c r="U14"/>
  <c r="T14"/>
  <c r="S14"/>
  <c r="R14"/>
  <c r="Q14"/>
  <c r="P14"/>
  <c r="O14"/>
  <c r="N14"/>
  <c r="M14"/>
  <c r="L14"/>
  <c r="K14"/>
  <c r="J14"/>
  <c r="I14"/>
  <c r="H14"/>
  <c r="G14"/>
  <c r="F14"/>
  <c r="E14"/>
  <c r="D14"/>
  <c r="Y13"/>
  <c r="Y15" s="1"/>
  <c r="X13"/>
  <c r="W13"/>
  <c r="V13"/>
  <c r="U13"/>
  <c r="T13"/>
  <c r="S13"/>
  <c r="S15" s="1"/>
  <c r="R13"/>
  <c r="Q13"/>
  <c r="Q15" s="1"/>
  <c r="P13"/>
  <c r="O13"/>
  <c r="N13"/>
  <c r="N15" s="1"/>
  <c r="M13"/>
  <c r="L13"/>
  <c r="K13"/>
  <c r="K15" s="1"/>
  <c r="J13"/>
  <c r="I13"/>
  <c r="H13"/>
  <c r="G13"/>
  <c r="G15" s="1"/>
  <c r="F13"/>
  <c r="E13"/>
  <c r="D13"/>
  <c r="Z12"/>
  <c r="Z11"/>
  <c r="Z10"/>
  <c r="Z9"/>
  <c r="Z8"/>
  <c r="Z7"/>
  <c r="Z6"/>
  <c r="Z5"/>
  <c r="Z4"/>
  <c r="Z3"/>
  <c r="W177" i="42" l="1"/>
  <c r="T24" i="43" s="1"/>
  <c r="X177" i="42"/>
  <c r="AB171"/>
  <c r="Y171"/>
  <c r="AB163"/>
  <c r="Y163"/>
  <c r="AB170"/>
  <c r="Y170"/>
  <c r="AB174"/>
  <c r="Y174"/>
  <c r="AB167"/>
  <c r="Y167"/>
  <c r="Q177"/>
  <c r="N24" i="43" s="1"/>
  <c r="Y155" i="42"/>
  <c r="W133"/>
  <c r="T23" i="43" s="1"/>
  <c r="AB129" i="42"/>
  <c r="Y129"/>
  <c r="AB127"/>
  <c r="Y127"/>
  <c r="AB119"/>
  <c r="Y119"/>
  <c r="AB128"/>
  <c r="Y128"/>
  <c r="AB120"/>
  <c r="Y120"/>
  <c r="AB122"/>
  <c r="Y122"/>
  <c r="AB131"/>
  <c r="Y131"/>
  <c r="AB123"/>
  <c r="Y123"/>
  <c r="AB121"/>
  <c r="Y121"/>
  <c r="AB130"/>
  <c r="Y130"/>
  <c r="AB125"/>
  <c r="Y125"/>
  <c r="AB118"/>
  <c r="Y118"/>
  <c r="Y133" s="1"/>
  <c r="Y23" i="43" s="1"/>
  <c r="X102" i="42"/>
  <c r="W102"/>
  <c r="T22" i="43" s="1"/>
  <c r="AB99" i="42"/>
  <c r="Y99"/>
  <c r="AB101"/>
  <c r="Y101"/>
  <c r="AB93"/>
  <c r="Y93"/>
  <c r="AB85"/>
  <c r="Y85"/>
  <c r="AB92"/>
  <c r="AB94"/>
  <c r="AB95"/>
  <c r="AB83"/>
  <c r="Y83"/>
  <c r="AB96"/>
  <c r="Y96"/>
  <c r="AB88"/>
  <c r="Y88"/>
  <c r="AB100"/>
  <c r="Y100"/>
  <c r="AB97"/>
  <c r="Y97"/>
  <c r="AB89"/>
  <c r="Y89"/>
  <c r="AB91"/>
  <c r="Y91"/>
  <c r="AB84"/>
  <c r="Y84"/>
  <c r="AB98"/>
  <c r="Y98"/>
  <c r="AB90"/>
  <c r="Y90"/>
  <c r="AB81"/>
  <c r="Y81"/>
  <c r="Q102"/>
  <c r="N22" i="43" s="1"/>
  <c r="W64" i="42"/>
  <c r="T21" i="43" s="1"/>
  <c r="X64" i="42"/>
  <c r="AB45"/>
  <c r="Y45"/>
  <c r="AB59"/>
  <c r="Y59"/>
  <c r="AB51"/>
  <c r="Y51"/>
  <c r="AB62"/>
  <c r="Y62"/>
  <c r="AB63"/>
  <c r="Y63"/>
  <c r="AB47"/>
  <c r="Y47"/>
  <c r="AB48"/>
  <c r="AB60"/>
  <c r="Y60"/>
  <c r="AB54"/>
  <c r="AB53"/>
  <c r="Y53"/>
  <c r="AB57"/>
  <c r="Y57"/>
  <c r="AB49"/>
  <c r="Y49"/>
  <c r="AB55"/>
  <c r="AB52"/>
  <c r="Y52"/>
  <c r="AB61"/>
  <c r="Y61"/>
  <c r="AB46"/>
  <c r="Y46"/>
  <c r="AB58"/>
  <c r="Y58"/>
  <c r="AB50"/>
  <c r="Y50"/>
  <c r="AB56"/>
  <c r="AB44"/>
  <c r="Y44"/>
  <c r="AB20" i="43"/>
  <c r="R25"/>
  <c r="X34" i="42"/>
  <c r="W34"/>
  <c r="T20" i="43" s="1"/>
  <c r="AA20"/>
  <c r="P25"/>
  <c r="AB24" i="42"/>
  <c r="Y24"/>
  <c r="AB16"/>
  <c r="Y16"/>
  <c r="AB33"/>
  <c r="Y33"/>
  <c r="AB25"/>
  <c r="Y25"/>
  <c r="AB9"/>
  <c r="Y9"/>
  <c r="AB26"/>
  <c r="Y26"/>
  <c r="AB10"/>
  <c r="Y10"/>
  <c r="AB27"/>
  <c r="Y27"/>
  <c r="AB19"/>
  <c r="Y19"/>
  <c r="AB11"/>
  <c r="Y11"/>
  <c r="AB20"/>
  <c r="Y20"/>
  <c r="AB28"/>
  <c r="Y28"/>
  <c r="AB12"/>
  <c r="Y12"/>
  <c r="AB29"/>
  <c r="Y29"/>
  <c r="AB21"/>
  <c r="Y21"/>
  <c r="AB13"/>
  <c r="Y13"/>
  <c r="AB30"/>
  <c r="Y30"/>
  <c r="AB22"/>
  <c r="Y22"/>
  <c r="AB31"/>
  <c r="Y31"/>
  <c r="AB23"/>
  <c r="Y23"/>
  <c r="AB15"/>
  <c r="Y15"/>
  <c r="AB32"/>
  <c r="Y32"/>
  <c r="AB8"/>
  <c r="Y8"/>
  <c r="AB17"/>
  <c r="Y17"/>
  <c r="Z20" i="43"/>
  <c r="L25"/>
  <c r="Q34" i="42"/>
  <c r="N20" i="43" s="1"/>
  <c r="O15" i="48"/>
  <c r="D15"/>
  <c r="T15"/>
  <c r="X15"/>
  <c r="E15"/>
  <c r="H15"/>
  <c r="J15"/>
  <c r="R15"/>
  <c r="W15"/>
  <c r="V15"/>
  <c r="U15"/>
  <c r="P15"/>
  <c r="L15"/>
  <c r="F15"/>
  <c r="M15"/>
  <c r="I15"/>
  <c r="Z14"/>
  <c r="Y47" i="3"/>
  <c r="P44" i="17"/>
  <c r="O44"/>
  <c r="Y57" i="3"/>
  <c r="P54" i="17"/>
  <c r="O54"/>
  <c r="Y67" i="3"/>
  <c r="P64" i="17"/>
  <c r="O64"/>
  <c r="Y59" i="3"/>
  <c r="P56" i="17"/>
  <c r="O56"/>
  <c r="Y51" i="3"/>
  <c r="P48" i="17"/>
  <c r="O48"/>
  <c r="Y63" i="3"/>
  <c r="P60" i="17"/>
  <c r="O60"/>
  <c r="Y56" i="3"/>
  <c r="P53" i="17"/>
  <c r="O53"/>
  <c r="Y66" i="3"/>
  <c r="P63" i="17"/>
  <c r="O63"/>
  <c r="Y68" i="3"/>
  <c r="P65" i="17"/>
  <c r="O65"/>
  <c r="Y60" i="3"/>
  <c r="P57" i="17"/>
  <c r="O57"/>
  <c r="Y52" i="3"/>
  <c r="P49" i="17"/>
  <c r="O49"/>
  <c r="Y44" i="3"/>
  <c r="P41" i="17"/>
  <c r="O41"/>
  <c r="Y55" i="3"/>
  <c r="P52" i="17"/>
  <c r="O52"/>
  <c r="Y48" i="3"/>
  <c r="P45" i="17"/>
  <c r="O45"/>
  <c r="Y65" i="3"/>
  <c r="P62" i="17"/>
  <c r="O62"/>
  <c r="Y50" i="3"/>
  <c r="P47" i="17"/>
  <c r="O47"/>
  <c r="Y69" i="3"/>
  <c r="P66" i="17"/>
  <c r="O66"/>
  <c r="Y61" i="3"/>
  <c r="P58" i="17"/>
  <c r="O58"/>
  <c r="Y53" i="3"/>
  <c r="P50" i="17"/>
  <c r="O50"/>
  <c r="Y45" i="3"/>
  <c r="P42" i="17"/>
  <c r="O42"/>
  <c r="Y64" i="3"/>
  <c r="P61" i="17"/>
  <c r="O61"/>
  <c r="Y49" i="3"/>
  <c r="P46" i="17"/>
  <c r="O46"/>
  <c r="Y58" i="3"/>
  <c r="P55" i="17"/>
  <c r="O55"/>
  <c r="Y43" i="3"/>
  <c r="P40" i="17"/>
  <c r="N67"/>
  <c r="L10" i="53" s="1"/>
  <c r="Q10" s="1"/>
  <c r="O40" i="17"/>
  <c r="O67" s="1"/>
  <c r="M10" i="53" s="1"/>
  <c r="Y62" i="3"/>
  <c r="P59" i="17"/>
  <c r="O59"/>
  <c r="Y54" i="3"/>
  <c r="P51" i="17"/>
  <c r="O51"/>
  <c r="Y46" i="3"/>
  <c r="P43" i="17"/>
  <c r="O43"/>
  <c r="W126" i="2"/>
  <c r="O126"/>
  <c r="X82"/>
  <c r="H82"/>
  <c r="AE97"/>
  <c r="AE98"/>
  <c r="AA26"/>
  <c r="S26"/>
  <c r="K26"/>
  <c r="P57"/>
  <c r="J126"/>
  <c r="R126"/>
  <c r="Z126"/>
  <c r="F126"/>
  <c r="N126"/>
  <c r="V126"/>
  <c r="AD126"/>
  <c r="E126"/>
  <c r="M126"/>
  <c r="U126"/>
  <c r="AC126"/>
  <c r="D126"/>
  <c r="L126"/>
  <c r="T126"/>
  <c r="AB126"/>
  <c r="K126"/>
  <c r="S126"/>
  <c r="AA126"/>
  <c r="N99"/>
  <c r="O99"/>
  <c r="Q57"/>
  <c r="K99"/>
  <c r="AA99"/>
  <c r="J99"/>
  <c r="Z99"/>
  <c r="I99"/>
  <c r="Q99"/>
  <c r="Y99"/>
  <c r="S99"/>
  <c r="R99"/>
  <c r="AD26"/>
  <c r="V26"/>
  <c r="N26"/>
  <c r="F26"/>
  <c r="AE80"/>
  <c r="AB26"/>
  <c r="T26"/>
  <c r="L26"/>
  <c r="AE81"/>
  <c r="AC26"/>
  <c r="U26"/>
  <c r="M26"/>
  <c r="E26"/>
  <c r="W82"/>
  <c r="W26"/>
  <c r="G26"/>
  <c r="X26"/>
  <c r="P26"/>
  <c r="H26"/>
  <c r="Y26"/>
  <c r="Q26"/>
  <c r="I26"/>
  <c r="P82"/>
  <c r="D26"/>
  <c r="O26"/>
  <c r="Z26"/>
  <c r="R26"/>
  <c r="J26"/>
  <c r="AE55"/>
  <c r="AE56"/>
  <c r="D99"/>
  <c r="L99"/>
  <c r="T99"/>
  <c r="AB99"/>
  <c r="H99"/>
  <c r="X99"/>
  <c r="G99"/>
  <c r="F99"/>
  <c r="V99"/>
  <c r="AD99"/>
  <c r="P99"/>
  <c r="W99"/>
  <c r="E99"/>
  <c r="M99"/>
  <c r="U99"/>
  <c r="AC99"/>
  <c r="O82"/>
  <c r="G82"/>
  <c r="X57"/>
  <c r="H57"/>
  <c r="J82"/>
  <c r="R82"/>
  <c r="Z82"/>
  <c r="F82"/>
  <c r="N82"/>
  <c r="V82"/>
  <c r="AD82"/>
  <c r="E82"/>
  <c r="M82"/>
  <c r="U82"/>
  <c r="AC82"/>
  <c r="D82"/>
  <c r="L82"/>
  <c r="T82"/>
  <c r="AB82"/>
  <c r="K82"/>
  <c r="S82"/>
  <c r="AA82"/>
  <c r="W57"/>
  <c r="O57"/>
  <c r="G57"/>
  <c r="I57"/>
  <c r="Y57"/>
  <c r="N57"/>
  <c r="AD57"/>
  <c r="M57"/>
  <c r="AC57"/>
  <c r="L57"/>
  <c r="AB57"/>
  <c r="K57"/>
  <c r="S57"/>
  <c r="AA57"/>
  <c r="F57"/>
  <c r="V57"/>
  <c r="E57"/>
  <c r="U57"/>
  <c r="D57"/>
  <c r="T57"/>
  <c r="J57"/>
  <c r="R57"/>
  <c r="Z57"/>
  <c r="AB14" i="42"/>
  <c r="AB82"/>
  <c r="Q133"/>
  <c r="N23" i="43" s="1"/>
  <c r="Q64" i="42"/>
  <c r="N21" i="43" s="1"/>
  <c r="Z44" i="42"/>
  <c r="AB176"/>
  <c r="AB168"/>
  <c r="AB160"/>
  <c r="AB155"/>
  <c r="AB169"/>
  <c r="AB161"/>
  <c r="AB175"/>
  <c r="R44"/>
  <c r="AB172"/>
  <c r="AB164"/>
  <c r="AB156"/>
  <c r="AB166"/>
  <c r="AB158"/>
  <c r="AB159"/>
  <c r="AB162"/>
  <c r="AB173"/>
  <c r="AB165"/>
  <c r="AB157"/>
  <c r="Z13" i="48"/>
  <c r="Y177" i="42" l="1"/>
  <c r="Y24" i="43" s="1"/>
  <c r="N25"/>
  <c r="N27" s="1"/>
  <c r="AB133" i="42"/>
  <c r="W23" i="43" s="1"/>
  <c r="Y102" i="42"/>
  <c r="Y22" i="43" s="1"/>
  <c r="AB102" i="42"/>
  <c r="W22" i="43" s="1"/>
  <c r="T25"/>
  <c r="T27" s="1"/>
  <c r="AB64" i="42"/>
  <c r="W21" i="43" s="1"/>
  <c r="Y64" i="42"/>
  <c r="Y21" i="43" s="1"/>
  <c r="R27"/>
  <c r="AB27" s="1"/>
  <c r="AB25"/>
  <c r="Y34" i="42"/>
  <c r="Y20" i="43" s="1"/>
  <c r="AA25"/>
  <c r="P27"/>
  <c r="AA27" s="1"/>
  <c r="AB34" i="42"/>
  <c r="W20" i="43" s="1"/>
  <c r="Z25"/>
  <c r="L27"/>
  <c r="Z27" s="1"/>
  <c r="Z15" i="48"/>
  <c r="Y70" i="3"/>
  <c r="R10" i="43" s="1"/>
  <c r="R15" s="1"/>
  <c r="P67" i="17"/>
  <c r="N10" i="53" s="1"/>
  <c r="AE126" i="2"/>
  <c r="AE99"/>
  <c r="AE82"/>
  <c r="AE57"/>
  <c r="AA44" i="42"/>
  <c r="AB177"/>
  <c r="W24" i="43" s="1"/>
  <c r="X22" i="46"/>
  <c r="W22"/>
  <c r="V22"/>
  <c r="U22"/>
  <c r="T22"/>
  <c r="S22"/>
  <c r="S23" s="1"/>
  <c r="R22"/>
  <c r="Q22"/>
  <c r="P22"/>
  <c r="O22"/>
  <c r="N22"/>
  <c r="M22"/>
  <c r="L22"/>
  <c r="K22"/>
  <c r="K23" s="1"/>
  <c r="J22"/>
  <c r="I22"/>
  <c r="H22"/>
  <c r="G22"/>
  <c r="F22"/>
  <c r="E22"/>
  <c r="D22"/>
  <c r="Y3"/>
  <c r="R74" i="45"/>
  <c r="J74"/>
  <c r="V74"/>
  <c r="N74"/>
  <c r="F74"/>
  <c r="X4"/>
  <c r="AE16" i="44"/>
  <c r="AE15"/>
  <c r="AE14"/>
  <c r="AE13"/>
  <c r="AE12"/>
  <c r="AE11"/>
  <c r="AE10"/>
  <c r="AE9"/>
  <c r="AE8"/>
  <c r="AE7"/>
  <c r="AE6"/>
  <c r="Y25" i="43" l="1"/>
  <c r="Y27" s="1"/>
  <c r="W25"/>
  <c r="W27" s="1"/>
  <c r="X72" i="45"/>
  <c r="X73"/>
  <c r="E74"/>
  <c r="M74"/>
  <c r="U74"/>
  <c r="H74"/>
  <c r="P74"/>
  <c r="L74"/>
  <c r="T74"/>
  <c r="G74"/>
  <c r="O74"/>
  <c r="W74"/>
  <c r="S74"/>
  <c r="K74"/>
  <c r="I74"/>
  <c r="Q74"/>
  <c r="E23" i="46"/>
  <c r="M23"/>
  <c r="U23"/>
  <c r="H23"/>
  <c r="P23"/>
  <c r="X23"/>
  <c r="G23"/>
  <c r="O23"/>
  <c r="W23"/>
  <c r="N23"/>
  <c r="F23"/>
  <c r="V23"/>
  <c r="I23"/>
  <c r="D23"/>
  <c r="L23"/>
  <c r="T23"/>
  <c r="R23"/>
  <c r="J23"/>
  <c r="Q23"/>
  <c r="AE18" i="44"/>
  <c r="AE17"/>
  <c r="AC44" i="42"/>
  <c r="D74" i="45"/>
  <c r="X74" l="1"/>
  <c r="Y23" i="46"/>
  <c r="U189" i="3"/>
  <c r="AF189" s="1"/>
  <c r="U190"/>
  <c r="AF190" s="1"/>
  <c r="U191"/>
  <c r="AF191" s="1"/>
  <c r="U192"/>
  <c r="AF192" s="1"/>
  <c r="U193"/>
  <c r="AF193" s="1"/>
  <c r="U194"/>
  <c r="AF194" s="1"/>
  <c r="U195"/>
  <c r="AF195" s="1"/>
  <c r="U196"/>
  <c r="AF196" s="1"/>
  <c r="U197"/>
  <c r="AF197" s="1"/>
  <c r="U198"/>
  <c r="AF198" s="1"/>
  <c r="U199"/>
  <c r="AF199" s="1"/>
  <c r="U200"/>
  <c r="AF200" s="1"/>
  <c r="U201"/>
  <c r="AF201" s="1"/>
  <c r="U202"/>
  <c r="AF202" s="1"/>
  <c r="U203"/>
  <c r="AF203" s="1"/>
  <c r="U204"/>
  <c r="AF204" s="1"/>
  <c r="U205"/>
  <c r="AF205" s="1"/>
  <c r="U188"/>
  <c r="AB189"/>
  <c r="AB190"/>
  <c r="AB191"/>
  <c r="AB192"/>
  <c r="AB193"/>
  <c r="AB194"/>
  <c r="AB195"/>
  <c r="AB196"/>
  <c r="AB197"/>
  <c r="AB198"/>
  <c r="AB199"/>
  <c r="AB200"/>
  <c r="AB201"/>
  <c r="AB202"/>
  <c r="AB203"/>
  <c r="AB204"/>
  <c r="AB205"/>
  <c r="AB188"/>
  <c r="AB151"/>
  <c r="AB152"/>
  <c r="AB153"/>
  <c r="AB154"/>
  <c r="AB155"/>
  <c r="AB156"/>
  <c r="AB157"/>
  <c r="AB158"/>
  <c r="AB150"/>
  <c r="AB116"/>
  <c r="AB117"/>
  <c r="AB118"/>
  <c r="AB119"/>
  <c r="AB120"/>
  <c r="AB121"/>
  <c r="AB122"/>
  <c r="AB123"/>
  <c r="AB124"/>
  <c r="AB125"/>
  <c r="AB126"/>
  <c r="AB127"/>
  <c r="AB128"/>
  <c r="AB129"/>
  <c r="AB130"/>
  <c r="AB115"/>
  <c r="AB206" l="1"/>
  <c r="AB131"/>
  <c r="AB159"/>
  <c r="AF188"/>
  <c r="AF206" s="1"/>
  <c r="U206"/>
  <c r="AB81"/>
  <c r="AB82"/>
  <c r="AB83"/>
  <c r="AB84"/>
  <c r="AB85"/>
  <c r="AB86"/>
  <c r="AB87"/>
  <c r="AB88"/>
  <c r="AB89"/>
  <c r="AB90"/>
  <c r="AB91"/>
  <c r="AB92"/>
  <c r="AB93"/>
  <c r="AB94"/>
  <c r="AB95"/>
  <c r="AB96"/>
  <c r="AB97"/>
  <c r="AB98"/>
  <c r="AB99"/>
  <c r="AB100"/>
  <c r="AB101"/>
  <c r="AB80"/>
  <c r="AB44"/>
  <c r="AB45"/>
  <c r="AB46"/>
  <c r="AB47"/>
  <c r="AB48"/>
  <c r="AB49"/>
  <c r="AB50"/>
  <c r="AB51"/>
  <c r="AB52"/>
  <c r="AB53"/>
  <c r="AB54"/>
  <c r="AB55"/>
  <c r="AB56"/>
  <c r="AB57"/>
  <c r="AB58"/>
  <c r="AB59"/>
  <c r="AB60"/>
  <c r="AB61"/>
  <c r="AB62"/>
  <c r="AB63"/>
  <c r="AB64"/>
  <c r="AB65"/>
  <c r="AB66"/>
  <c r="AB67"/>
  <c r="AB68"/>
  <c r="AB69"/>
  <c r="AB43"/>
  <c r="AB8"/>
  <c r="AB7"/>
  <c r="AE8" i="2"/>
  <c r="AE9"/>
  <c r="AE10"/>
  <c r="AE11"/>
  <c r="AE12"/>
  <c r="AE13"/>
  <c r="AE14"/>
  <c r="AE15"/>
  <c r="AE16"/>
  <c r="AE17"/>
  <c r="AE18"/>
  <c r="AE19"/>
  <c r="AE20"/>
  <c r="AE21"/>
  <c r="AE22"/>
  <c r="AE23"/>
  <c r="AE24"/>
  <c r="AE25"/>
  <c r="AE26"/>
  <c r="AE6"/>
  <c r="F41" i="9"/>
  <c r="E42"/>
  <c r="D42"/>
  <c r="N7" i="17" s="1"/>
  <c r="E41" i="9"/>
  <c r="D41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F36"/>
  <c r="F37"/>
  <c r="F38"/>
  <c r="F39"/>
  <c r="F40"/>
  <c r="F5"/>
  <c r="F42" l="1"/>
  <c r="F43" s="1"/>
  <c r="L8" i="53"/>
  <c r="Y7" i="3"/>
  <c r="Y9" s="1"/>
  <c r="O7" i="17"/>
  <c r="N9"/>
  <c r="P7"/>
  <c r="AB70" i="3"/>
  <c r="AB102"/>
  <c r="AB9"/>
  <c r="AA189"/>
  <c r="AA190"/>
  <c r="AA191"/>
  <c r="AA192"/>
  <c r="AA193"/>
  <c r="AA194"/>
  <c r="AA195"/>
  <c r="AA196"/>
  <c r="AA197"/>
  <c r="AA198"/>
  <c r="AA199"/>
  <c r="AA200"/>
  <c r="AA201"/>
  <c r="AA202"/>
  <c r="AA203"/>
  <c r="AA204"/>
  <c r="AA205"/>
  <c r="AA188"/>
  <c r="U151"/>
  <c r="AF151" s="1"/>
  <c r="U152"/>
  <c r="AF152" s="1"/>
  <c r="U153"/>
  <c r="AF153" s="1"/>
  <c r="U154"/>
  <c r="AF154" s="1"/>
  <c r="U155"/>
  <c r="AF155" s="1"/>
  <c r="U156"/>
  <c r="AF156" s="1"/>
  <c r="U157"/>
  <c r="AF157" s="1"/>
  <c r="U158"/>
  <c r="AF158" s="1"/>
  <c r="U150"/>
  <c r="AA151"/>
  <c r="AA152"/>
  <c r="AA153"/>
  <c r="AA154"/>
  <c r="AA155"/>
  <c r="AA156"/>
  <c r="AA157"/>
  <c r="AA158"/>
  <c r="Z151"/>
  <c r="Z152"/>
  <c r="Z153"/>
  <c r="Z154"/>
  <c r="Z155"/>
  <c r="Z156"/>
  <c r="Z157"/>
  <c r="Z158"/>
  <c r="AA150"/>
  <c r="Z150"/>
  <c r="U116"/>
  <c r="AF116" s="1"/>
  <c r="U117"/>
  <c r="AF117" s="1"/>
  <c r="U118"/>
  <c r="AF118" s="1"/>
  <c r="U119"/>
  <c r="AF119" s="1"/>
  <c r="U120"/>
  <c r="AF120" s="1"/>
  <c r="U121"/>
  <c r="AF121" s="1"/>
  <c r="U122"/>
  <c r="AF122" s="1"/>
  <c r="U123"/>
  <c r="AF123" s="1"/>
  <c r="U124"/>
  <c r="AF124" s="1"/>
  <c r="U125"/>
  <c r="AF125" s="1"/>
  <c r="U126"/>
  <c r="AF126" s="1"/>
  <c r="U127"/>
  <c r="AF127" s="1"/>
  <c r="U128"/>
  <c r="AF128" s="1"/>
  <c r="U129"/>
  <c r="AF129" s="1"/>
  <c r="U130"/>
  <c r="AF130" s="1"/>
  <c r="U115"/>
  <c r="AA116"/>
  <c r="AA117"/>
  <c r="AA118"/>
  <c r="AA119"/>
  <c r="AA120"/>
  <c r="AA121"/>
  <c r="AA122"/>
  <c r="AA123"/>
  <c r="AA124"/>
  <c r="AA125"/>
  <c r="AA126"/>
  <c r="AA127"/>
  <c r="AA128"/>
  <c r="AA129"/>
  <c r="AA130"/>
  <c r="AA115"/>
  <c r="U81"/>
  <c r="AF81" s="1"/>
  <c r="U82"/>
  <c r="AF82" s="1"/>
  <c r="U83"/>
  <c r="AF83" s="1"/>
  <c r="U84"/>
  <c r="AF84" s="1"/>
  <c r="U85"/>
  <c r="AF85" s="1"/>
  <c r="U86"/>
  <c r="AF86" s="1"/>
  <c r="U87"/>
  <c r="AF87" s="1"/>
  <c r="U88"/>
  <c r="AF88" s="1"/>
  <c r="U89"/>
  <c r="AF89" s="1"/>
  <c r="U90"/>
  <c r="AF90" s="1"/>
  <c r="U91"/>
  <c r="AF91" s="1"/>
  <c r="U92"/>
  <c r="AF92" s="1"/>
  <c r="U93"/>
  <c r="AF93" s="1"/>
  <c r="U94"/>
  <c r="AF94" s="1"/>
  <c r="U95"/>
  <c r="AF95" s="1"/>
  <c r="U96"/>
  <c r="AF96" s="1"/>
  <c r="U97"/>
  <c r="AF97" s="1"/>
  <c r="U98"/>
  <c r="AF98" s="1"/>
  <c r="U99"/>
  <c r="AF99" s="1"/>
  <c r="U100"/>
  <c r="AF100" s="1"/>
  <c r="U101"/>
  <c r="AF101" s="1"/>
  <c r="U80"/>
  <c r="AA81"/>
  <c r="AA82"/>
  <c r="AA83"/>
  <c r="AA84"/>
  <c r="AA85"/>
  <c r="AA86"/>
  <c r="AA87"/>
  <c r="AA88"/>
  <c r="AA89"/>
  <c r="AA90"/>
  <c r="AA91"/>
  <c r="AA92"/>
  <c r="AA93"/>
  <c r="AA94"/>
  <c r="AA95"/>
  <c r="AA96"/>
  <c r="AA97"/>
  <c r="AA98"/>
  <c r="AA99"/>
  <c r="AA100"/>
  <c r="AA101"/>
  <c r="AA80"/>
  <c r="U8"/>
  <c r="AF8" s="1"/>
  <c r="U7"/>
  <c r="AC7" s="1"/>
  <c r="U44"/>
  <c r="U45"/>
  <c r="U46"/>
  <c r="U47"/>
  <c r="U48"/>
  <c r="U49"/>
  <c r="U50"/>
  <c r="U51"/>
  <c r="U52"/>
  <c r="U53"/>
  <c r="U54"/>
  <c r="U55"/>
  <c r="U56"/>
  <c r="U57"/>
  <c r="U58"/>
  <c r="U59"/>
  <c r="U60"/>
  <c r="U61"/>
  <c r="U62"/>
  <c r="U63"/>
  <c r="U64"/>
  <c r="U65"/>
  <c r="U66"/>
  <c r="U67"/>
  <c r="U68"/>
  <c r="U69"/>
  <c r="U43"/>
  <c r="AC43" s="1"/>
  <c r="AF48" l="1"/>
  <c r="AC48"/>
  <c r="AF64"/>
  <c r="AC64"/>
  <c r="AF57"/>
  <c r="AC57"/>
  <c r="AF66"/>
  <c r="AC66"/>
  <c r="AF67"/>
  <c r="AC67"/>
  <c r="AF68"/>
  <c r="AC68"/>
  <c r="AF52"/>
  <c r="AC52"/>
  <c r="AF61"/>
  <c r="AC61"/>
  <c r="AF53"/>
  <c r="AC53"/>
  <c r="AF45"/>
  <c r="AC45"/>
  <c r="AF56"/>
  <c r="AC56"/>
  <c r="AF65"/>
  <c r="AC65"/>
  <c r="AF50"/>
  <c r="AC50"/>
  <c r="AF51"/>
  <c r="AC51"/>
  <c r="AF60"/>
  <c r="AC60"/>
  <c r="AF69"/>
  <c r="AC69"/>
  <c r="AF46"/>
  <c r="AC46"/>
  <c r="AF49"/>
  <c r="AC49"/>
  <c r="AF58"/>
  <c r="AC58"/>
  <c r="AF59"/>
  <c r="AC59"/>
  <c r="AF44"/>
  <c r="AC44"/>
  <c r="AF62"/>
  <c r="AC62"/>
  <c r="AF54"/>
  <c r="AC54"/>
  <c r="AF63"/>
  <c r="AC63"/>
  <c r="AF55"/>
  <c r="AC55"/>
  <c r="AF47"/>
  <c r="AC47"/>
  <c r="Q8" i="53"/>
  <c r="L26"/>
  <c r="M8"/>
  <c r="M26" s="1"/>
  <c r="O9" i="17"/>
  <c r="N8" i="53"/>
  <c r="N26" s="1"/>
  <c r="P9" i="17"/>
  <c r="U70" i="3"/>
  <c r="N10" i="43" s="1"/>
  <c r="N15" s="1"/>
  <c r="AF43" i="3"/>
  <c r="AA102"/>
  <c r="U9"/>
  <c r="AF7"/>
  <c r="U159"/>
  <c r="AF150"/>
  <c r="AF159" s="1"/>
  <c r="AA159"/>
  <c r="U102"/>
  <c r="AF80"/>
  <c r="AF102" s="1"/>
  <c r="U131"/>
  <c r="AF115"/>
  <c r="AF131" s="1"/>
  <c r="AA206"/>
  <c r="AA131"/>
  <c r="Z159"/>
  <c r="AA44"/>
  <c r="AA45"/>
  <c r="AA46"/>
  <c r="AA47"/>
  <c r="AA48"/>
  <c r="AA49"/>
  <c r="AA50"/>
  <c r="AA51"/>
  <c r="AA52"/>
  <c r="AA53"/>
  <c r="AA54"/>
  <c r="AA55"/>
  <c r="AA56"/>
  <c r="AA57"/>
  <c r="AA58"/>
  <c r="AA59"/>
  <c r="AA60"/>
  <c r="AA61"/>
  <c r="AA62"/>
  <c r="AA63"/>
  <c r="AA64"/>
  <c r="AA65"/>
  <c r="AA66"/>
  <c r="AA67"/>
  <c r="AA68"/>
  <c r="AA69"/>
  <c r="AA43"/>
  <c r="X8"/>
  <c r="AA8"/>
  <c r="AA7"/>
  <c r="X7"/>
  <c r="AC70" l="1"/>
  <c r="AF9"/>
  <c r="AA70"/>
  <c r="T10" i="43" s="1"/>
  <c r="T15" s="1"/>
  <c r="AA9" i="3"/>
  <c r="AF70"/>
  <c r="X9"/>
  <c r="L8" i="42" l="1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7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82"/>
  <c r="L83"/>
  <c r="L84"/>
  <c r="L85"/>
  <c r="L86"/>
  <c r="L87"/>
  <c r="L88"/>
  <c r="L89"/>
  <c r="L90"/>
  <c r="L91"/>
  <c r="L92"/>
  <c r="L93"/>
  <c r="L94"/>
  <c r="L95"/>
  <c r="L96"/>
  <c r="L97"/>
  <c r="L98"/>
  <c r="L99"/>
  <c r="L100"/>
  <c r="L101"/>
  <c r="L81"/>
  <c r="L119"/>
  <c r="L120"/>
  <c r="L121"/>
  <c r="L122"/>
  <c r="L123"/>
  <c r="L124"/>
  <c r="L125"/>
  <c r="L126"/>
  <c r="L127"/>
  <c r="L128"/>
  <c r="L129"/>
  <c r="L130"/>
  <c r="L131"/>
  <c r="L132"/>
  <c r="L118"/>
  <c r="L156"/>
  <c r="L157"/>
  <c r="L158"/>
  <c r="L159"/>
  <c r="L160"/>
  <c r="L161"/>
  <c r="L162"/>
  <c r="L163"/>
  <c r="L164"/>
  <c r="L165"/>
  <c r="L166"/>
  <c r="L167"/>
  <c r="L168"/>
  <c r="L169"/>
  <c r="L170"/>
  <c r="L171"/>
  <c r="L172"/>
  <c r="L173"/>
  <c r="L174"/>
  <c r="L175"/>
  <c r="L176"/>
  <c r="L155"/>
  <c r="L133" l="1"/>
  <c r="E23" i="43" s="1"/>
  <c r="L102" i="42"/>
  <c r="E22" i="43" s="1"/>
  <c r="L34" i="42"/>
  <c r="L64"/>
  <c r="L177"/>
  <c r="T162"/>
  <c r="Z162"/>
  <c r="AA162" s="1"/>
  <c r="AC162" s="1"/>
  <c r="V162"/>
  <c r="R162"/>
  <c r="Z84"/>
  <c r="AA84" s="1"/>
  <c r="AC84" s="1"/>
  <c r="R84"/>
  <c r="V84"/>
  <c r="T84"/>
  <c r="R24"/>
  <c r="T24"/>
  <c r="V24"/>
  <c r="Z24"/>
  <c r="AA24" s="1"/>
  <c r="AC24" s="1"/>
  <c r="R163"/>
  <c r="T163"/>
  <c r="Z163"/>
  <c r="AA163" s="1"/>
  <c r="AC163" s="1"/>
  <c r="V163"/>
  <c r="R101"/>
  <c r="V101"/>
  <c r="Z101"/>
  <c r="AA101" s="1"/>
  <c r="AC101" s="1"/>
  <c r="T101"/>
  <c r="R93"/>
  <c r="T93"/>
  <c r="Z93"/>
  <c r="AA93" s="1"/>
  <c r="AC93" s="1"/>
  <c r="V93"/>
  <c r="R85"/>
  <c r="V85"/>
  <c r="Z85"/>
  <c r="AA85" s="1"/>
  <c r="AC85" s="1"/>
  <c r="T85"/>
  <c r="V59"/>
  <c r="R59"/>
  <c r="Z59"/>
  <c r="AA59" s="1"/>
  <c r="AC59" s="1"/>
  <c r="T59"/>
  <c r="Z25"/>
  <c r="AA25" s="1"/>
  <c r="AC25" s="1"/>
  <c r="T25"/>
  <c r="R25"/>
  <c r="V25"/>
  <c r="R17"/>
  <c r="V17"/>
  <c r="T17"/>
  <c r="Z17"/>
  <c r="AA17" s="1"/>
  <c r="AC17" s="1"/>
  <c r="Z9"/>
  <c r="AA9" s="1"/>
  <c r="AC9" s="1"/>
  <c r="R9"/>
  <c r="T9"/>
  <c r="V9"/>
  <c r="T172"/>
  <c r="Z172"/>
  <c r="AA172" s="1"/>
  <c r="AC172" s="1"/>
  <c r="V172"/>
  <c r="R172"/>
  <c r="Z164"/>
  <c r="AA164" s="1"/>
  <c r="AC164" s="1"/>
  <c r="V164"/>
  <c r="T164"/>
  <c r="R164"/>
  <c r="T156"/>
  <c r="Z156"/>
  <c r="AA156" s="1"/>
  <c r="AC156" s="1"/>
  <c r="V156"/>
  <c r="R156"/>
  <c r="Z126"/>
  <c r="AA126" s="1"/>
  <c r="AC126" s="1"/>
  <c r="V126"/>
  <c r="R126"/>
  <c r="T126"/>
  <c r="Z81"/>
  <c r="V81"/>
  <c r="R81"/>
  <c r="T81"/>
  <c r="Z94"/>
  <c r="AA94" s="1"/>
  <c r="AC94" s="1"/>
  <c r="R94"/>
  <c r="V94"/>
  <c r="T94"/>
  <c r="Z86"/>
  <c r="AA86" s="1"/>
  <c r="AC86" s="1"/>
  <c r="V86"/>
  <c r="T86"/>
  <c r="R86"/>
  <c r="Z60"/>
  <c r="AA60" s="1"/>
  <c r="AC60" s="1"/>
  <c r="T60"/>
  <c r="V60"/>
  <c r="R60"/>
  <c r="Z52"/>
  <c r="AA52" s="1"/>
  <c r="AC52" s="1"/>
  <c r="T52"/>
  <c r="V52"/>
  <c r="R52"/>
  <c r="T7"/>
  <c r="Z7"/>
  <c r="V7"/>
  <c r="R7"/>
  <c r="T26"/>
  <c r="R26"/>
  <c r="V26"/>
  <c r="Z26"/>
  <c r="AA26" s="1"/>
  <c r="AC26" s="1"/>
  <c r="R18"/>
  <c r="T18"/>
  <c r="Z18"/>
  <c r="AA18" s="1"/>
  <c r="AC18" s="1"/>
  <c r="V18"/>
  <c r="R10"/>
  <c r="T10"/>
  <c r="V10"/>
  <c r="Z10"/>
  <c r="AA10" s="1"/>
  <c r="AC10" s="1"/>
  <c r="T124"/>
  <c r="R124"/>
  <c r="Z124"/>
  <c r="AA124" s="1"/>
  <c r="AC124" s="1"/>
  <c r="V124"/>
  <c r="V58"/>
  <c r="Z58"/>
  <c r="AA58" s="1"/>
  <c r="AC58" s="1"/>
  <c r="T58"/>
  <c r="R58"/>
  <c r="R16"/>
  <c r="T16"/>
  <c r="V16"/>
  <c r="Z16"/>
  <c r="AA16" s="1"/>
  <c r="AC16" s="1"/>
  <c r="V171"/>
  <c r="R171"/>
  <c r="Z171"/>
  <c r="AA171" s="1"/>
  <c r="AC171" s="1"/>
  <c r="T171"/>
  <c r="R51"/>
  <c r="Z51"/>
  <c r="AA51" s="1"/>
  <c r="AC51" s="1"/>
  <c r="T51"/>
  <c r="V51"/>
  <c r="Z165"/>
  <c r="AA165" s="1"/>
  <c r="AC165" s="1"/>
  <c r="V165"/>
  <c r="T165"/>
  <c r="R165"/>
  <c r="V127"/>
  <c r="T127"/>
  <c r="Z127"/>
  <c r="AA127" s="1"/>
  <c r="AC127" s="1"/>
  <c r="R127"/>
  <c r="Z95"/>
  <c r="AA95" s="1"/>
  <c r="AC95" s="1"/>
  <c r="V95"/>
  <c r="T95"/>
  <c r="R95"/>
  <c r="Z61"/>
  <c r="AA61" s="1"/>
  <c r="AC61" s="1"/>
  <c r="T61"/>
  <c r="V61"/>
  <c r="R61"/>
  <c r="Z53"/>
  <c r="AA53" s="1"/>
  <c r="AC53" s="1"/>
  <c r="T53"/>
  <c r="V53"/>
  <c r="R53"/>
  <c r="T27"/>
  <c r="R27"/>
  <c r="V27"/>
  <c r="Z27"/>
  <c r="AA27" s="1"/>
  <c r="AC27" s="1"/>
  <c r="T11"/>
  <c r="R11"/>
  <c r="V11"/>
  <c r="Z11"/>
  <c r="AA11" s="1"/>
  <c r="AC11" s="1"/>
  <c r="Z174"/>
  <c r="AA174" s="1"/>
  <c r="AC174" s="1"/>
  <c r="V174"/>
  <c r="T174"/>
  <c r="R174"/>
  <c r="Z166"/>
  <c r="AA166" s="1"/>
  <c r="AC166" s="1"/>
  <c r="V166"/>
  <c r="T166"/>
  <c r="R166"/>
  <c r="Z158"/>
  <c r="AA158" s="1"/>
  <c r="AC158" s="1"/>
  <c r="V158"/>
  <c r="T158"/>
  <c r="R158"/>
  <c r="V128"/>
  <c r="T128"/>
  <c r="Z128"/>
  <c r="AA128" s="1"/>
  <c r="AC128" s="1"/>
  <c r="R128"/>
  <c r="V120"/>
  <c r="T120"/>
  <c r="Z120"/>
  <c r="AA120" s="1"/>
  <c r="AC120" s="1"/>
  <c r="R120"/>
  <c r="V96"/>
  <c r="T96"/>
  <c r="R96"/>
  <c r="Z96"/>
  <c r="AA96" s="1"/>
  <c r="AC96" s="1"/>
  <c r="V88"/>
  <c r="T88"/>
  <c r="Z88"/>
  <c r="AA88" s="1"/>
  <c r="AC88" s="1"/>
  <c r="R88"/>
  <c r="R62"/>
  <c r="Z62"/>
  <c r="AA62" s="1"/>
  <c r="AC62" s="1"/>
  <c r="T62"/>
  <c r="V62"/>
  <c r="V54"/>
  <c r="T54"/>
  <c r="R54"/>
  <c r="Z54"/>
  <c r="AA54" s="1"/>
  <c r="AC54" s="1"/>
  <c r="R46"/>
  <c r="V46"/>
  <c r="Z46"/>
  <c r="AA46" s="1"/>
  <c r="AC46" s="1"/>
  <c r="T46"/>
  <c r="V28"/>
  <c r="Z28"/>
  <c r="AA28" s="1"/>
  <c r="AC28" s="1"/>
  <c r="R28"/>
  <c r="T28"/>
  <c r="Z20"/>
  <c r="AA20" s="1"/>
  <c r="AC20" s="1"/>
  <c r="T20"/>
  <c r="V20"/>
  <c r="R20"/>
  <c r="V12"/>
  <c r="Z12"/>
  <c r="AA12" s="1"/>
  <c r="AC12" s="1"/>
  <c r="T12"/>
  <c r="R12"/>
  <c r="Z132"/>
  <c r="AA132" s="1"/>
  <c r="AC132" s="1"/>
  <c r="R132"/>
  <c r="T132"/>
  <c r="V132"/>
  <c r="Z100"/>
  <c r="AA100" s="1"/>
  <c r="AC100" s="1"/>
  <c r="T100"/>
  <c r="R100"/>
  <c r="V100"/>
  <c r="Z50"/>
  <c r="AA50" s="1"/>
  <c r="AC50" s="1"/>
  <c r="T50"/>
  <c r="V50"/>
  <c r="R50"/>
  <c r="R32"/>
  <c r="V32"/>
  <c r="Z32"/>
  <c r="AA32" s="1"/>
  <c r="AC32" s="1"/>
  <c r="T32"/>
  <c r="Z118"/>
  <c r="V118"/>
  <c r="T118"/>
  <c r="R118"/>
  <c r="V33"/>
  <c r="T33"/>
  <c r="Z33"/>
  <c r="AA33" s="1"/>
  <c r="AC33" s="1"/>
  <c r="R33"/>
  <c r="Z173"/>
  <c r="AA173" s="1"/>
  <c r="AC173" s="1"/>
  <c r="V173"/>
  <c r="T173"/>
  <c r="R173"/>
  <c r="Z157"/>
  <c r="AA157" s="1"/>
  <c r="AC157" s="1"/>
  <c r="V157"/>
  <c r="T157"/>
  <c r="R157"/>
  <c r="T119"/>
  <c r="Z119"/>
  <c r="AA119" s="1"/>
  <c r="AC119" s="1"/>
  <c r="V119"/>
  <c r="R119"/>
  <c r="Z87"/>
  <c r="AA87" s="1"/>
  <c r="AC87" s="1"/>
  <c r="V87"/>
  <c r="R87"/>
  <c r="T87"/>
  <c r="Z45"/>
  <c r="T45"/>
  <c r="V45"/>
  <c r="R45"/>
  <c r="T19"/>
  <c r="V19"/>
  <c r="Z19"/>
  <c r="AA19" s="1"/>
  <c r="AC19" s="1"/>
  <c r="R19"/>
  <c r="Z175"/>
  <c r="AA175" s="1"/>
  <c r="AC175" s="1"/>
  <c r="V175"/>
  <c r="T175"/>
  <c r="R175"/>
  <c r="T167"/>
  <c r="Z167"/>
  <c r="AA167" s="1"/>
  <c r="AC167" s="1"/>
  <c r="V167"/>
  <c r="R167"/>
  <c r="Z159"/>
  <c r="AA159" s="1"/>
  <c r="AC159" s="1"/>
  <c r="V159"/>
  <c r="T159"/>
  <c r="R159"/>
  <c r="V129"/>
  <c r="T129"/>
  <c r="R129"/>
  <c r="Z129"/>
  <c r="AA129" s="1"/>
  <c r="AC129" s="1"/>
  <c r="V121"/>
  <c r="T121"/>
  <c r="R121"/>
  <c r="Z121"/>
  <c r="AA121" s="1"/>
  <c r="AC121" s="1"/>
  <c r="Z97"/>
  <c r="AA97" s="1"/>
  <c r="AC97" s="1"/>
  <c r="V97"/>
  <c r="T97"/>
  <c r="R97"/>
  <c r="T89"/>
  <c r="Z89"/>
  <c r="AA89" s="1"/>
  <c r="AC89" s="1"/>
  <c r="V89"/>
  <c r="R89"/>
  <c r="Z63"/>
  <c r="AA63" s="1"/>
  <c r="AC63" s="1"/>
  <c r="V63"/>
  <c r="R63"/>
  <c r="T63"/>
  <c r="Z55"/>
  <c r="AA55" s="1"/>
  <c r="AC55" s="1"/>
  <c r="V55"/>
  <c r="R55"/>
  <c r="T55"/>
  <c r="T47"/>
  <c r="V47"/>
  <c r="R47"/>
  <c r="Z47"/>
  <c r="AA47" s="1"/>
  <c r="AC47" s="1"/>
  <c r="R29"/>
  <c r="V29"/>
  <c r="Z29"/>
  <c r="AA29" s="1"/>
  <c r="AC29" s="1"/>
  <c r="T29"/>
  <c r="V21"/>
  <c r="T21"/>
  <c r="Z21"/>
  <c r="AA21" s="1"/>
  <c r="AC21" s="1"/>
  <c r="R21"/>
  <c r="R13"/>
  <c r="V13"/>
  <c r="Z13"/>
  <c r="AA13" s="1"/>
  <c r="AC13" s="1"/>
  <c r="T13"/>
  <c r="T170"/>
  <c r="Z170"/>
  <c r="AA170" s="1"/>
  <c r="AC170" s="1"/>
  <c r="V170"/>
  <c r="R170"/>
  <c r="R92"/>
  <c r="Z92"/>
  <c r="AA92" s="1"/>
  <c r="AC92" s="1"/>
  <c r="T92"/>
  <c r="V92"/>
  <c r="R8"/>
  <c r="T8"/>
  <c r="V8"/>
  <c r="Z8"/>
  <c r="AA8" s="1"/>
  <c r="AC8" s="1"/>
  <c r="R125"/>
  <c r="Z125"/>
  <c r="AA125" s="1"/>
  <c r="AC125" s="1"/>
  <c r="V125"/>
  <c r="T125"/>
  <c r="Z176"/>
  <c r="AA176" s="1"/>
  <c r="AC176" s="1"/>
  <c r="V176"/>
  <c r="T176"/>
  <c r="R176"/>
  <c r="Z168"/>
  <c r="AA168" s="1"/>
  <c r="AC168" s="1"/>
  <c r="V168"/>
  <c r="T168"/>
  <c r="R168"/>
  <c r="Z160"/>
  <c r="AA160" s="1"/>
  <c r="AC160" s="1"/>
  <c r="V160"/>
  <c r="T160"/>
  <c r="R160"/>
  <c r="T130"/>
  <c r="V130"/>
  <c r="Z130"/>
  <c r="AA130" s="1"/>
  <c r="AC130" s="1"/>
  <c r="R130"/>
  <c r="T122"/>
  <c r="R122"/>
  <c r="V122"/>
  <c r="Z122"/>
  <c r="AA122" s="1"/>
  <c r="AC122" s="1"/>
  <c r="V98"/>
  <c r="T98"/>
  <c r="R98"/>
  <c r="Z98"/>
  <c r="AA98" s="1"/>
  <c r="AC98" s="1"/>
  <c r="R90"/>
  <c r="T90"/>
  <c r="Z90"/>
  <c r="AA90" s="1"/>
  <c r="AC90" s="1"/>
  <c r="V90"/>
  <c r="T82"/>
  <c r="V82"/>
  <c r="R82"/>
  <c r="Z82"/>
  <c r="AA82" s="1"/>
  <c r="AC82" s="1"/>
  <c r="V56"/>
  <c r="R56"/>
  <c r="Z56"/>
  <c r="AA56" s="1"/>
  <c r="AC56" s="1"/>
  <c r="T56"/>
  <c r="V48"/>
  <c r="R48"/>
  <c r="T48"/>
  <c r="Z48"/>
  <c r="AA48" s="1"/>
  <c r="AC48" s="1"/>
  <c r="V30"/>
  <c r="Z30"/>
  <c r="AA30" s="1"/>
  <c r="AC30" s="1"/>
  <c r="R30"/>
  <c r="T30"/>
  <c r="V22"/>
  <c r="Z22"/>
  <c r="AA22" s="1"/>
  <c r="AC22" s="1"/>
  <c r="T22"/>
  <c r="R22"/>
  <c r="V14"/>
  <c r="Z14"/>
  <c r="AA14" s="1"/>
  <c r="AC14" s="1"/>
  <c r="R14"/>
  <c r="T14"/>
  <c r="Z155"/>
  <c r="T155"/>
  <c r="V155"/>
  <c r="R155"/>
  <c r="Z169"/>
  <c r="AA169" s="1"/>
  <c r="AC169" s="1"/>
  <c r="V169"/>
  <c r="T169"/>
  <c r="R169"/>
  <c r="Z161"/>
  <c r="AA161" s="1"/>
  <c r="AC161" s="1"/>
  <c r="V161"/>
  <c r="T161"/>
  <c r="R161"/>
  <c r="Z131"/>
  <c r="AA131" s="1"/>
  <c r="AC131" s="1"/>
  <c r="T131"/>
  <c r="V131"/>
  <c r="R131"/>
  <c r="R123"/>
  <c r="Z123"/>
  <c r="AA123" s="1"/>
  <c r="AC123" s="1"/>
  <c r="V123"/>
  <c r="T123"/>
  <c r="T99"/>
  <c r="R99"/>
  <c r="Z99"/>
  <c r="AA99" s="1"/>
  <c r="AC99" s="1"/>
  <c r="V99"/>
  <c r="T91"/>
  <c r="R91"/>
  <c r="Z91"/>
  <c r="AA91" s="1"/>
  <c r="AC91" s="1"/>
  <c r="V91"/>
  <c r="T83"/>
  <c r="V83"/>
  <c r="R83"/>
  <c r="Z83"/>
  <c r="AA83" s="1"/>
  <c r="AC83" s="1"/>
  <c r="V57"/>
  <c r="R57"/>
  <c r="Z57"/>
  <c r="AA57" s="1"/>
  <c r="AC57" s="1"/>
  <c r="T57"/>
  <c r="V49"/>
  <c r="R49"/>
  <c r="Z49"/>
  <c r="AA49" s="1"/>
  <c r="AC49" s="1"/>
  <c r="T49"/>
  <c r="Z31"/>
  <c r="AA31" s="1"/>
  <c r="AC31" s="1"/>
  <c r="V31"/>
  <c r="R31"/>
  <c r="T31"/>
  <c r="Z23"/>
  <c r="AA23" s="1"/>
  <c r="AC23" s="1"/>
  <c r="R23"/>
  <c r="V23"/>
  <c r="T23"/>
  <c r="Z15"/>
  <c r="AA15" s="1"/>
  <c r="AC15" s="1"/>
  <c r="V15"/>
  <c r="R15"/>
  <c r="T15"/>
  <c r="N171"/>
  <c r="P171" s="1"/>
  <c r="N93"/>
  <c r="P93" s="1"/>
  <c r="N7"/>
  <c r="E20" i="43"/>
  <c r="N164" i="42"/>
  <c r="P164" s="1"/>
  <c r="N173"/>
  <c r="P173" s="1"/>
  <c r="N165"/>
  <c r="P165" s="1"/>
  <c r="N157"/>
  <c r="P157" s="1"/>
  <c r="N127"/>
  <c r="P127" s="1"/>
  <c r="N119"/>
  <c r="P119" s="1"/>
  <c r="N95"/>
  <c r="P95" s="1"/>
  <c r="N87"/>
  <c r="P87" s="1"/>
  <c r="N62"/>
  <c r="P62" s="1"/>
  <c r="N54"/>
  <c r="P54" s="1"/>
  <c r="N46"/>
  <c r="P46" s="1"/>
  <c r="N28"/>
  <c r="P28" s="1"/>
  <c r="N20"/>
  <c r="P20" s="1"/>
  <c r="N12"/>
  <c r="P12" s="1"/>
  <c r="N101"/>
  <c r="P101" s="1"/>
  <c r="N60"/>
  <c r="P60" s="1"/>
  <c r="N10"/>
  <c r="P10" s="1"/>
  <c r="N156"/>
  <c r="P156" s="1"/>
  <c r="N86"/>
  <c r="P86" s="1"/>
  <c r="N19"/>
  <c r="P19" s="1"/>
  <c r="N166"/>
  <c r="P166" s="1"/>
  <c r="N21"/>
  <c r="P21" s="1"/>
  <c r="N167"/>
  <c r="P167" s="1"/>
  <c r="N163"/>
  <c r="P163" s="1"/>
  <c r="N85"/>
  <c r="P85" s="1"/>
  <c r="N26"/>
  <c r="P26" s="1"/>
  <c r="N81"/>
  <c r="N11"/>
  <c r="P11" s="1"/>
  <c r="N174"/>
  <c r="P174" s="1"/>
  <c r="N128"/>
  <c r="P128" s="1"/>
  <c r="N88"/>
  <c r="P88" s="1"/>
  <c r="N55"/>
  <c r="P55" s="1"/>
  <c r="N159"/>
  <c r="P159" s="1"/>
  <c r="N121"/>
  <c r="P121" s="1"/>
  <c r="N89"/>
  <c r="P89" s="1"/>
  <c r="N56"/>
  <c r="P56" s="1"/>
  <c r="N30"/>
  <c r="P30" s="1"/>
  <c r="N176"/>
  <c r="P176" s="1"/>
  <c r="N130"/>
  <c r="P130" s="1"/>
  <c r="N122"/>
  <c r="P122" s="1"/>
  <c r="N98"/>
  <c r="P98" s="1"/>
  <c r="N90"/>
  <c r="P90" s="1"/>
  <c r="N82"/>
  <c r="P82" s="1"/>
  <c r="N57"/>
  <c r="P57" s="1"/>
  <c r="N49"/>
  <c r="P49" s="1"/>
  <c r="N31"/>
  <c r="P31" s="1"/>
  <c r="N23"/>
  <c r="P23" s="1"/>
  <c r="N15"/>
  <c r="P15" s="1"/>
  <c r="N118"/>
  <c r="N52"/>
  <c r="P52" s="1"/>
  <c r="N18"/>
  <c r="P18" s="1"/>
  <c r="N126"/>
  <c r="P126" s="1"/>
  <c r="N61"/>
  <c r="P61" s="1"/>
  <c r="N27"/>
  <c r="P27" s="1"/>
  <c r="N120"/>
  <c r="P120" s="1"/>
  <c r="N29"/>
  <c r="P29" s="1"/>
  <c r="N14"/>
  <c r="P14" s="1"/>
  <c r="N168"/>
  <c r="P168" s="1"/>
  <c r="N155"/>
  <c r="N169"/>
  <c r="P169" s="1"/>
  <c r="N161"/>
  <c r="P161" s="1"/>
  <c r="N131"/>
  <c r="P131" s="1"/>
  <c r="N123"/>
  <c r="P123" s="1"/>
  <c r="N99"/>
  <c r="P99" s="1"/>
  <c r="N91"/>
  <c r="P91" s="1"/>
  <c r="N83"/>
  <c r="P83" s="1"/>
  <c r="N58"/>
  <c r="P58" s="1"/>
  <c r="N50"/>
  <c r="P50" s="1"/>
  <c r="N32"/>
  <c r="P32" s="1"/>
  <c r="N24"/>
  <c r="P24" s="1"/>
  <c r="N16"/>
  <c r="P16" s="1"/>
  <c r="N8"/>
  <c r="P8" s="1"/>
  <c r="N125"/>
  <c r="P125" s="1"/>
  <c r="N172"/>
  <c r="P172" s="1"/>
  <c r="N94"/>
  <c r="P94" s="1"/>
  <c r="N53"/>
  <c r="P53" s="1"/>
  <c r="N45"/>
  <c r="P45" s="1"/>
  <c r="N158"/>
  <c r="P158" s="1"/>
  <c r="N96"/>
  <c r="P96" s="1"/>
  <c r="N63"/>
  <c r="P63" s="1"/>
  <c r="N47"/>
  <c r="P47" s="1"/>
  <c r="N13"/>
  <c r="P13" s="1"/>
  <c r="N175"/>
  <c r="P175" s="1"/>
  <c r="N129"/>
  <c r="P129" s="1"/>
  <c r="N97"/>
  <c r="P97" s="1"/>
  <c r="N44"/>
  <c r="E21" i="43"/>
  <c r="N48" i="42"/>
  <c r="P48" s="1"/>
  <c r="N22"/>
  <c r="P22" s="1"/>
  <c r="N160"/>
  <c r="P160" s="1"/>
  <c r="N170"/>
  <c r="P170" s="1"/>
  <c r="N162"/>
  <c r="P162" s="1"/>
  <c r="N132"/>
  <c r="P132" s="1"/>
  <c r="N124"/>
  <c r="P124" s="1"/>
  <c r="N100"/>
  <c r="P100" s="1"/>
  <c r="N92"/>
  <c r="P92" s="1"/>
  <c r="N84"/>
  <c r="P84" s="1"/>
  <c r="N59"/>
  <c r="P59" s="1"/>
  <c r="N51"/>
  <c r="P51" s="1"/>
  <c r="N33"/>
  <c r="P33" s="1"/>
  <c r="N25"/>
  <c r="P25" s="1"/>
  <c r="N17"/>
  <c r="P17" s="1"/>
  <c r="N9"/>
  <c r="P9" s="1"/>
  <c r="K151" i="3"/>
  <c r="K152"/>
  <c r="K153"/>
  <c r="K154"/>
  <c r="K155"/>
  <c r="K156"/>
  <c r="K157"/>
  <c r="K158"/>
  <c r="K150"/>
  <c r="K189"/>
  <c r="K190"/>
  <c r="K191"/>
  <c r="K192"/>
  <c r="K193"/>
  <c r="K194"/>
  <c r="K195"/>
  <c r="K196"/>
  <c r="K197"/>
  <c r="K198"/>
  <c r="K199"/>
  <c r="K200"/>
  <c r="K201"/>
  <c r="K202"/>
  <c r="K203"/>
  <c r="K204"/>
  <c r="K205"/>
  <c r="K188"/>
  <c r="AD151" l="1"/>
  <c r="AE151" s="1"/>
  <c r="AG151" s="1"/>
  <c r="AD197"/>
  <c r="AE197" s="1"/>
  <c r="AG197" s="1"/>
  <c r="AD198"/>
  <c r="AE198" s="1"/>
  <c r="AG198" s="1"/>
  <c r="AD190"/>
  <c r="AE190" s="1"/>
  <c r="AG190" s="1"/>
  <c r="AD153"/>
  <c r="AE153" s="1"/>
  <c r="AG153" s="1"/>
  <c r="AD196"/>
  <c r="AE196" s="1"/>
  <c r="AG196" s="1"/>
  <c r="AD199"/>
  <c r="AE199" s="1"/>
  <c r="AG199" s="1"/>
  <c r="AD192"/>
  <c r="AE192" s="1"/>
  <c r="AG192" s="1"/>
  <c r="AD201"/>
  <c r="AE201" s="1"/>
  <c r="AG201" s="1"/>
  <c r="AD193"/>
  <c r="AE193" s="1"/>
  <c r="AG193" s="1"/>
  <c r="AD156"/>
  <c r="AE156" s="1"/>
  <c r="AG156" s="1"/>
  <c r="AD205"/>
  <c r="AE205" s="1"/>
  <c r="AG205" s="1"/>
  <c r="AD152"/>
  <c r="AE152" s="1"/>
  <c r="AG152" s="1"/>
  <c r="AD191"/>
  <c r="AE191" s="1"/>
  <c r="AG191" s="1"/>
  <c r="AD200"/>
  <c r="AE200" s="1"/>
  <c r="AG200" s="1"/>
  <c r="AD157"/>
  <c r="AE157" s="1"/>
  <c r="AG157" s="1"/>
  <c r="AD204"/>
  <c r="AE204" s="1"/>
  <c r="AG204" s="1"/>
  <c r="AD189"/>
  <c r="AE189" s="1"/>
  <c r="AG189" s="1"/>
  <c r="AD154"/>
  <c r="AE154" s="1"/>
  <c r="AG154" s="1"/>
  <c r="AD155"/>
  <c r="AE155" s="1"/>
  <c r="AG155" s="1"/>
  <c r="AD202"/>
  <c r="AE202" s="1"/>
  <c r="AG202" s="1"/>
  <c r="AD194"/>
  <c r="AE194" s="1"/>
  <c r="AG194" s="1"/>
  <c r="AD203"/>
  <c r="AE203" s="1"/>
  <c r="AG203" s="1"/>
  <c r="AD195"/>
  <c r="AE195" s="1"/>
  <c r="AG195" s="1"/>
  <c r="AD158"/>
  <c r="AE158" s="1"/>
  <c r="AG158" s="1"/>
  <c r="K159"/>
  <c r="E13" i="43" s="1"/>
  <c r="AD150" i="3"/>
  <c r="K206"/>
  <c r="AD188"/>
  <c r="AA155" i="42"/>
  <c r="AA177" s="1"/>
  <c r="Z177"/>
  <c r="AA45"/>
  <c r="AA64" s="1"/>
  <c r="Z64"/>
  <c r="P118"/>
  <c r="P133" s="1"/>
  <c r="M23" i="43" s="1"/>
  <c r="N133" i="42"/>
  <c r="AA7"/>
  <c r="AA34" s="1"/>
  <c r="Z34"/>
  <c r="T64"/>
  <c r="Q21" i="43" s="1"/>
  <c r="V133" i="42"/>
  <c r="S23" i="43" s="1"/>
  <c r="V102" i="42"/>
  <c r="S22" i="43" s="1"/>
  <c r="V177" i="42"/>
  <c r="S24" i="43" s="1"/>
  <c r="R177" i="42"/>
  <c r="O24" i="43" s="1"/>
  <c r="R133" i="42"/>
  <c r="O23" i="43" s="1"/>
  <c r="T102" i="42"/>
  <c r="Q22" i="43" s="1"/>
  <c r="P44" i="42"/>
  <c r="P64" s="1"/>
  <c r="M21" i="43" s="1"/>
  <c r="N64" i="42"/>
  <c r="K21" i="43" s="1"/>
  <c r="AA118" i="42"/>
  <c r="AA133" s="1"/>
  <c r="Z133"/>
  <c r="AA81"/>
  <c r="AA102" s="1"/>
  <c r="Z102"/>
  <c r="P81"/>
  <c r="P102" s="1"/>
  <c r="M22" i="43" s="1"/>
  <c r="N102" i="42"/>
  <c r="P155"/>
  <c r="P177" s="1"/>
  <c r="M24" i="43" s="1"/>
  <c r="N177" i="42"/>
  <c r="K24" i="43" s="1"/>
  <c r="P7" i="42"/>
  <c r="P34" s="1"/>
  <c r="M20" i="43" s="1"/>
  <c r="N34" i="42"/>
  <c r="K20" i="43" s="1"/>
  <c r="R34" i="42"/>
  <c r="O20" i="43" s="1"/>
  <c r="O25" s="1"/>
  <c r="O27" s="1"/>
  <c r="T177" i="42"/>
  <c r="Q24" i="43" s="1"/>
  <c r="V64" i="42"/>
  <c r="S21" i="43" s="1"/>
  <c r="T133" i="42"/>
  <c r="Q23" i="43" s="1"/>
  <c r="R102" i="42"/>
  <c r="O22" i="43" s="1"/>
  <c r="R64" i="42"/>
  <c r="O21" i="43" s="1"/>
  <c r="T34" i="42"/>
  <c r="Q20" i="43" s="1"/>
  <c r="V34" i="42"/>
  <c r="S20" i="43" s="1"/>
  <c r="E24"/>
  <c r="E25" s="1"/>
  <c r="AC7" i="42"/>
  <c r="AC34" s="1"/>
  <c r="X20" i="43" s="1"/>
  <c r="AC81" i="42"/>
  <c r="AC102" s="1"/>
  <c r="X22" i="43" s="1"/>
  <c r="K23"/>
  <c r="K22"/>
  <c r="Z204" i="3"/>
  <c r="X204"/>
  <c r="V204"/>
  <c r="R204"/>
  <c r="T204" s="1"/>
  <c r="X189"/>
  <c r="Z189"/>
  <c r="V189"/>
  <c r="R189"/>
  <c r="T189" s="1"/>
  <c r="X150"/>
  <c r="V150"/>
  <c r="R150"/>
  <c r="X197"/>
  <c r="V197"/>
  <c r="Z197"/>
  <c r="R197"/>
  <c r="T197" s="1"/>
  <c r="V190"/>
  <c r="X190"/>
  <c r="Z190"/>
  <c r="R190"/>
  <c r="T190" s="1"/>
  <c r="Z192"/>
  <c r="X192"/>
  <c r="V192"/>
  <c r="R192"/>
  <c r="T192" s="1"/>
  <c r="V201"/>
  <c r="X201"/>
  <c r="Z201"/>
  <c r="R201"/>
  <c r="T201" s="1"/>
  <c r="Z193"/>
  <c r="X193"/>
  <c r="V193"/>
  <c r="R193"/>
  <c r="T193" s="1"/>
  <c r="X156"/>
  <c r="V156"/>
  <c r="R156"/>
  <c r="T156" s="1"/>
  <c r="X151"/>
  <c r="V151"/>
  <c r="R151"/>
  <c r="T151" s="1"/>
  <c r="X152"/>
  <c r="V152"/>
  <c r="R152"/>
  <c r="T152" s="1"/>
  <c r="X153"/>
  <c r="V153"/>
  <c r="R153"/>
  <c r="T153" s="1"/>
  <c r="X199"/>
  <c r="Z199"/>
  <c r="V199"/>
  <c r="R199"/>
  <c r="T199" s="1"/>
  <c r="X154"/>
  <c r="V154"/>
  <c r="R154"/>
  <c r="T154" s="1"/>
  <c r="X155"/>
  <c r="V155"/>
  <c r="R155"/>
  <c r="T155" s="1"/>
  <c r="X202"/>
  <c r="V202"/>
  <c r="Z202"/>
  <c r="R202"/>
  <c r="T202" s="1"/>
  <c r="V194"/>
  <c r="Z194"/>
  <c r="X194"/>
  <c r="R194"/>
  <c r="T194" s="1"/>
  <c r="V157"/>
  <c r="X157"/>
  <c r="R157"/>
  <c r="T157" s="1"/>
  <c r="Z196"/>
  <c r="X196"/>
  <c r="V196"/>
  <c r="R196"/>
  <c r="T196" s="1"/>
  <c r="X205"/>
  <c r="Z205"/>
  <c r="V205"/>
  <c r="R205"/>
  <c r="T205" s="1"/>
  <c r="Z188"/>
  <c r="V188"/>
  <c r="X188"/>
  <c r="E14" i="43"/>
  <c r="R188" i="3"/>
  <c r="V198"/>
  <c r="Z198"/>
  <c r="X198"/>
  <c r="R198"/>
  <c r="T198" s="1"/>
  <c r="Z191"/>
  <c r="V191"/>
  <c r="X191"/>
  <c r="R191"/>
  <c r="T191" s="1"/>
  <c r="V200"/>
  <c r="Z200"/>
  <c r="X200"/>
  <c r="R200"/>
  <c r="T200" s="1"/>
  <c r="V203"/>
  <c r="Z203"/>
  <c r="X203"/>
  <c r="R203"/>
  <c r="T203" s="1"/>
  <c r="V195"/>
  <c r="Z195"/>
  <c r="X195"/>
  <c r="R195"/>
  <c r="T195" s="1"/>
  <c r="X158"/>
  <c r="V158"/>
  <c r="R158"/>
  <c r="T158" s="1"/>
  <c r="K116"/>
  <c r="K117"/>
  <c r="K118"/>
  <c r="K119"/>
  <c r="K120"/>
  <c r="K121"/>
  <c r="K122"/>
  <c r="K123"/>
  <c r="K124"/>
  <c r="K125"/>
  <c r="K126"/>
  <c r="K127"/>
  <c r="K128"/>
  <c r="K129"/>
  <c r="K130"/>
  <c r="K115"/>
  <c r="S25" i="43" l="1"/>
  <c r="S27" s="1"/>
  <c r="Q25"/>
  <c r="Q27" s="1"/>
  <c r="M25"/>
  <c r="M27" s="1"/>
  <c r="AD125" i="3"/>
  <c r="AE125" s="1"/>
  <c r="AG125" s="1"/>
  <c r="AD126"/>
  <c r="AE126" s="1"/>
  <c r="AG126" s="1"/>
  <c r="AD127"/>
  <c r="AE127" s="1"/>
  <c r="AG127" s="1"/>
  <c r="AD128"/>
  <c r="AE128" s="1"/>
  <c r="AG128" s="1"/>
  <c r="AD129"/>
  <c r="AE129" s="1"/>
  <c r="AG129" s="1"/>
  <c r="AD117"/>
  <c r="AE117" s="1"/>
  <c r="AG117" s="1"/>
  <c r="AD118"/>
  <c r="AE118" s="1"/>
  <c r="AG118" s="1"/>
  <c r="AD119"/>
  <c r="AE119" s="1"/>
  <c r="AG119" s="1"/>
  <c r="AD120"/>
  <c r="AE120" s="1"/>
  <c r="AG120" s="1"/>
  <c r="AD130"/>
  <c r="AE130" s="1"/>
  <c r="AG130" s="1"/>
  <c r="AD122"/>
  <c r="AE122" s="1"/>
  <c r="AG122" s="1"/>
  <c r="AD115"/>
  <c r="AE115" s="1"/>
  <c r="AG115" s="1"/>
  <c r="AD123"/>
  <c r="AE123" s="1"/>
  <c r="AG123" s="1"/>
  <c r="AD124"/>
  <c r="AE124" s="1"/>
  <c r="AG124" s="1"/>
  <c r="AD116"/>
  <c r="AE116" s="1"/>
  <c r="AG116" s="1"/>
  <c r="V159"/>
  <c r="X206"/>
  <c r="R159"/>
  <c r="K13" i="43" s="1"/>
  <c r="AD206" i="3"/>
  <c r="AE188"/>
  <c r="V206"/>
  <c r="AD159"/>
  <c r="AE150"/>
  <c r="R206"/>
  <c r="K14" i="43" s="1"/>
  <c r="Z206" i="3"/>
  <c r="X159"/>
  <c r="K131"/>
  <c r="E12" i="43" s="1"/>
  <c r="AD121" i="3"/>
  <c r="AC155" i="42"/>
  <c r="AC177" s="1"/>
  <c r="X24" i="43" s="1"/>
  <c r="AC45" i="42"/>
  <c r="AC64" s="1"/>
  <c r="X21" i="43" s="1"/>
  <c r="AC118" i="42"/>
  <c r="AC133" s="1"/>
  <c r="X23" i="43" s="1"/>
  <c r="K25"/>
  <c r="Z124" i="3"/>
  <c r="X124"/>
  <c r="V124"/>
  <c r="R124"/>
  <c r="T124" s="1"/>
  <c r="T188"/>
  <c r="T206" s="1"/>
  <c r="Z126"/>
  <c r="X126"/>
  <c r="V126"/>
  <c r="R126"/>
  <c r="T126" s="1"/>
  <c r="Z118"/>
  <c r="V118"/>
  <c r="X118"/>
  <c r="R118"/>
  <c r="T118" s="1"/>
  <c r="Z125"/>
  <c r="X125"/>
  <c r="V125"/>
  <c r="R125"/>
  <c r="T125" s="1"/>
  <c r="Z128"/>
  <c r="X128"/>
  <c r="V128"/>
  <c r="R128"/>
  <c r="T128" s="1"/>
  <c r="Z120"/>
  <c r="V120"/>
  <c r="X120"/>
  <c r="R120"/>
  <c r="T120" s="1"/>
  <c r="T150"/>
  <c r="T159" s="1"/>
  <c r="X116"/>
  <c r="Z116"/>
  <c r="V116"/>
  <c r="R116"/>
  <c r="T116" s="1"/>
  <c r="Z117"/>
  <c r="X117"/>
  <c r="V117"/>
  <c r="R117"/>
  <c r="T117" s="1"/>
  <c r="X127"/>
  <c r="Z127"/>
  <c r="V127"/>
  <c r="R127"/>
  <c r="T127" s="1"/>
  <c r="Z129"/>
  <c r="X129"/>
  <c r="V129"/>
  <c r="R129"/>
  <c r="T129" s="1"/>
  <c r="V121"/>
  <c r="Z121"/>
  <c r="X121"/>
  <c r="R121"/>
  <c r="X119"/>
  <c r="Z119"/>
  <c r="V119"/>
  <c r="R119"/>
  <c r="T119" s="1"/>
  <c r="V130"/>
  <c r="Z130"/>
  <c r="X130"/>
  <c r="R130"/>
  <c r="T130" s="1"/>
  <c r="V122"/>
  <c r="Z122"/>
  <c r="X122"/>
  <c r="R122"/>
  <c r="T122" s="1"/>
  <c r="X115"/>
  <c r="Z115"/>
  <c r="V115"/>
  <c r="R115"/>
  <c r="T115" s="1"/>
  <c r="Z123"/>
  <c r="X123"/>
  <c r="V123"/>
  <c r="R123"/>
  <c r="T123" s="1"/>
  <c r="K81"/>
  <c r="K82"/>
  <c r="K83"/>
  <c r="K84"/>
  <c r="K85"/>
  <c r="K86"/>
  <c r="K87"/>
  <c r="K88"/>
  <c r="K89"/>
  <c r="K90"/>
  <c r="K91"/>
  <c r="K92"/>
  <c r="K93"/>
  <c r="K94"/>
  <c r="K95"/>
  <c r="K96"/>
  <c r="K97"/>
  <c r="K98"/>
  <c r="K99"/>
  <c r="K100"/>
  <c r="K101"/>
  <c r="K80"/>
  <c r="K8"/>
  <c r="K44"/>
  <c r="AD44" s="1"/>
  <c r="AE44" s="1"/>
  <c r="AG44" s="1"/>
  <c r="K45"/>
  <c r="AD45" s="1"/>
  <c r="AE45" s="1"/>
  <c r="AG45" s="1"/>
  <c r="K46"/>
  <c r="AD46" s="1"/>
  <c r="AE46" s="1"/>
  <c r="AG46" s="1"/>
  <c r="K47"/>
  <c r="AD47" s="1"/>
  <c r="AE47" s="1"/>
  <c r="AG47" s="1"/>
  <c r="K48"/>
  <c r="AD48" s="1"/>
  <c r="AE48" s="1"/>
  <c r="AG48" s="1"/>
  <c r="K49"/>
  <c r="AD49" s="1"/>
  <c r="AE49" s="1"/>
  <c r="AG49" s="1"/>
  <c r="K50"/>
  <c r="AD50" s="1"/>
  <c r="AE50" s="1"/>
  <c r="AG50" s="1"/>
  <c r="K51"/>
  <c r="AD51" s="1"/>
  <c r="AE51" s="1"/>
  <c r="AG51" s="1"/>
  <c r="K52"/>
  <c r="AD52" s="1"/>
  <c r="AE52" s="1"/>
  <c r="AG52" s="1"/>
  <c r="K53"/>
  <c r="AD53" s="1"/>
  <c r="AE53" s="1"/>
  <c r="AG53" s="1"/>
  <c r="K54"/>
  <c r="AD54" s="1"/>
  <c r="AE54" s="1"/>
  <c r="AG54" s="1"/>
  <c r="K55"/>
  <c r="AD55" s="1"/>
  <c r="AE55" s="1"/>
  <c r="AG55" s="1"/>
  <c r="K56"/>
  <c r="AD56" s="1"/>
  <c r="AE56" s="1"/>
  <c r="AG56" s="1"/>
  <c r="K57"/>
  <c r="AD57" s="1"/>
  <c r="AE57" s="1"/>
  <c r="AG57" s="1"/>
  <c r="K58"/>
  <c r="AD58" s="1"/>
  <c r="AE58" s="1"/>
  <c r="AG58" s="1"/>
  <c r="K59"/>
  <c r="AD59" s="1"/>
  <c r="AE59" s="1"/>
  <c r="AG59" s="1"/>
  <c r="K60"/>
  <c r="AD60" s="1"/>
  <c r="AE60" s="1"/>
  <c r="AG60" s="1"/>
  <c r="K61"/>
  <c r="AD61" s="1"/>
  <c r="AE61" s="1"/>
  <c r="AG61" s="1"/>
  <c r="K62"/>
  <c r="AD62" s="1"/>
  <c r="AE62" s="1"/>
  <c r="AG62" s="1"/>
  <c r="K63"/>
  <c r="AD63" s="1"/>
  <c r="AE63" s="1"/>
  <c r="AG63" s="1"/>
  <c r="K64"/>
  <c r="AD64" s="1"/>
  <c r="AE64" s="1"/>
  <c r="AG64" s="1"/>
  <c r="K65"/>
  <c r="AD65" s="1"/>
  <c r="AE65" s="1"/>
  <c r="AG65" s="1"/>
  <c r="K66"/>
  <c r="AD66" s="1"/>
  <c r="AE66" s="1"/>
  <c r="AG66" s="1"/>
  <c r="K67"/>
  <c r="AD67" s="1"/>
  <c r="AE67" s="1"/>
  <c r="AG67" s="1"/>
  <c r="K68"/>
  <c r="AD68" s="1"/>
  <c r="AE68" s="1"/>
  <c r="AG68" s="1"/>
  <c r="K69"/>
  <c r="AD69" s="1"/>
  <c r="AE69" s="1"/>
  <c r="AG69" s="1"/>
  <c r="K43"/>
  <c r="X25" i="43" l="1"/>
  <c r="X27" s="1"/>
  <c r="AD100" i="3"/>
  <c r="AE100" s="1"/>
  <c r="AG100" s="1"/>
  <c r="AD92"/>
  <c r="AE92" s="1"/>
  <c r="AG92" s="1"/>
  <c r="AD93"/>
  <c r="AE93" s="1"/>
  <c r="AG93" s="1"/>
  <c r="AD80"/>
  <c r="AE80" s="1"/>
  <c r="AG80" s="1"/>
  <c r="AD86"/>
  <c r="AE86" s="1"/>
  <c r="AG86" s="1"/>
  <c r="AD95"/>
  <c r="AE95" s="1"/>
  <c r="AG95" s="1"/>
  <c r="AD96"/>
  <c r="AE96" s="1"/>
  <c r="AG96" s="1"/>
  <c r="AD97"/>
  <c r="AE97" s="1"/>
  <c r="AG97" s="1"/>
  <c r="AD89"/>
  <c r="AD81"/>
  <c r="AE81" s="1"/>
  <c r="AG81" s="1"/>
  <c r="AD84"/>
  <c r="AE84" s="1"/>
  <c r="AG84" s="1"/>
  <c r="AD101"/>
  <c r="AE101" s="1"/>
  <c r="AG101" s="1"/>
  <c r="AD85"/>
  <c r="AE85" s="1"/>
  <c r="AG85" s="1"/>
  <c r="AD94"/>
  <c r="AE94" s="1"/>
  <c r="AG94" s="1"/>
  <c r="AD8"/>
  <c r="AD87"/>
  <c r="AE87" s="1"/>
  <c r="AG87" s="1"/>
  <c r="AD88"/>
  <c r="AE88" s="1"/>
  <c r="AG88" s="1"/>
  <c r="AD98"/>
  <c r="AE98" s="1"/>
  <c r="AG98" s="1"/>
  <c r="AD82"/>
  <c r="AE82" s="1"/>
  <c r="AG82" s="1"/>
  <c r="AD99"/>
  <c r="AE99" s="1"/>
  <c r="AG99" s="1"/>
  <c r="AD91"/>
  <c r="AE91" s="1"/>
  <c r="AG91" s="1"/>
  <c r="AD83"/>
  <c r="AE83" s="1"/>
  <c r="AG83" s="1"/>
  <c r="Z131"/>
  <c r="K9"/>
  <c r="AD7"/>
  <c r="K70"/>
  <c r="E10" i="43" s="1"/>
  <c r="AD43" i="3"/>
  <c r="V131"/>
  <c r="AE8"/>
  <c r="AG8" s="1"/>
  <c r="AE206"/>
  <c r="AG188"/>
  <c r="AG206" s="1"/>
  <c r="AE159"/>
  <c r="AG150"/>
  <c r="AG159" s="1"/>
  <c r="X131"/>
  <c r="T121"/>
  <c r="T131" s="1"/>
  <c r="R131"/>
  <c r="K12" i="43" s="1"/>
  <c r="AD131" i="3"/>
  <c r="AE121"/>
  <c r="K102"/>
  <c r="E11" i="43" s="1"/>
  <c r="AD90" i="3"/>
  <c r="V59"/>
  <c r="Z59"/>
  <c r="X59"/>
  <c r="R59"/>
  <c r="T59" s="1"/>
  <c r="X85"/>
  <c r="Z85"/>
  <c r="V85"/>
  <c r="R85"/>
  <c r="T85" s="1"/>
  <c r="V68"/>
  <c r="X68"/>
  <c r="Z68"/>
  <c r="R68"/>
  <c r="T68" s="1"/>
  <c r="V44"/>
  <c r="X44"/>
  <c r="Z44"/>
  <c r="R44"/>
  <c r="T44" s="1"/>
  <c r="X69"/>
  <c r="V69"/>
  <c r="Z69"/>
  <c r="R69"/>
  <c r="T69" s="1"/>
  <c r="X61"/>
  <c r="Z61"/>
  <c r="V61"/>
  <c r="R61"/>
  <c r="T61" s="1"/>
  <c r="X53"/>
  <c r="Z53"/>
  <c r="V53"/>
  <c r="R53"/>
  <c r="T53" s="1"/>
  <c r="X45"/>
  <c r="V45"/>
  <c r="Z45"/>
  <c r="R45"/>
  <c r="T45" s="1"/>
  <c r="Z95"/>
  <c r="V95"/>
  <c r="X95"/>
  <c r="R95"/>
  <c r="T95" s="1"/>
  <c r="Z87"/>
  <c r="X87"/>
  <c r="V87"/>
  <c r="R87"/>
  <c r="T87" s="1"/>
  <c r="V67"/>
  <c r="Z67"/>
  <c r="X67"/>
  <c r="R67"/>
  <c r="T67" s="1"/>
  <c r="Z101"/>
  <c r="X101"/>
  <c r="V101"/>
  <c r="R101"/>
  <c r="T101" s="1"/>
  <c r="X80"/>
  <c r="Z80"/>
  <c r="V80"/>
  <c r="R80"/>
  <c r="T80" s="1"/>
  <c r="X62"/>
  <c r="V62"/>
  <c r="Z62"/>
  <c r="R62"/>
  <c r="T62" s="1"/>
  <c r="X46"/>
  <c r="Z46"/>
  <c r="V46"/>
  <c r="R46"/>
  <c r="T46" s="1"/>
  <c r="Z63"/>
  <c r="X63"/>
  <c r="V63"/>
  <c r="R63"/>
  <c r="T63" s="1"/>
  <c r="Z55"/>
  <c r="V55"/>
  <c r="X55"/>
  <c r="R55"/>
  <c r="T55" s="1"/>
  <c r="Z47"/>
  <c r="V47"/>
  <c r="X47"/>
  <c r="R47"/>
  <c r="T47" s="1"/>
  <c r="Z97"/>
  <c r="X97"/>
  <c r="V97"/>
  <c r="R97"/>
  <c r="T97" s="1"/>
  <c r="Z89"/>
  <c r="X89"/>
  <c r="V89"/>
  <c r="R89"/>
  <c r="T89" s="1"/>
  <c r="Z81"/>
  <c r="X81"/>
  <c r="V81"/>
  <c r="R81"/>
  <c r="T81" s="1"/>
  <c r="V7"/>
  <c r="Z7"/>
  <c r="E8" i="43"/>
  <c r="R7" i="3"/>
  <c r="V60"/>
  <c r="X60"/>
  <c r="Z60"/>
  <c r="R60"/>
  <c r="T60" s="1"/>
  <c r="X94"/>
  <c r="Z94"/>
  <c r="V94"/>
  <c r="R94"/>
  <c r="T94" s="1"/>
  <c r="X43"/>
  <c r="Z43"/>
  <c r="V43"/>
  <c r="R43"/>
  <c r="X88"/>
  <c r="V88"/>
  <c r="Z88"/>
  <c r="R88"/>
  <c r="T88" s="1"/>
  <c r="Z64"/>
  <c r="V64"/>
  <c r="X64"/>
  <c r="R64"/>
  <c r="T64" s="1"/>
  <c r="Z56"/>
  <c r="V56"/>
  <c r="X56"/>
  <c r="R56"/>
  <c r="T56" s="1"/>
  <c r="Z48"/>
  <c r="X48"/>
  <c r="V48"/>
  <c r="R48"/>
  <c r="T48" s="1"/>
  <c r="Z98"/>
  <c r="X98"/>
  <c r="V98"/>
  <c r="R98"/>
  <c r="T98" s="1"/>
  <c r="X90"/>
  <c r="Z90"/>
  <c r="V90"/>
  <c r="R90"/>
  <c r="X82"/>
  <c r="Z82"/>
  <c r="V82"/>
  <c r="R82"/>
  <c r="T82" s="1"/>
  <c r="V51"/>
  <c r="Z51"/>
  <c r="X51"/>
  <c r="R51"/>
  <c r="T51" s="1"/>
  <c r="X93"/>
  <c r="Z93"/>
  <c r="V93"/>
  <c r="R93"/>
  <c r="T93" s="1"/>
  <c r="V52"/>
  <c r="X52"/>
  <c r="Z52"/>
  <c r="R52"/>
  <c r="T52" s="1"/>
  <c r="X86"/>
  <c r="Z86"/>
  <c r="V86"/>
  <c r="R86"/>
  <c r="T86" s="1"/>
  <c r="X54"/>
  <c r="Z54"/>
  <c r="V54"/>
  <c r="R54"/>
  <c r="T54" s="1"/>
  <c r="V96"/>
  <c r="X96"/>
  <c r="Z96"/>
  <c r="R96"/>
  <c r="T96" s="1"/>
  <c r="Z65"/>
  <c r="V65"/>
  <c r="X65"/>
  <c r="R65"/>
  <c r="T65" s="1"/>
  <c r="Z57"/>
  <c r="X57"/>
  <c r="V57"/>
  <c r="R57"/>
  <c r="T57" s="1"/>
  <c r="V49"/>
  <c r="Z49"/>
  <c r="X49"/>
  <c r="R49"/>
  <c r="T49" s="1"/>
  <c r="Z99"/>
  <c r="X99"/>
  <c r="V99"/>
  <c r="R99"/>
  <c r="T99" s="1"/>
  <c r="X91"/>
  <c r="Z91"/>
  <c r="V91"/>
  <c r="R91"/>
  <c r="T91" s="1"/>
  <c r="Z83"/>
  <c r="X83"/>
  <c r="V83"/>
  <c r="R83"/>
  <c r="T83" s="1"/>
  <c r="V66"/>
  <c r="Z66"/>
  <c r="X66"/>
  <c r="R66"/>
  <c r="T66" s="1"/>
  <c r="V58"/>
  <c r="X58"/>
  <c r="Z58"/>
  <c r="R58"/>
  <c r="T58" s="1"/>
  <c r="V50"/>
  <c r="X50"/>
  <c r="Z50"/>
  <c r="R50"/>
  <c r="T50" s="1"/>
  <c r="V8"/>
  <c r="Z8"/>
  <c r="E9" i="43"/>
  <c r="R8" i="3"/>
  <c r="Z100"/>
  <c r="X100"/>
  <c r="V100"/>
  <c r="R100"/>
  <c r="T100" s="1"/>
  <c r="Z92"/>
  <c r="X92"/>
  <c r="V92"/>
  <c r="R92"/>
  <c r="T92" s="1"/>
  <c r="Z84"/>
  <c r="X84"/>
  <c r="V84"/>
  <c r="R84"/>
  <c r="T84" s="1"/>
  <c r="AE89" l="1"/>
  <c r="AG89" s="1"/>
  <c r="Z70"/>
  <c r="S10" i="43" s="1"/>
  <c r="R9" i="3"/>
  <c r="X70"/>
  <c r="Q10" i="43" s="1"/>
  <c r="V70" i="3"/>
  <c r="O10" i="43" s="1"/>
  <c r="R70" i="3"/>
  <c r="K10" i="43" s="1"/>
  <c r="Z9" i="3"/>
  <c r="AD9"/>
  <c r="AE7"/>
  <c r="AD70"/>
  <c r="AE43"/>
  <c r="V9"/>
  <c r="AE131"/>
  <c r="AG121"/>
  <c r="AG131" s="1"/>
  <c r="V102"/>
  <c r="X102"/>
  <c r="Z102"/>
  <c r="T90"/>
  <c r="T102" s="1"/>
  <c r="R102"/>
  <c r="AD102"/>
  <c r="AE90"/>
  <c r="K8" i="43"/>
  <c r="T43" i="3"/>
  <c r="T70" s="1"/>
  <c r="M10" i="43" s="1"/>
  <c r="K9"/>
  <c r="E15"/>
  <c r="J15" l="1"/>
  <c r="S15"/>
  <c r="Q15"/>
  <c r="O15"/>
  <c r="T9" i="3"/>
  <c r="AE9"/>
  <c r="AG7"/>
  <c r="AG9" s="1"/>
  <c r="AE70"/>
  <c r="AG43"/>
  <c r="AG70" s="1"/>
  <c r="AE102"/>
  <c r="AG90"/>
  <c r="AG102" s="1"/>
  <c r="K11" i="43" l="1"/>
  <c r="M15" l="1"/>
  <c r="K15"/>
  <c r="D43" i="9"/>
  <c r="E43"/>
  <c r="G43" i="14" l="1"/>
  <c r="F43"/>
  <c r="H43"/>
  <c r="I43"/>
  <c r="K43"/>
  <c r="L43"/>
  <c r="J43"/>
  <c r="D43"/>
  <c r="E43"/>
  <c r="M6"/>
  <c r="M7"/>
  <c r="M8"/>
  <c r="M9"/>
  <c r="M10"/>
  <c r="M11"/>
  <c r="M12"/>
  <c r="M13"/>
  <c r="M14"/>
  <c r="M15"/>
  <c r="M16"/>
  <c r="M5"/>
  <c r="M42" l="1"/>
  <c r="M41"/>
  <c r="M43" l="1"/>
  <c r="E9" i="11"/>
  <c r="H9"/>
  <c r="I9"/>
  <c r="J9"/>
  <c r="P9"/>
  <c r="Q9"/>
  <c r="R9"/>
  <c r="S9"/>
  <c r="D9"/>
  <c r="T4"/>
  <c r="T8" s="1"/>
  <c r="T5"/>
  <c r="T6"/>
  <c r="T3"/>
  <c r="T7" l="1"/>
  <c r="K9"/>
  <c r="L9"/>
  <c r="M9"/>
  <c r="N9"/>
  <c r="F9"/>
  <c r="O9"/>
  <c r="G9"/>
  <c r="T9" l="1"/>
</calcChain>
</file>

<file path=xl/sharedStrings.xml><?xml version="1.0" encoding="utf-8"?>
<sst xmlns="http://schemas.openxmlformats.org/spreadsheetml/2006/main" count="4884" uniqueCount="564">
  <si>
    <t>SL</t>
  </si>
  <si>
    <t>Class</t>
  </si>
  <si>
    <t>Total Qty</t>
  </si>
  <si>
    <t>Delivery</t>
  </si>
  <si>
    <t>Bangla</t>
  </si>
  <si>
    <t>English</t>
  </si>
  <si>
    <t>Mathematics</t>
  </si>
  <si>
    <t>Science</t>
  </si>
  <si>
    <t>Islam</t>
  </si>
  <si>
    <t>Hindu</t>
  </si>
  <si>
    <t>Book Name</t>
  </si>
  <si>
    <t>Forma</t>
  </si>
  <si>
    <t>One</t>
  </si>
  <si>
    <t>Two</t>
  </si>
  <si>
    <t>Three</t>
  </si>
  <si>
    <t>µ</t>
  </si>
  <si>
    <t>Dc‡Rjv/_vbv</t>
  </si>
  <si>
    <t>‡KivbxMÄ</t>
  </si>
  <si>
    <t>beveMÄ</t>
  </si>
  <si>
    <t>‡`vnvi</t>
  </si>
  <si>
    <t>wgicyi</t>
  </si>
  <si>
    <t>‡Kv‡Zvqvjx</t>
  </si>
  <si>
    <t>igbv</t>
  </si>
  <si>
    <t>¸jkvb</t>
  </si>
  <si>
    <t>eivÏ</t>
  </si>
  <si>
    <t>‡Wwjfvix</t>
  </si>
  <si>
    <t>evsjv</t>
  </si>
  <si>
    <t>Bs‡iRx</t>
  </si>
  <si>
    <t>‡KviAvb</t>
  </si>
  <si>
    <t>AvKvB`</t>
  </si>
  <si>
    <t>Aviex</t>
  </si>
  <si>
    <t>MwYZ</t>
  </si>
  <si>
    <t>weÁvb</t>
  </si>
  <si>
    <t>ev I we</t>
  </si>
  <si>
    <t>‡gvU</t>
  </si>
  <si>
    <t>‡gvU eivÏ</t>
  </si>
  <si>
    <t>‡gvU †Wwjfvix</t>
  </si>
  <si>
    <t>‡Wwjfvix evKx</t>
  </si>
  <si>
    <t>Due</t>
  </si>
  <si>
    <t>Cover</t>
  </si>
  <si>
    <t>Pviæ</t>
  </si>
  <si>
    <t>Mövgvi</t>
  </si>
  <si>
    <t>MwbZ</t>
  </si>
  <si>
    <t>kvixwiK</t>
  </si>
  <si>
    <t>Z_¨</t>
  </si>
  <si>
    <t>PviæcvV</t>
  </si>
  <si>
    <t>Kg©</t>
  </si>
  <si>
    <t>K…wl</t>
  </si>
  <si>
    <t>Bmjvg</t>
  </si>
  <si>
    <t>wn›`y</t>
  </si>
  <si>
    <t>wLªóvb</t>
  </si>
  <si>
    <t>‡eŠ×</t>
  </si>
  <si>
    <t>Four</t>
  </si>
  <si>
    <t>Five</t>
  </si>
  <si>
    <t>Amar Boi</t>
  </si>
  <si>
    <t>Khata</t>
  </si>
  <si>
    <t>e¨vKiY</t>
  </si>
  <si>
    <t>KvjxMÄ</t>
  </si>
  <si>
    <t>‰kjKzcv</t>
  </si>
  <si>
    <t>g‡nkcyi</t>
  </si>
  <si>
    <t>Aviwe</t>
  </si>
  <si>
    <t>1g</t>
  </si>
  <si>
    <t>2q</t>
  </si>
  <si>
    <t>3q</t>
  </si>
  <si>
    <t>welq</t>
  </si>
  <si>
    <t>‡kÖYx</t>
  </si>
  <si>
    <t>dg©v</t>
  </si>
  <si>
    <t>me©‡gvU</t>
  </si>
  <si>
    <t>Kfvi</t>
  </si>
  <si>
    <t>wiwmf</t>
  </si>
  <si>
    <t>evwK</t>
  </si>
  <si>
    <t>gvóvi wm‡g· †ccvi wjt</t>
  </si>
  <si>
    <t>evsjv‡`k I wek^</t>
  </si>
  <si>
    <t>Z_¨ I †hvMv‡hvM</t>
  </si>
  <si>
    <t>Pviæ I KviæKjv</t>
  </si>
  <si>
    <t>wn›`yy</t>
  </si>
  <si>
    <t>wLªóvY©</t>
  </si>
  <si>
    <t>Pre-Primary</t>
  </si>
  <si>
    <t>Mv©n¯’¨</t>
  </si>
  <si>
    <t>Grand Total</t>
  </si>
  <si>
    <t>Dc‡Rjv/ _vbv</t>
  </si>
  <si>
    <t xml:space="preserve"> †kÖbx</t>
  </si>
  <si>
    <t>Print</t>
  </si>
  <si>
    <t>Binding</t>
  </si>
  <si>
    <t>Bg‡cÖkb</t>
  </si>
  <si>
    <t>wcÖw›Us</t>
  </si>
  <si>
    <t>evBwÛs</t>
  </si>
  <si>
    <t>÷K eB</t>
  </si>
  <si>
    <t>‡gvU eB</t>
  </si>
  <si>
    <t xml:space="preserve"> Stock Book</t>
  </si>
  <si>
    <t>Rem</t>
  </si>
  <si>
    <t>K¨vwiqvi</t>
  </si>
  <si>
    <t>c`v_©</t>
  </si>
  <si>
    <t>imvqb</t>
  </si>
  <si>
    <t>beg</t>
  </si>
  <si>
    <t>f‚‡Mvj</t>
  </si>
  <si>
    <t>evsjv‡`‡ki BwZnvm</t>
  </si>
  <si>
    <t>A_©bxwZ</t>
  </si>
  <si>
    <t>wnmve weÁvb</t>
  </si>
  <si>
    <t>msMxZ</t>
  </si>
  <si>
    <t>mwPÎ</t>
  </si>
  <si>
    <t>cwj</t>
  </si>
  <si>
    <t>D”PZi MwYZ</t>
  </si>
  <si>
    <t>‡dbx m`i</t>
  </si>
  <si>
    <t>QvMjbvBqv</t>
  </si>
  <si>
    <t>‡mvbvMvRx</t>
  </si>
  <si>
    <t>dzjMvRx</t>
  </si>
  <si>
    <t>ciïivg</t>
  </si>
  <si>
    <t>nwiYvKzÛ</t>
  </si>
  <si>
    <t>‡cŠibxwZ</t>
  </si>
  <si>
    <t>ev:BwZnvm</t>
  </si>
  <si>
    <t>wnmve we</t>
  </si>
  <si>
    <t>ms¯‹…Z</t>
  </si>
  <si>
    <t>Printing Impassion</t>
  </si>
  <si>
    <t>Total Impassion</t>
  </si>
  <si>
    <t>Printing Book</t>
  </si>
  <si>
    <t>‡m‡KÛvix</t>
  </si>
  <si>
    <t>`vwLj</t>
  </si>
  <si>
    <t>µwgK</t>
  </si>
  <si>
    <t>Rxe weÁvb</t>
  </si>
  <si>
    <t>‡gvU evKx</t>
  </si>
  <si>
    <t>cxiMÄ</t>
  </si>
  <si>
    <t>nwicyi</t>
  </si>
  <si>
    <t>KvDwbqv</t>
  </si>
  <si>
    <t>MsMvPov</t>
  </si>
  <si>
    <t>e`iMÄ</t>
  </si>
  <si>
    <t>wgVvcyKzi</t>
  </si>
  <si>
    <t>Dwjcyi</t>
  </si>
  <si>
    <t>‡iŠgvix</t>
  </si>
  <si>
    <t>ivRvinvU</t>
  </si>
  <si>
    <t>dzjevwo</t>
  </si>
  <si>
    <t>bv‡Mk^ix</t>
  </si>
  <si>
    <t>KzwoMÖvg m`i</t>
  </si>
  <si>
    <t>wPjgvix</t>
  </si>
  <si>
    <t>Paper</t>
  </si>
  <si>
    <t>Used</t>
  </si>
  <si>
    <t>Binder</t>
  </si>
  <si>
    <t>mnR Aviwe</t>
  </si>
  <si>
    <t>wcÖw›Us Bg‡cÖkb</t>
  </si>
  <si>
    <t>wcÖw›Us eB</t>
  </si>
  <si>
    <t>‡ccvi</t>
  </si>
  <si>
    <t>e¨envi</t>
  </si>
  <si>
    <t>evBÛvi</t>
  </si>
  <si>
    <t>gšÍe¨</t>
  </si>
  <si>
    <t>ev: I we:</t>
  </si>
  <si>
    <t>Gluing Rem</t>
  </si>
  <si>
    <t>Møy n‡q‡Q- wig</t>
  </si>
  <si>
    <t>evsjv mvwnZ¨</t>
  </si>
  <si>
    <t>mwPÎ Aviwe</t>
  </si>
  <si>
    <t>cvwj</t>
  </si>
  <si>
    <t>Mªvgvi</t>
  </si>
  <si>
    <t>Mvn©¯’¨ weÁvb</t>
  </si>
  <si>
    <t>c`v©_ weÁvb</t>
  </si>
  <si>
    <t>RxeweÁvb</t>
  </si>
  <si>
    <t>MT</t>
  </si>
  <si>
    <t>wig</t>
  </si>
  <si>
    <t>Ub</t>
  </si>
  <si>
    <t>dg©v m~Î</t>
  </si>
  <si>
    <t>Master simex paper ltd</t>
  </si>
  <si>
    <t>Kodabo.Pubail.Gajipur</t>
  </si>
  <si>
    <t>µt bs</t>
  </si>
  <si>
    <t>Avgvi eB</t>
  </si>
  <si>
    <t>LvZv</t>
  </si>
  <si>
    <t xml:space="preserve"> †gvU eB</t>
  </si>
  <si>
    <t>‡Wwjfvwi</t>
  </si>
  <si>
    <t>1g †kÖwb</t>
  </si>
  <si>
    <t>2q †kÖwb</t>
  </si>
  <si>
    <t>3q †kÖwb</t>
  </si>
  <si>
    <t>Bs‡iwR</t>
  </si>
  <si>
    <t>evtwek^</t>
  </si>
  <si>
    <t xml:space="preserve">Bmjvg </t>
  </si>
  <si>
    <t>4_©</t>
  </si>
  <si>
    <t>5g</t>
  </si>
  <si>
    <t>Avb›` cvV</t>
  </si>
  <si>
    <t>e¨vKib</t>
  </si>
  <si>
    <t>MÖvgvi</t>
  </si>
  <si>
    <t>kvt wkÿ</t>
  </si>
  <si>
    <t>‡eŠÏ</t>
  </si>
  <si>
    <t>gvóvi wm‡g· †ccvi wjt (BDwbU-2)</t>
  </si>
  <si>
    <t>jU bs</t>
  </si>
  <si>
    <t>Bmjvg ag©</t>
  </si>
  <si>
    <t>wn›`y ag©</t>
  </si>
  <si>
    <t>nvw`m</t>
  </si>
  <si>
    <t>jyMvwZj</t>
  </si>
  <si>
    <t>KvIqv`yj</t>
  </si>
  <si>
    <t>wek^ cwiPq</t>
  </si>
  <si>
    <t>Bm: BwZnvm</t>
  </si>
  <si>
    <t>K„wl wkÿv</t>
  </si>
  <si>
    <t>‡kÖbx</t>
  </si>
  <si>
    <t>‡gvU B‡¤úªkb</t>
  </si>
  <si>
    <t>6ô</t>
  </si>
  <si>
    <t>Avj›` cvV</t>
  </si>
  <si>
    <t>Kg© I Rxeb</t>
  </si>
  <si>
    <t>Mv©¯’n¨</t>
  </si>
  <si>
    <t>mßeY©v</t>
  </si>
  <si>
    <t>7g</t>
  </si>
  <si>
    <t>8g</t>
  </si>
  <si>
    <t>Impassion</t>
  </si>
  <si>
    <t>ZvwiLt-28/10/25</t>
  </si>
  <si>
    <t>evBwÛs n‡q‡Q wig</t>
  </si>
  <si>
    <t>AvKv‡q`</t>
  </si>
  <si>
    <t>KvIqvB`yj</t>
  </si>
  <si>
    <t>wek^cwiPq</t>
  </si>
  <si>
    <t>jU</t>
  </si>
  <si>
    <t>B&amp;G</t>
  </si>
  <si>
    <t>KvbvBNvU</t>
  </si>
  <si>
    <t>‡dÂzMÄ</t>
  </si>
  <si>
    <t>evjvMÄ</t>
  </si>
  <si>
    <t>KzjvDov</t>
  </si>
  <si>
    <t>KgjMÄ</t>
  </si>
  <si>
    <t>kÖxg½j</t>
  </si>
  <si>
    <t>ivRbMi</t>
  </si>
  <si>
    <t>‡gŠjfxevRvi m`i</t>
  </si>
  <si>
    <t>eo‡jLv</t>
  </si>
  <si>
    <t>Mvn©¨¯’</t>
  </si>
  <si>
    <t>ms¯‹„Z</t>
  </si>
  <si>
    <t xml:space="preserve">mnR </t>
  </si>
  <si>
    <t>mnR Aviex</t>
  </si>
  <si>
    <t>‡cøU Pvwn`v</t>
  </si>
  <si>
    <t>GbwmwUwe bgybv</t>
  </si>
  <si>
    <t>wWwcB bgybv</t>
  </si>
  <si>
    <t>mKj Dc‡Rjv/_vbv bgybv</t>
  </si>
  <si>
    <t xml:space="preserve">Lot </t>
  </si>
  <si>
    <t>Total Books</t>
  </si>
  <si>
    <t>6ô †kÖbx `vwLj-2027</t>
  </si>
  <si>
    <t>mvwnZ¨ KwYKv</t>
  </si>
  <si>
    <t>Mvn©¯’¨</t>
  </si>
  <si>
    <t>wcÖ-cÖvBgvix</t>
  </si>
  <si>
    <t>cÖvBgvix</t>
  </si>
  <si>
    <t>beg-mvwnZ¨</t>
  </si>
  <si>
    <t>beg-Kvjvi</t>
  </si>
  <si>
    <t>beg-`vwLj</t>
  </si>
  <si>
    <t>Be‡Z`vqx</t>
  </si>
  <si>
    <t>6ô `vwLj</t>
  </si>
  <si>
    <t>834-843-854-865-872-877</t>
  </si>
  <si>
    <t>‡gvU wig</t>
  </si>
  <si>
    <t>‡gvU ‡cøU</t>
  </si>
  <si>
    <t>jU msL¨v</t>
  </si>
  <si>
    <t>1wU</t>
  </si>
  <si>
    <t>5wU</t>
  </si>
  <si>
    <t>4wU</t>
  </si>
  <si>
    <t>17 wU</t>
  </si>
  <si>
    <t>2wU</t>
  </si>
  <si>
    <t>6wU</t>
  </si>
  <si>
    <t>11wU</t>
  </si>
  <si>
    <t>28wU</t>
  </si>
  <si>
    <t>BDwbU-2 Ges BDwbU-3 me©‡gvU</t>
  </si>
  <si>
    <t>RvZxq wkÿvµg I cvV¨cy¯ÍK †evW© Gi 2027 wkÿve‡l©i cvV¨cy¯ÍK (gy`ªY, evavuB, mieivn) Kv‡Ri weeiY</t>
  </si>
  <si>
    <t>BDwbU-2 (Kz`ve, c~evBj, MvRxcyi)</t>
  </si>
  <si>
    <t>BDwbU-3 (Qbcvov, AvovBnvRvi, bvivqbMÄ)</t>
  </si>
  <si>
    <t>80-33.5</t>
  </si>
  <si>
    <t>80-29.5 wRGmGg</t>
  </si>
  <si>
    <t>70-29.5</t>
  </si>
  <si>
    <t>Kz`ve,c~evBj, MvRxcyi|</t>
  </si>
  <si>
    <t>Manager (Production)</t>
  </si>
  <si>
    <t>ZvwiLt-20/07/26</t>
  </si>
  <si>
    <t>jU-1122</t>
  </si>
  <si>
    <t>jU-1055</t>
  </si>
  <si>
    <t>jU-926</t>
  </si>
  <si>
    <t>jU-938</t>
  </si>
  <si>
    <t>jU-953</t>
  </si>
  <si>
    <t>jU-963</t>
  </si>
  <si>
    <t>jU-706</t>
  </si>
  <si>
    <t>jU-708</t>
  </si>
  <si>
    <t xml:space="preserve"> jU-757</t>
  </si>
  <si>
    <t>jU-759</t>
  </si>
  <si>
    <t>jU-762</t>
  </si>
  <si>
    <t>Lot-338</t>
  </si>
  <si>
    <t>Lot-329</t>
  </si>
  <si>
    <t>Lot-347</t>
  </si>
  <si>
    <t>Lot-375</t>
  </si>
  <si>
    <t>Lot-401</t>
  </si>
  <si>
    <t>Lot-123</t>
  </si>
  <si>
    <r>
      <rPr>
        <b/>
        <sz val="14"/>
        <color theme="1"/>
        <rFont val="SutonnyMJ"/>
      </rPr>
      <t xml:space="preserve">                              (</t>
    </r>
    <r>
      <rPr>
        <b/>
        <u/>
        <sz val="14"/>
        <color theme="1"/>
        <rFont val="SutonnyMJ"/>
      </rPr>
      <t>cÖvK-cÖv_wgK-2027)</t>
    </r>
  </si>
  <si>
    <t>RvZxq wkÿvµg I cvV¨cy¯ÍK †evW© Gi 2027 wkÿve‡l©i cvV¨cy¯ÍK g~`ªY, evuavB I mieiv‡ni wbwg‡Ë cwiKíbv cÖwZ‡e`b</t>
  </si>
  <si>
    <r>
      <rPr>
        <b/>
        <sz val="14"/>
        <color theme="1"/>
        <rFont val="SutonnyMJ"/>
      </rPr>
      <t xml:space="preserve">                               cÖvBgvix-(1-5)</t>
    </r>
    <r>
      <rPr>
        <b/>
        <u/>
        <sz val="14"/>
        <color theme="1"/>
        <rFont val="SutonnyMJ"/>
      </rPr>
      <t>-2027</t>
    </r>
  </si>
  <si>
    <t xml:space="preserve">                              7g †kÖbx gva¨wgK-2027</t>
  </si>
  <si>
    <t xml:space="preserve">                               9g †kÖbx gva¨wgK mvwnZ¨-2027</t>
  </si>
  <si>
    <t xml:space="preserve">                           9g †kÖbx gva¨wgK I `vwLj (Kvjvi)-2027</t>
  </si>
  <si>
    <t xml:space="preserve">                                 9g †kÖbx `vwLj-2027</t>
  </si>
  <si>
    <t>‡ccvi Pvwn`v</t>
  </si>
  <si>
    <t xml:space="preserve"> </t>
  </si>
  <si>
    <t>Kz`ve, c~evBj, MvRxcyi (BDwbU-2) Qbcvov, AvovBnvRvi, bvivqbMÄ (&amp;BDwbU-3)</t>
  </si>
  <si>
    <t>6ô gva¨wgK</t>
  </si>
  <si>
    <t>8g gva¨wgK</t>
  </si>
  <si>
    <t>Master simex paper ltd-2</t>
  </si>
  <si>
    <t>wRbvBMvZx</t>
  </si>
  <si>
    <t>bKjv</t>
  </si>
  <si>
    <t>bvwjZvevox</t>
  </si>
  <si>
    <t>kÖve©`x</t>
  </si>
  <si>
    <t>‡kicyi m`i</t>
  </si>
  <si>
    <t>AvUcvov</t>
  </si>
  <si>
    <t>KjgvKv›`v</t>
  </si>
  <si>
    <t>‡K›`yqv</t>
  </si>
  <si>
    <t>`yM©vcyi</t>
  </si>
  <si>
    <t>c~e©ajv</t>
  </si>
  <si>
    <t>evinvÆv</t>
  </si>
  <si>
    <t>g`b</t>
  </si>
  <si>
    <t>gnbMÄ</t>
  </si>
  <si>
    <t>LvwjqvRywo</t>
  </si>
  <si>
    <t>‡bÎ‡Kvbv m`i</t>
  </si>
  <si>
    <t xml:space="preserve"> †gvU eivÏ</t>
  </si>
  <si>
    <t>ZvwiL: 20.07.26</t>
  </si>
  <si>
    <t>‡Rjvt  wSbvB`vn, jU bs 329, †kÖwY t 1g-5g</t>
  </si>
  <si>
    <t>KPz›`cyi</t>
  </si>
  <si>
    <t>wSbvB`vn m`i</t>
  </si>
  <si>
    <t>mKj _vbv/Dc‡Rjv bgybv</t>
  </si>
  <si>
    <t>Dc‡Rjv</t>
  </si>
  <si>
    <t>‡gvU evwK</t>
  </si>
  <si>
    <t>AóMÖvg</t>
  </si>
  <si>
    <t>evwRZcyi</t>
  </si>
  <si>
    <t>‰fie</t>
  </si>
  <si>
    <t>wgVvgBb</t>
  </si>
  <si>
    <t>KwigMÄ</t>
  </si>
  <si>
    <t>KwUqv`x</t>
  </si>
  <si>
    <t>Pi ivwRecyi</t>
  </si>
  <si>
    <t>ev‡MinvU m`i</t>
  </si>
  <si>
    <t>dwKinvU</t>
  </si>
  <si>
    <t>kiY‡Lvjv</t>
  </si>
  <si>
    <t>ivgcvj</t>
  </si>
  <si>
    <t>‡gvsjv</t>
  </si>
  <si>
    <t>‡gvjøvnvU</t>
  </si>
  <si>
    <t>KPzqv</t>
  </si>
  <si>
    <t>wPZjgvix</t>
  </si>
  <si>
    <t>Plate</t>
  </si>
  <si>
    <t>‡cøU</t>
  </si>
  <si>
    <r>
      <rPr>
        <b/>
        <sz val="14"/>
        <color theme="1"/>
        <rFont val="SutonnyMJ"/>
      </rPr>
      <t xml:space="preserve">                                                                        </t>
    </r>
    <r>
      <rPr>
        <b/>
        <u/>
        <sz val="14"/>
        <color theme="1"/>
        <rFont val="SutonnyMJ"/>
      </rPr>
      <t>cÖv_wgK(1-5)-2027</t>
    </r>
  </si>
  <si>
    <t>Lot</t>
  </si>
  <si>
    <t>Lot-376</t>
  </si>
  <si>
    <t>Lot-379</t>
  </si>
  <si>
    <r>
      <rPr>
        <b/>
        <sz val="14"/>
        <color theme="1"/>
        <rFont val="SutonnyMJ"/>
      </rPr>
      <t xml:space="preserve">                              Be‡Z`vqx (1-3)</t>
    </r>
    <r>
      <rPr>
        <b/>
        <u/>
        <sz val="14"/>
        <color theme="1"/>
        <rFont val="SutonnyMJ"/>
      </rPr>
      <t>-2027</t>
    </r>
  </si>
  <si>
    <t xml:space="preserve">                                       6ô †kÖbx gva¨wgK-2027</t>
  </si>
  <si>
    <t>8g †kÖbx gva¨wgK-2027</t>
  </si>
  <si>
    <t>jU-2022</t>
  </si>
  <si>
    <t>jU-646</t>
  </si>
  <si>
    <t>jU-667</t>
  </si>
  <si>
    <t>jU-834</t>
  </si>
  <si>
    <t>jU-843</t>
  </si>
  <si>
    <t>jU-854</t>
  </si>
  <si>
    <t>jU-865</t>
  </si>
  <si>
    <t>jU-872</t>
  </si>
  <si>
    <t>jU-877</t>
  </si>
  <si>
    <t>gvóvi wm‡g· †ccvi wjt (BDwbU-3)</t>
  </si>
  <si>
    <t>Qbcvov, AvovBnvRvi, bvivqbMÄ</t>
  </si>
  <si>
    <t>4 Kvjvi</t>
  </si>
  <si>
    <t>1 Kvjvi</t>
  </si>
  <si>
    <t>‡Rjvt ewikvj, jU bs 338, †kÖwY t 1g-5g</t>
  </si>
  <si>
    <t>Av‰MjSvov</t>
  </si>
  <si>
    <t>DwRicyi</t>
  </si>
  <si>
    <t>ev‡KiMÄ</t>
  </si>
  <si>
    <t>evbvixcvov</t>
  </si>
  <si>
    <t>eveyMÄ</t>
  </si>
  <si>
    <t>g~jv`x</t>
  </si>
  <si>
    <t>‡g‡n›`xMÄ</t>
  </si>
  <si>
    <t>wnRjv</t>
  </si>
  <si>
    <t>evcvi wWwW ewikvj</t>
  </si>
  <si>
    <t>‡Rjvt wm‡jU, jU bs 347, †kÖwY t 1g-5g</t>
  </si>
  <si>
    <t>‡MvjvdMÄ</t>
  </si>
  <si>
    <t>m`i wm‡jU</t>
  </si>
  <si>
    <t>Imgvbx bMi</t>
  </si>
  <si>
    <t>‡Rjvt XvKv, jU bs 375, †kÖwY t 1g-5g</t>
  </si>
  <si>
    <t>‡Rjvt ‡dbx PÆMÖvg, jU bs 401, †kÖwY t 1g-5g</t>
  </si>
  <si>
    <t>`vMf~BÁv</t>
  </si>
  <si>
    <t>wgikivB</t>
  </si>
  <si>
    <t>‡Rjv:- XvKv, jU bs:- 706, †kÖbx-7g</t>
  </si>
  <si>
    <t>Avb›`cvV</t>
  </si>
  <si>
    <t>‡ZRMuvI ¸`vg,</t>
  </si>
  <si>
    <t>‡Rjv:- biwms`x, jU bs:- 708, †kÖbx-7g</t>
  </si>
  <si>
    <t>m`i biwms`x</t>
  </si>
  <si>
    <t>cjvk</t>
  </si>
  <si>
    <t>g‡bvni`x</t>
  </si>
  <si>
    <t>wkecyi</t>
  </si>
  <si>
    <t>ivqcyiv</t>
  </si>
  <si>
    <t>‡ejv‡ev</t>
  </si>
  <si>
    <t>bxjdvgvix m`i</t>
  </si>
  <si>
    <t>‰mq`cyi</t>
  </si>
  <si>
    <t>‡Wvgvvi</t>
  </si>
  <si>
    <t>wWgjv</t>
  </si>
  <si>
    <t>RjXvKv</t>
  </si>
  <si>
    <t>wK‡kviMÄ</t>
  </si>
  <si>
    <t>‡Rjv:- bxjdvgvix, jU bs:- 757, †kÖbx-7g</t>
  </si>
  <si>
    <t>‡Rjv:- Lyjbv-ev‡MinvU, jU bs:- 759, †kÖbx-7g</t>
  </si>
  <si>
    <t>‡ZiLv`v</t>
  </si>
  <si>
    <t>iæcmv</t>
  </si>
  <si>
    <t>cvBKMvQv</t>
  </si>
  <si>
    <t>Kqiv</t>
  </si>
  <si>
    <t>dzjZjv</t>
  </si>
  <si>
    <t>Wzgywiqv</t>
  </si>
  <si>
    <t>w`Nwjqv</t>
  </si>
  <si>
    <t>`v‡Kvcv</t>
  </si>
  <si>
    <t>ewUqvNvUv</t>
  </si>
  <si>
    <t>LvbRvnvb Avjx</t>
  </si>
  <si>
    <t>‡gvojMÄ</t>
  </si>
  <si>
    <t>‡Rjv:- bovBj, gv¸iv, jU bs:- 762, †kÖbx-7g</t>
  </si>
  <si>
    <t>bovBj m`i</t>
  </si>
  <si>
    <t>‡jvnvMov</t>
  </si>
  <si>
    <t>Kvwjqv</t>
  </si>
  <si>
    <t>gv¸iv m`i</t>
  </si>
  <si>
    <t>kvwjLv</t>
  </si>
  <si>
    <t>kÖxcyi</t>
  </si>
  <si>
    <t>gn¤§`cyi</t>
  </si>
  <si>
    <t>‡Rjv-MvRxcyi, jU-926, 9g- mvwnZ¨</t>
  </si>
  <si>
    <t>MvRxcyi m`i</t>
  </si>
  <si>
    <t>‡Rjv-PÆMÖvg, jU-938, 9g- mvwnZ¨</t>
  </si>
  <si>
    <t>KY©dzjx</t>
  </si>
  <si>
    <t>P›`bvBk</t>
  </si>
  <si>
    <t>cwUqv</t>
  </si>
  <si>
    <t>ev‡qvRx`</t>
  </si>
  <si>
    <t>cvnvoZjx</t>
  </si>
  <si>
    <t>gximivB</t>
  </si>
  <si>
    <t>dwUKQwo</t>
  </si>
  <si>
    <t>evukLvjx</t>
  </si>
  <si>
    <t>‡evqvjLvjx</t>
  </si>
  <si>
    <t>‡Rjv-bv‡Uvi-PvucvBbeveMÄ, jU-953, 9g- mvwnZ¨</t>
  </si>
  <si>
    <t>bv‡Uvi m`i</t>
  </si>
  <si>
    <t>wmsov</t>
  </si>
  <si>
    <t xml:space="preserve"> ¸iæ`vmcyi</t>
  </si>
  <si>
    <t>bjWv½v</t>
  </si>
  <si>
    <t>eovBMÖvg</t>
  </si>
  <si>
    <t>jvjcyi</t>
  </si>
  <si>
    <t>evMvwZcvov</t>
  </si>
  <si>
    <t>PvucvBbevMÄ m`i</t>
  </si>
  <si>
    <t>‡Mvg¯Ívcyi</t>
  </si>
  <si>
    <t>bv‡Pvj</t>
  </si>
  <si>
    <t>‡fvjvnvU</t>
  </si>
  <si>
    <t>wkeMÄ</t>
  </si>
  <si>
    <t>Total</t>
  </si>
  <si>
    <t>Rec:</t>
  </si>
  <si>
    <t>Pvwn`v</t>
  </si>
  <si>
    <t>ZvwiLt-02/08/26</t>
  </si>
  <si>
    <t>ZvwiLt 02.08.2026</t>
  </si>
  <si>
    <t>‡Rjv-Lyjbv-ev‡MinvU, jU-963, 9g- mvwnZ¨</t>
  </si>
  <si>
    <t>‡Rjvt wK‡kvi MÄ, jU- bs- 1055, `vwLj-(9-10) †kÖbx</t>
  </si>
  <si>
    <t>ZvovBj</t>
  </si>
  <si>
    <t>cvKzw›`qv</t>
  </si>
  <si>
    <t>wbKjx</t>
  </si>
  <si>
    <t>KzwjqvPi</t>
  </si>
  <si>
    <t>wK‡kviMÄ m`i</t>
  </si>
  <si>
    <t>‡nv‡mbcyi</t>
  </si>
  <si>
    <t>BUbv</t>
  </si>
  <si>
    <t>‡bÎ‡Kvbv</t>
  </si>
  <si>
    <t>‡gvnbMÄ</t>
  </si>
  <si>
    <t>`~Mv©cyi</t>
  </si>
  <si>
    <t>LvwjqvRyix</t>
  </si>
  <si>
    <t>j~MvwZj</t>
  </si>
  <si>
    <t>Bmjv‡gi BwZnvm</t>
  </si>
  <si>
    <t>‡Rjv-VvKziMvuI, iscyi, KzwoMÖvg, jU- 1122 beg-`kg (weÁvb)</t>
  </si>
  <si>
    <t>ivYx‰ksKj</t>
  </si>
  <si>
    <t xml:space="preserve"> VvKziMuvI m`i</t>
  </si>
  <si>
    <t>evwjqvW½x</t>
  </si>
  <si>
    <t>f‚iæ½vgvix</t>
  </si>
  <si>
    <t>Received</t>
  </si>
  <si>
    <t xml:space="preserve">                               7g †kÖbx gva¨wgK -2027</t>
  </si>
  <si>
    <t>wcÖw›Us (eB)</t>
  </si>
  <si>
    <t>wcÖw›Us (B‡¤úªkb)</t>
  </si>
  <si>
    <t>evBwÛs Gi Rb¨ A‡cÿgvb</t>
  </si>
  <si>
    <t>Kv‡Ri nvi-%</t>
  </si>
  <si>
    <t xml:space="preserve"> evwK</t>
  </si>
  <si>
    <t>‡Wwjfvix †kl ZvwiL</t>
  </si>
  <si>
    <t>µ:</t>
  </si>
  <si>
    <t>329- 338-347-375-401</t>
  </si>
  <si>
    <t>706-708-757-759-762</t>
  </si>
  <si>
    <t>926-938-953-963</t>
  </si>
  <si>
    <t>Wating for Binding</t>
  </si>
  <si>
    <t>ZvwiL: 03/08/2026</t>
  </si>
  <si>
    <t>evBwÛs n‡q‡Q</t>
  </si>
  <si>
    <t>Møy e¨envi n‡q‡Q</t>
  </si>
  <si>
    <t>‡KwR</t>
  </si>
  <si>
    <t>Møy e¨env‡ii wnmve</t>
  </si>
  <si>
    <t>cÖwZ †KwR‡Z evBwÛs</t>
  </si>
  <si>
    <t>mvBR</t>
  </si>
  <si>
    <t>wRGmg</t>
  </si>
  <si>
    <t>%</t>
  </si>
  <si>
    <t>e¨envi (‡gwUªKUb)</t>
  </si>
  <si>
    <t>Qvcv n‡q‡Q (‡gwUªKUb)</t>
  </si>
  <si>
    <t>I‡q‡óR (‡gwUªKUb)</t>
  </si>
  <si>
    <t>‡Rjvt XvKv, jU bs 376, †kÖwY t 1g-5g</t>
  </si>
  <si>
    <t>‡Rjvt XvKv, jU bs 379, †kÖwY t 1g-5g</t>
  </si>
  <si>
    <t>wLªóv©b</t>
  </si>
  <si>
    <t>mvs¯‹„Z</t>
  </si>
  <si>
    <t>mvnR Aviwe</t>
  </si>
  <si>
    <t>‡Rjvt nweMÄ, jU bs- 646, †kÖbx-6ô 2027</t>
  </si>
  <si>
    <t>AvRwgixMÄ</t>
  </si>
  <si>
    <t>evwbqvPs</t>
  </si>
  <si>
    <t>evûej</t>
  </si>
  <si>
    <t>P‚bviæNvU</t>
  </si>
  <si>
    <t>m`i nweMÄ</t>
  </si>
  <si>
    <t>jvLvB</t>
  </si>
  <si>
    <t>gvaecyi</t>
  </si>
  <si>
    <t>bexMÄ</t>
  </si>
  <si>
    <t>kv‡q¯ÍvMÄ</t>
  </si>
  <si>
    <t>‡Rjvt eªvÿYevwoqv, wK‡kviMÄ, †kicyi, Rvgvjcyi,‡bªÎ‡Kvbv,jU bs- 667, †kÖbx-6ô (`vwLj) 2027</t>
  </si>
  <si>
    <t>Avj j~MvwZj</t>
  </si>
  <si>
    <t>kvixwiK wkÿv</t>
  </si>
  <si>
    <t>K…wl wkÿv</t>
  </si>
  <si>
    <t>weRqbMi</t>
  </si>
  <si>
    <t>eªvÿYevwoqv m`i</t>
  </si>
  <si>
    <t>Kmev</t>
  </si>
  <si>
    <t>bvwQibMi</t>
  </si>
  <si>
    <t>mivBj</t>
  </si>
  <si>
    <t>AvïMÄ</t>
  </si>
  <si>
    <t>AvLvDov</t>
  </si>
  <si>
    <t>bexbMi</t>
  </si>
  <si>
    <t>evÂvivgcyi</t>
  </si>
  <si>
    <t>KzwjqviPi</t>
  </si>
  <si>
    <t>wK‡kvMÄ m`i</t>
  </si>
  <si>
    <t>wSbvBMvZx</t>
  </si>
  <si>
    <t>kÖxei`x</t>
  </si>
  <si>
    <t>‡`IqvbMÄ</t>
  </si>
  <si>
    <t>mwilvevox</t>
  </si>
  <si>
    <t>Bmjvgcyi</t>
  </si>
  <si>
    <t>Rvgvjcyi m`i</t>
  </si>
  <si>
    <t>gv`viMÄ</t>
  </si>
  <si>
    <t>‡gjv›`n</t>
  </si>
  <si>
    <t>eKkxMÄ</t>
  </si>
  <si>
    <t>‡bÎ‡KvYv m`i</t>
  </si>
  <si>
    <t>‡Rjvt PÆMÖvg, jU bs:-834, †kÖbxt- 8g (gva¨wgK)</t>
  </si>
  <si>
    <t>Pviæ I Kviæ</t>
  </si>
  <si>
    <t>Av‡bvqviv</t>
  </si>
  <si>
    <t>m›Øxc</t>
  </si>
  <si>
    <t>mxZvKzÛ</t>
  </si>
  <si>
    <t>Pv›`MvuI</t>
  </si>
  <si>
    <t>nvwZqv</t>
  </si>
  <si>
    <t>mye©YPi</t>
  </si>
  <si>
    <t>KweinvU</t>
  </si>
  <si>
    <t>‡mbevM</t>
  </si>
  <si>
    <t>PvUwLj</t>
  </si>
  <si>
    <t>‡mvbvBgyox</t>
  </si>
  <si>
    <t>‡Rjvt ‡dbx, †bvqvLvjx, jU bs:-843, †kÖbxt- 8g (gva¨wgK)</t>
  </si>
  <si>
    <t>‡Rjvt ‡gŠjfxevRvi, jU bs:-854, †kÖbxt- 8g (gva¨wgK)</t>
  </si>
  <si>
    <t>Ryox</t>
  </si>
  <si>
    <t>‡Rjvt iscyi, jU bs:-865, †kÖbxt- 8g (gva¨wgK)</t>
  </si>
  <si>
    <t>iscyi m`i</t>
  </si>
  <si>
    <t>cxiMvQv</t>
  </si>
  <si>
    <t>ZvivMÄ</t>
  </si>
  <si>
    <t>‡Rjvt cÂMo, VvKzMvuI, jU bs:-872, †kÖbxt- 8g (gva¨wgK)</t>
  </si>
  <si>
    <t>cÂMo m`i</t>
  </si>
  <si>
    <t>Av‡Uvqvix</t>
  </si>
  <si>
    <t>‡ZZzwjqv</t>
  </si>
  <si>
    <t>‡`exMÄ</t>
  </si>
  <si>
    <t>‡ev`v</t>
  </si>
  <si>
    <t>VvKziMuvI m`i</t>
  </si>
  <si>
    <t>evwjqvWv½x</t>
  </si>
  <si>
    <t>ivbxks‰Kj</t>
  </si>
  <si>
    <t>‡Rjvt Kwóqv, jU bs:-877, †kÖbxt- 8g (gva¨wgK)</t>
  </si>
  <si>
    <t>‡Rjv-h‡kvi, Lyjbv, ev‡MinvU, wSbvB`n, jU:-2022, †kÖbx:-Be‡Z`vqx-(1g-3q †kÖYx)</t>
  </si>
  <si>
    <t>gwYivgcyi</t>
  </si>
  <si>
    <t>‡Kkecyi</t>
  </si>
  <si>
    <t>evNvicvov</t>
  </si>
  <si>
    <t>‡PŠMvQv</t>
  </si>
  <si>
    <t>wSKiMvQv</t>
  </si>
  <si>
    <t>kvkv©</t>
  </si>
  <si>
    <t>AfqbMi</t>
  </si>
  <si>
    <t>h‡kvi m`i</t>
  </si>
  <si>
    <t>‡gv‡Wj MÄ</t>
  </si>
  <si>
    <t>‡KvUPvu`cyi</t>
  </si>
  <si>
    <t>wSbvB`n m`i</t>
  </si>
  <si>
    <t>nwiYvKzÛz</t>
  </si>
  <si>
    <t>Binding Rem</t>
  </si>
  <si>
    <t>Wating Fo Binding</t>
  </si>
  <si>
    <t>evBwÛs Gi Rb¨ Av‡cÿgvb</t>
  </si>
  <si>
    <t>evBwÛs wig</t>
  </si>
  <si>
    <r>
      <rPr>
        <b/>
        <sz val="14"/>
        <color theme="1"/>
        <rFont val="SutonnyMJ"/>
      </rPr>
      <t xml:space="preserve">                              Be‡Z`vqx (1-3)</t>
    </r>
    <r>
      <rPr>
        <b/>
        <u/>
        <sz val="14"/>
        <color theme="1"/>
        <rFont val="SutonnyMJ"/>
      </rPr>
      <t>-2022</t>
    </r>
  </si>
  <si>
    <t xml:space="preserve">‡Rjvt   kÖxcyi,‡bÎ‡Kvbv       jU bs 123        †kÖwY t cÖvK cÖv_wgK        ZviwL t20.07.26          </t>
  </si>
</sst>
</file>

<file path=xl/styles.xml><?xml version="1.0" encoding="utf-8"?>
<styleSheet xmlns="http://schemas.openxmlformats.org/spreadsheetml/2006/main">
  <fonts count="34">
    <font>
      <sz val="11"/>
      <color theme="1"/>
      <name val="Calibri"/>
      <family val="2"/>
      <scheme val="minor"/>
    </font>
    <font>
      <sz val="11"/>
      <color theme="1"/>
      <name val="SutonnyMJ"/>
    </font>
    <font>
      <b/>
      <sz val="14"/>
      <color theme="1"/>
      <name val="SutonnyMJ"/>
    </font>
    <font>
      <sz val="12"/>
      <color theme="1"/>
      <name val="Calibri"/>
      <family val="2"/>
      <scheme val="minor"/>
    </font>
    <font>
      <sz val="12"/>
      <color theme="1"/>
      <name val="SutonnyMJ"/>
    </font>
    <font>
      <sz val="14"/>
      <color theme="1"/>
      <name val="Calibri"/>
      <family val="2"/>
      <scheme val="minor"/>
    </font>
    <font>
      <sz val="14"/>
      <color theme="1"/>
      <name val="SutonnyMJ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SutonnyMJ"/>
    </font>
    <font>
      <sz val="10"/>
      <name val="SutonnyMJ"/>
    </font>
    <font>
      <sz val="10"/>
      <color rgb="FFFF0000"/>
      <name val="SutonnyMJ"/>
    </font>
    <font>
      <sz val="1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SutonnyMJ"/>
    </font>
    <font>
      <b/>
      <u/>
      <sz val="14"/>
      <color theme="1"/>
      <name val="SutonnyMJ"/>
    </font>
    <font>
      <b/>
      <sz val="11"/>
      <color theme="1"/>
      <name val="SutonnyMJ"/>
    </font>
    <font>
      <sz val="10"/>
      <name val="Calibri"/>
      <family val="2"/>
      <scheme val="minor"/>
    </font>
    <font>
      <sz val="9"/>
      <color theme="1"/>
      <name val="SutonnyMJ"/>
    </font>
    <font>
      <b/>
      <u/>
      <sz val="12"/>
      <color theme="1"/>
      <name val="SutonnyMJ"/>
    </font>
    <font>
      <b/>
      <sz val="10"/>
      <color theme="1"/>
      <name val="SutonnyMJ"/>
    </font>
    <font>
      <b/>
      <sz val="12"/>
      <color theme="1"/>
      <name val="Calibri"/>
      <family val="2"/>
      <scheme val="minor"/>
    </font>
    <font>
      <b/>
      <sz val="28"/>
      <color theme="1"/>
      <name val="DhakarChithiMJ"/>
    </font>
    <font>
      <b/>
      <sz val="48"/>
      <color theme="1"/>
      <name val="BurigangaSushreeMJ"/>
    </font>
    <font>
      <sz val="9"/>
      <name val="Calibri"/>
      <family val="2"/>
      <scheme val="minor"/>
    </font>
    <font>
      <sz val="9"/>
      <name val="SutonnyMJ"/>
    </font>
    <font>
      <sz val="10"/>
      <color rgb="FFFF0000"/>
      <name val="Calibri"/>
      <family val="2"/>
      <scheme val="minor"/>
    </font>
    <font>
      <sz val="18"/>
      <color theme="1"/>
      <name val="SutonnyMJ"/>
    </font>
    <font>
      <b/>
      <sz val="8"/>
      <color theme="1"/>
      <name val="SutonnyMJ"/>
    </font>
    <font>
      <sz val="8"/>
      <color theme="1"/>
      <name val="SutonnyMJ"/>
    </font>
    <font>
      <sz val="8"/>
      <color theme="1"/>
      <name val="Calibri"/>
      <family val="2"/>
      <scheme val="minor"/>
    </font>
    <font>
      <b/>
      <sz val="36"/>
      <color theme="1"/>
      <name val="BurigangaSushreeMJ"/>
    </font>
    <font>
      <b/>
      <sz val="9"/>
      <color theme="1"/>
      <name val="SutonnyMJ"/>
    </font>
    <font>
      <b/>
      <sz val="16"/>
      <color theme="1"/>
      <name val="SutonnyMJ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44">
    <xf numFmtId="0" fontId="0" fillId="0" borderId="0" xfId="0"/>
    <xf numFmtId="0" fontId="1" fillId="0" borderId="0" xfId="0" applyFont="1"/>
    <xf numFmtId="0" fontId="1" fillId="2" borderId="3" xfId="0" applyFont="1" applyFill="1" applyBorder="1"/>
    <xf numFmtId="0" fontId="9" fillId="0" borderId="3" xfId="0" applyFont="1" applyBorder="1"/>
    <xf numFmtId="0" fontId="1" fillId="0" borderId="0" xfId="0" applyFont="1" applyBorder="1"/>
    <xf numFmtId="0" fontId="9" fillId="0" borderId="0" xfId="0" applyFont="1"/>
    <xf numFmtId="0" fontId="0" fillId="0" borderId="3" xfId="0" applyBorder="1"/>
    <xf numFmtId="0" fontId="1" fillId="0" borderId="3" xfId="0" applyFont="1" applyBorder="1"/>
    <xf numFmtId="0" fontId="6" fillId="0" borderId="0" xfId="0" applyFont="1" applyBorder="1" applyAlignment="1"/>
    <xf numFmtId="0" fontId="1" fillId="2" borderId="0" xfId="0" applyFont="1" applyFill="1"/>
    <xf numFmtId="0" fontId="9" fillId="2" borderId="3" xfId="0" applyFont="1" applyFill="1" applyBorder="1" applyAlignment="1">
      <alignment horizontal="center"/>
    </xf>
    <xf numFmtId="0" fontId="0" fillId="0" borderId="0" xfId="0" applyFill="1"/>
    <xf numFmtId="0" fontId="9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/>
    </xf>
    <xf numFmtId="0" fontId="1" fillId="0" borderId="14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 wrapText="1"/>
    </xf>
    <xf numFmtId="0" fontId="0" fillId="0" borderId="0" xfId="0"/>
    <xf numFmtId="0" fontId="0" fillId="0" borderId="0" xfId="0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/>
    <xf numFmtId="0" fontId="14" fillId="9" borderId="3" xfId="0" applyFont="1" applyFill="1" applyBorder="1" applyAlignment="1">
      <alignment horizontal="center" vertical="center"/>
    </xf>
    <xf numFmtId="0" fontId="16" fillId="9" borderId="3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0" borderId="0" xfId="0"/>
    <xf numFmtId="0" fontId="9" fillId="4" borderId="3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/>
    </xf>
    <xf numFmtId="0" fontId="0" fillId="0" borderId="0" xfId="0"/>
    <xf numFmtId="0" fontId="9" fillId="4" borderId="3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0" borderId="3" xfId="0" applyFont="1" applyBorder="1"/>
    <xf numFmtId="3" fontId="4" fillId="0" borderId="3" xfId="0" applyNumberFormat="1" applyFont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1" fillId="2" borderId="0" xfId="0" applyFont="1" applyFill="1" applyAlignment="1">
      <alignment horizontal="center"/>
    </xf>
    <xf numFmtId="0" fontId="4" fillId="2" borderId="3" xfId="0" applyFont="1" applyFill="1" applyBorder="1"/>
    <xf numFmtId="3" fontId="4" fillId="2" borderId="3" xfId="0" applyNumberFormat="1" applyFont="1" applyFill="1" applyBorder="1" applyAlignment="1">
      <alignment horizontal="center"/>
    </xf>
    <xf numFmtId="0" fontId="4" fillId="2" borderId="0" xfId="0" applyFont="1" applyFill="1"/>
    <xf numFmtId="0" fontId="4" fillId="9" borderId="3" xfId="0" applyFont="1" applyFill="1" applyBorder="1"/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center"/>
    </xf>
    <xf numFmtId="0" fontId="0" fillId="0" borderId="0" xfId="0" applyFill="1" applyBorder="1"/>
    <xf numFmtId="0" fontId="9" fillId="0" borderId="0" xfId="0" applyFont="1" applyFill="1" applyBorder="1" applyAlignment="1">
      <alignment horizontal="right"/>
    </xf>
    <xf numFmtId="0" fontId="9" fillId="0" borderId="0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4" fillId="10" borderId="3" xfId="0" applyFont="1" applyFill="1" applyBorder="1" applyAlignment="1">
      <alignment vertical="center"/>
    </xf>
    <xf numFmtId="0" fontId="1" fillId="10" borderId="3" xfId="0" applyFont="1" applyFill="1" applyBorder="1" applyAlignment="1">
      <alignment vertical="center"/>
    </xf>
    <xf numFmtId="0" fontId="14" fillId="10" borderId="17" xfId="0" applyFont="1" applyFill="1" applyBorder="1"/>
    <xf numFmtId="0" fontId="14" fillId="10" borderId="21" xfId="0" applyFont="1" applyFill="1" applyBorder="1"/>
    <xf numFmtId="0" fontId="4" fillId="0" borderId="3" xfId="0" applyFont="1" applyBorder="1" applyAlignment="1">
      <alignment horizontal="left"/>
    </xf>
    <xf numFmtId="0" fontId="7" fillId="4" borderId="3" xfId="0" applyFont="1" applyFill="1" applyBorder="1" applyAlignment="1">
      <alignment horizontal="right"/>
    </xf>
    <xf numFmtId="0" fontId="20" fillId="4" borderId="3" xfId="0" applyFont="1" applyFill="1" applyBorder="1" applyAlignment="1">
      <alignment horizontal="right"/>
    </xf>
    <xf numFmtId="0" fontId="1" fillId="11" borderId="2" xfId="0" applyFont="1" applyFill="1" applyBorder="1" applyAlignment="1">
      <alignment horizontal="center" vertical="center" wrapText="1"/>
    </xf>
    <xf numFmtId="0" fontId="1" fillId="11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/>
    </xf>
    <xf numFmtId="0" fontId="1" fillId="11" borderId="3" xfId="0" applyFont="1" applyFill="1" applyBorder="1"/>
    <xf numFmtId="0" fontId="1" fillId="0" borderId="3" xfId="0" applyFont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2" borderId="1" xfId="0" applyFont="1" applyFill="1" applyBorder="1" applyAlignment="1">
      <alignment wrapText="1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24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 vertical="center"/>
    </xf>
    <xf numFmtId="0" fontId="8" fillId="0" borderId="3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left"/>
    </xf>
    <xf numFmtId="0" fontId="24" fillId="0" borderId="3" xfId="0" applyFont="1" applyFill="1" applyBorder="1" applyAlignment="1">
      <alignment horizontal="center"/>
    </xf>
    <xf numFmtId="0" fontId="8" fillId="0" borderId="3" xfId="0" applyFont="1" applyFill="1" applyBorder="1"/>
    <xf numFmtId="0" fontId="8" fillId="0" borderId="4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right"/>
    </xf>
    <xf numFmtId="0" fontId="8" fillId="4" borderId="3" xfId="0" applyFont="1" applyFill="1" applyBorder="1" applyAlignment="1">
      <alignment horizontal="center"/>
    </xf>
    <xf numFmtId="0" fontId="25" fillId="4" borderId="11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25" fillId="4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0" borderId="3" xfId="0" applyFont="1" applyFill="1" applyBorder="1" applyAlignment="1">
      <alignment horizontal="center"/>
    </xf>
    <xf numFmtId="0" fontId="18" fillId="0" borderId="3" xfId="0" applyFont="1" applyFill="1" applyBorder="1" applyAlignment="1">
      <alignment horizontal="left"/>
    </xf>
    <xf numFmtId="0" fontId="18" fillId="0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/>
    </xf>
    <xf numFmtId="0" fontId="25" fillId="0" borderId="3" xfId="0" applyFont="1" applyFill="1" applyBorder="1" applyAlignment="1">
      <alignment horizontal="center" vertical="center"/>
    </xf>
    <xf numFmtId="0" fontId="25" fillId="4" borderId="3" xfId="0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left"/>
    </xf>
    <xf numFmtId="0" fontId="18" fillId="2" borderId="3" xfId="0" applyFont="1" applyFill="1" applyBorder="1" applyAlignment="1">
      <alignment horizontal="center" vertical="center"/>
    </xf>
    <xf numFmtId="0" fontId="25" fillId="2" borderId="3" xfId="0" applyFont="1" applyFill="1" applyBorder="1" applyAlignment="1">
      <alignment horizontal="center"/>
    </xf>
    <xf numFmtId="0" fontId="18" fillId="2" borderId="3" xfId="0" applyFont="1" applyFill="1" applyBorder="1" applyAlignment="1">
      <alignment horizontal="left" vertical="center"/>
    </xf>
    <xf numFmtId="0" fontId="0" fillId="0" borderId="0" xfId="0" applyFont="1" applyBorder="1" applyAlignment="1">
      <alignment horizontal="center"/>
    </xf>
    <xf numFmtId="0" fontId="10" fillId="0" borderId="1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3" xfId="0" applyFont="1" applyFill="1" applyBorder="1" applyAlignment="1">
      <alignment horizontal="center"/>
    </xf>
    <xf numFmtId="0" fontId="18" fillId="9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16" fillId="0" borderId="3" xfId="0" applyFont="1" applyBorder="1" applyAlignment="1">
      <alignment horizontal="center" vertical="center"/>
    </xf>
    <xf numFmtId="0" fontId="1" fillId="10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vertical="center" wrapText="1"/>
    </xf>
    <xf numFmtId="0" fontId="9" fillId="4" borderId="3" xfId="0" applyFont="1" applyFill="1" applyBorder="1" applyAlignment="1">
      <alignment vertical="center" wrapText="1"/>
    </xf>
    <xf numFmtId="0" fontId="4" fillId="0" borderId="3" xfId="0" applyFont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/>
    </xf>
    <xf numFmtId="0" fontId="1" fillId="0" borderId="3" xfId="0" applyFont="1" applyFill="1" applyBorder="1"/>
    <xf numFmtId="0" fontId="0" fillId="0" borderId="3" xfId="0" applyFill="1" applyBorder="1"/>
    <xf numFmtId="0" fontId="7" fillId="4" borderId="2" xfId="0" applyFont="1" applyFill="1" applyBorder="1" applyAlignment="1">
      <alignment vertical="center" wrapText="1"/>
    </xf>
    <xf numFmtId="0" fontId="14" fillId="10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0" fontId="14" fillId="10" borderId="17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9" fillId="4" borderId="2" xfId="0" applyFont="1" applyFill="1" applyBorder="1" applyAlignment="1">
      <alignment vertical="center" wrapText="1"/>
    </xf>
    <xf numFmtId="0" fontId="7" fillId="12" borderId="3" xfId="0" applyFont="1" applyFill="1" applyBorder="1" applyAlignment="1">
      <alignment horizontal="center"/>
    </xf>
    <xf numFmtId="0" fontId="7" fillId="12" borderId="3" xfId="0" applyFont="1" applyFill="1" applyBorder="1" applyAlignment="1">
      <alignment horizontal="left"/>
    </xf>
    <xf numFmtId="0" fontId="17" fillId="12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center"/>
    </xf>
    <xf numFmtId="0" fontId="7" fillId="13" borderId="3" xfId="0" applyFont="1" applyFill="1" applyBorder="1" applyAlignment="1">
      <alignment horizontal="left"/>
    </xf>
    <xf numFmtId="0" fontId="17" fillId="13" borderId="3" xfId="0" applyFont="1" applyFill="1" applyBorder="1" applyAlignment="1">
      <alignment horizontal="center"/>
    </xf>
    <xf numFmtId="0" fontId="7" fillId="13" borderId="3" xfId="0" applyFont="1" applyFill="1" applyBorder="1"/>
    <xf numFmtId="0" fontId="7" fillId="13" borderId="4" xfId="0" applyFont="1" applyFill="1" applyBorder="1" applyAlignment="1">
      <alignment horizontal="center"/>
    </xf>
    <xf numFmtId="0" fontId="26" fillId="13" borderId="3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7" fillId="13" borderId="4" xfId="0" applyFont="1" applyFill="1" applyBorder="1"/>
    <xf numFmtId="0" fontId="9" fillId="13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left" vertical="center"/>
    </xf>
    <xf numFmtId="0" fontId="10" fillId="13" borderId="3" xfId="0" applyFont="1" applyFill="1" applyBorder="1" applyAlignment="1">
      <alignment horizontal="center" vertical="center"/>
    </xf>
    <xf numFmtId="0" fontId="9" fillId="13" borderId="3" xfId="0" applyFont="1" applyFill="1" applyBorder="1" applyAlignment="1">
      <alignment horizontal="center"/>
    </xf>
    <xf numFmtId="0" fontId="9" fillId="13" borderId="3" xfId="0" applyFont="1" applyFill="1" applyBorder="1" applyAlignment="1">
      <alignment horizontal="left"/>
    </xf>
    <xf numFmtId="0" fontId="10" fillId="13" borderId="3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center"/>
    </xf>
    <xf numFmtId="0" fontId="9" fillId="12" borderId="3" xfId="0" applyFont="1" applyFill="1" applyBorder="1" applyAlignment="1">
      <alignment horizontal="left"/>
    </xf>
    <xf numFmtId="0" fontId="9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 vertical="center"/>
    </xf>
    <xf numFmtId="0" fontId="0" fillId="2" borderId="3" xfId="0" applyFill="1" applyBorder="1"/>
    <xf numFmtId="0" fontId="7" fillId="12" borderId="3" xfId="0" applyFont="1" applyFill="1" applyBorder="1"/>
    <xf numFmtId="0" fontId="7" fillId="12" borderId="4" xfId="0" applyFont="1" applyFill="1" applyBorder="1"/>
    <xf numFmtId="0" fontId="7" fillId="12" borderId="4" xfId="0" applyFont="1" applyFill="1" applyBorder="1" applyAlignment="1">
      <alignment horizontal="center"/>
    </xf>
    <xf numFmtId="0" fontId="26" fillId="12" borderId="3" xfId="0" applyFont="1" applyFill="1" applyBorder="1" applyAlignment="1">
      <alignment horizontal="center"/>
    </xf>
    <xf numFmtId="0" fontId="7" fillId="2" borderId="4" xfId="0" applyFont="1" applyFill="1" applyBorder="1"/>
    <xf numFmtId="0" fontId="9" fillId="12" borderId="3" xfId="0" applyFont="1" applyFill="1" applyBorder="1" applyAlignment="1">
      <alignment horizontal="left" vertical="center"/>
    </xf>
    <xf numFmtId="0" fontId="10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vertical="center"/>
    </xf>
    <xf numFmtId="0" fontId="9" fillId="9" borderId="3" xfId="0" applyFont="1" applyFill="1" applyBorder="1" applyAlignment="1">
      <alignment horizontal="center" vertical="center"/>
    </xf>
    <xf numFmtId="0" fontId="9" fillId="2" borderId="0" xfId="0" applyFont="1" applyFill="1"/>
    <xf numFmtId="0" fontId="9" fillId="9" borderId="3" xfId="0" applyFont="1" applyFill="1" applyBorder="1"/>
    <xf numFmtId="3" fontId="9" fillId="0" borderId="3" xfId="0" applyNumberFormat="1" applyFont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9" borderId="3" xfId="0" applyFont="1" applyFill="1" applyBorder="1" applyAlignment="1">
      <alignment horizontal="center"/>
    </xf>
    <xf numFmtId="0" fontId="20" fillId="10" borderId="17" xfId="0" applyFont="1" applyFill="1" applyBorder="1" applyAlignment="1">
      <alignment horizontal="center"/>
    </xf>
    <xf numFmtId="0" fontId="20" fillId="10" borderId="17" xfId="0" applyFont="1" applyFill="1" applyBorder="1"/>
    <xf numFmtId="0" fontId="28" fillId="10" borderId="3" xfId="0" applyFont="1" applyFill="1" applyBorder="1" applyAlignment="1">
      <alignment horizontal="center" vertical="center"/>
    </xf>
    <xf numFmtId="0" fontId="28" fillId="10" borderId="3" xfId="0" applyFont="1" applyFill="1" applyBorder="1" applyAlignment="1">
      <alignment vertical="center"/>
    </xf>
    <xf numFmtId="0" fontId="29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/>
    </xf>
    <xf numFmtId="0" fontId="29" fillId="0" borderId="3" xfId="0" applyFont="1" applyBorder="1" applyAlignment="1">
      <alignment horizontal="left"/>
    </xf>
    <xf numFmtId="3" fontId="29" fillId="0" borderId="3" xfId="0" applyNumberFormat="1" applyFont="1" applyBorder="1" applyAlignment="1">
      <alignment horizontal="center"/>
    </xf>
    <xf numFmtId="3" fontId="29" fillId="0" borderId="3" xfId="0" applyNumberFormat="1" applyFont="1" applyBorder="1" applyAlignment="1">
      <alignment horizontal="center" vertical="center"/>
    </xf>
    <xf numFmtId="0" fontId="29" fillId="9" borderId="3" xfId="0" applyFont="1" applyFill="1" applyBorder="1" applyAlignment="1">
      <alignment horizontal="center" vertical="center"/>
    </xf>
    <xf numFmtId="0" fontId="29" fillId="2" borderId="0" xfId="0" applyFont="1" applyFill="1"/>
    <xf numFmtId="0" fontId="29" fillId="2" borderId="0" xfId="0" applyFont="1" applyFill="1" applyAlignment="1">
      <alignment horizontal="center"/>
    </xf>
    <xf numFmtId="0" fontId="29" fillId="2" borderId="3" xfId="0" applyFont="1" applyFill="1" applyBorder="1" applyAlignment="1">
      <alignment horizontal="center"/>
    </xf>
    <xf numFmtId="3" fontId="29" fillId="2" borderId="3" xfId="0" applyNumberFormat="1" applyFont="1" applyFill="1" applyBorder="1" applyAlignment="1">
      <alignment horizontal="center"/>
    </xf>
    <xf numFmtId="0" fontId="28" fillId="10" borderId="17" xfId="0" applyFont="1" applyFill="1" applyBorder="1" applyAlignment="1">
      <alignment horizontal="center"/>
    </xf>
    <xf numFmtId="0" fontId="28" fillId="10" borderId="17" xfId="0" applyFont="1" applyFill="1" applyBorder="1"/>
    <xf numFmtId="0" fontId="20" fillId="10" borderId="3" xfId="0" applyFont="1" applyFill="1" applyBorder="1" applyAlignment="1">
      <alignment horizontal="center" vertical="center" textRotation="90"/>
    </xf>
    <xf numFmtId="3" fontId="9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/>
    </xf>
    <xf numFmtId="3" fontId="9" fillId="2" borderId="3" xfId="0" applyNumberFormat="1" applyFont="1" applyFill="1" applyBorder="1" applyAlignment="1">
      <alignment horizontal="center" vertical="center"/>
    </xf>
    <xf numFmtId="3" fontId="9" fillId="2" borderId="3" xfId="0" applyNumberFormat="1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 vertical="center"/>
    </xf>
    <xf numFmtId="0" fontId="9" fillId="9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3" xfId="0" applyFont="1" applyBorder="1" applyAlignment="1">
      <alignment horizontal="left"/>
    </xf>
    <xf numFmtId="3" fontId="9" fillId="2" borderId="3" xfId="0" applyNumberFormat="1" applyFont="1" applyFill="1" applyBorder="1" applyAlignment="1">
      <alignment horizontal="center"/>
    </xf>
    <xf numFmtId="0" fontId="9" fillId="2" borderId="3" xfId="0" applyFont="1" applyFill="1" applyBorder="1"/>
    <xf numFmtId="0" fontId="32" fillId="9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left" vertical="center"/>
    </xf>
    <xf numFmtId="0" fontId="1" fillId="2" borderId="3" xfId="0" applyFont="1" applyFill="1" applyBorder="1" applyAlignment="1"/>
    <xf numFmtId="0" fontId="1" fillId="2" borderId="6" xfId="0" applyFont="1" applyFill="1" applyBorder="1" applyAlignment="1"/>
    <xf numFmtId="0" fontId="20" fillId="2" borderId="0" xfId="0" applyFont="1" applyFill="1" applyBorder="1" applyAlignment="1">
      <alignment horizontal="center"/>
    </xf>
    <xf numFmtId="0" fontId="20" fillId="2" borderId="0" xfId="0" applyFont="1" applyFill="1" applyBorder="1"/>
    <xf numFmtId="0" fontId="20" fillId="2" borderId="13" xfId="0" applyFont="1" applyFill="1" applyBorder="1"/>
    <xf numFmtId="0" fontId="1" fillId="1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8" fillId="10" borderId="3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9" fillId="2" borderId="1" xfId="0" applyFont="1" applyFill="1" applyBorder="1" applyAlignment="1">
      <alignment horizontal="right"/>
    </xf>
    <xf numFmtId="0" fontId="18" fillId="4" borderId="8" xfId="0" applyFont="1" applyFill="1" applyBorder="1" applyAlignment="1">
      <alignment horizontal="center"/>
    </xf>
    <xf numFmtId="0" fontId="14" fillId="9" borderId="3" xfId="0" applyFont="1" applyFill="1" applyBorder="1" applyAlignment="1">
      <alignment horizontal="center" vertical="center" wrapText="1"/>
    </xf>
    <xf numFmtId="0" fontId="1" fillId="9" borderId="3" xfId="0" applyFont="1" applyFill="1" applyBorder="1" applyAlignment="1">
      <alignment horizontal="center" vertical="center"/>
    </xf>
    <xf numFmtId="0" fontId="29" fillId="2" borderId="3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left"/>
    </xf>
    <xf numFmtId="0" fontId="24" fillId="3" borderId="3" xfId="0" applyFont="1" applyFill="1" applyBorder="1" applyAlignment="1">
      <alignment horizontal="center"/>
    </xf>
    <xf numFmtId="0" fontId="8" fillId="3" borderId="4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/>
    </xf>
    <xf numFmtId="0" fontId="24" fillId="15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24" fillId="15" borderId="3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 wrapText="1"/>
    </xf>
    <xf numFmtId="0" fontId="8" fillId="15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 vertical="center"/>
    </xf>
    <xf numFmtId="0" fontId="25" fillId="3" borderId="3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right"/>
    </xf>
    <xf numFmtId="0" fontId="25" fillId="15" borderId="11" xfId="0" applyFont="1" applyFill="1" applyBorder="1" applyAlignment="1">
      <alignment horizontal="center" vertical="center" wrapText="1"/>
    </xf>
    <xf numFmtId="0" fontId="18" fillId="15" borderId="2" xfId="0" applyFont="1" applyFill="1" applyBorder="1" applyAlignment="1">
      <alignment vertical="center" wrapText="1"/>
    </xf>
    <xf numFmtId="0" fontId="18" fillId="15" borderId="3" xfId="0" applyFont="1" applyFill="1" applyBorder="1" applyAlignment="1">
      <alignment horizontal="center" vertical="center" wrapText="1"/>
    </xf>
    <xf numFmtId="0" fontId="25" fillId="15" borderId="4" xfId="0" applyFont="1" applyFill="1" applyBorder="1" applyAlignment="1">
      <alignment horizontal="center" vertical="center" wrapText="1"/>
    </xf>
    <xf numFmtId="0" fontId="25" fillId="15" borderId="3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/>
    </xf>
    <xf numFmtId="0" fontId="25" fillId="15" borderId="3" xfId="0" applyFont="1" applyFill="1" applyBorder="1" applyAlignment="1">
      <alignment horizontal="center"/>
    </xf>
    <xf numFmtId="0" fontId="25" fillId="15" borderId="2" xfId="0" applyFont="1" applyFill="1" applyBorder="1" applyAlignment="1">
      <alignment horizontal="center" vertical="center" wrapText="1"/>
    </xf>
    <xf numFmtId="0" fontId="18" fillId="15" borderId="8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left"/>
    </xf>
    <xf numFmtId="0" fontId="25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left" vertical="center"/>
    </xf>
    <xf numFmtId="0" fontId="20" fillId="10" borderId="3" xfId="0" applyFont="1" applyFill="1" applyBorder="1" applyAlignment="1">
      <alignment horizontal="center"/>
    </xf>
    <xf numFmtId="0" fontId="20" fillId="10" borderId="3" xfId="0" applyFont="1" applyFill="1" applyBorder="1"/>
    <xf numFmtId="0" fontId="14" fillId="10" borderId="14" xfId="0" applyFont="1" applyFill="1" applyBorder="1" applyAlignment="1">
      <alignment horizontal="center"/>
    </xf>
    <xf numFmtId="0" fontId="14" fillId="10" borderId="17" xfId="0" applyFont="1" applyFill="1" applyBorder="1" applyAlignment="1">
      <alignment horizontal="center"/>
    </xf>
    <xf numFmtId="0" fontId="14" fillId="10" borderId="3" xfId="0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/>
    </xf>
    <xf numFmtId="0" fontId="4" fillId="9" borderId="6" xfId="0" applyFont="1" applyFill="1" applyBorder="1" applyAlignment="1">
      <alignment horizontal="right"/>
    </xf>
    <xf numFmtId="0" fontId="4" fillId="9" borderId="7" xfId="0" applyFont="1" applyFill="1" applyBorder="1" applyAlignment="1">
      <alignment horizontal="right"/>
    </xf>
    <xf numFmtId="0" fontId="4" fillId="9" borderId="8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left"/>
    </xf>
    <xf numFmtId="0" fontId="14" fillId="10" borderId="6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4" fillId="10" borderId="8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4" fillId="10" borderId="2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14" fillId="2" borderId="0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 vertical="center"/>
    </xf>
    <xf numFmtId="0" fontId="14" fillId="2" borderId="22" xfId="0" applyFont="1" applyFill="1" applyBorder="1" applyAlignment="1"/>
    <xf numFmtId="0" fontId="14" fillId="2" borderId="1" xfId="0" applyFont="1" applyFill="1" applyBorder="1" applyAlignment="1"/>
    <xf numFmtId="0" fontId="14" fillId="2" borderId="1" xfId="0" applyFont="1" applyFill="1" applyBorder="1" applyAlignment="1">
      <alignment horizontal="right"/>
    </xf>
    <xf numFmtId="0" fontId="20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/>
    </xf>
    <xf numFmtId="0" fontId="20" fillId="10" borderId="14" xfId="0" applyFont="1" applyFill="1" applyBorder="1" applyAlignment="1">
      <alignment horizontal="center"/>
    </xf>
    <xf numFmtId="0" fontId="20" fillId="10" borderId="17" xfId="0" applyFont="1" applyFill="1" applyBorder="1" applyAlignment="1">
      <alignment horizontal="center"/>
    </xf>
    <xf numFmtId="0" fontId="9" fillId="9" borderId="6" xfId="0" applyFont="1" applyFill="1" applyBorder="1" applyAlignment="1">
      <alignment horizontal="right"/>
    </xf>
    <xf numFmtId="0" fontId="9" fillId="9" borderId="7" xfId="0" applyFont="1" applyFill="1" applyBorder="1" applyAlignment="1">
      <alignment horizontal="right"/>
    </xf>
    <xf numFmtId="0" fontId="9" fillId="9" borderId="8" xfId="0" applyFont="1" applyFill="1" applyBorder="1" applyAlignment="1">
      <alignment horizontal="right"/>
    </xf>
    <xf numFmtId="0" fontId="14" fillId="2" borderId="22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9" fillId="0" borderId="2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28" fillId="10" borderId="3" xfId="0" applyFont="1" applyFill="1" applyBorder="1" applyAlignment="1">
      <alignment horizontal="center" vertical="center" wrapText="1"/>
    </xf>
    <xf numFmtId="0" fontId="16" fillId="2" borderId="2" xfId="0" applyFont="1" applyFill="1" applyBorder="1" applyAlignment="1">
      <alignment horizontal="left"/>
    </xf>
    <xf numFmtId="0" fontId="28" fillId="10" borderId="3" xfId="0" applyFont="1" applyFill="1" applyBorder="1" applyAlignment="1">
      <alignment horizontal="center" vertical="center"/>
    </xf>
    <xf numFmtId="0" fontId="29" fillId="9" borderId="3" xfId="0" applyFont="1" applyFill="1" applyBorder="1" applyAlignment="1">
      <alignment horizontal="center"/>
    </xf>
    <xf numFmtId="0" fontId="28" fillId="10" borderId="14" xfId="0" applyFont="1" applyFill="1" applyBorder="1" applyAlignment="1">
      <alignment horizontal="center"/>
    </xf>
    <xf numFmtId="0" fontId="28" fillId="10" borderId="17" xfId="0" applyFont="1" applyFill="1" applyBorder="1" applyAlignment="1">
      <alignment horizontal="center"/>
    </xf>
    <xf numFmtId="0" fontId="29" fillId="0" borderId="2" xfId="0" applyFont="1" applyBorder="1" applyAlignment="1">
      <alignment horizontal="left" vertical="center"/>
    </xf>
    <xf numFmtId="0" fontId="29" fillId="0" borderId="4" xfId="0" applyFont="1" applyBorder="1" applyAlignment="1">
      <alignment horizontal="left" vertical="center"/>
    </xf>
    <xf numFmtId="0" fontId="29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8" fillId="2" borderId="3" xfId="0" applyFont="1" applyFill="1" applyBorder="1" applyAlignment="1">
      <alignment horizontal="left"/>
    </xf>
    <xf numFmtId="0" fontId="29" fillId="9" borderId="6" xfId="0" applyFont="1" applyFill="1" applyBorder="1" applyAlignment="1">
      <alignment horizontal="right"/>
    </xf>
    <xf numFmtId="0" fontId="29" fillId="9" borderId="7" xfId="0" applyFont="1" applyFill="1" applyBorder="1" applyAlignment="1">
      <alignment horizontal="right"/>
    </xf>
    <xf numFmtId="0" fontId="29" fillId="9" borderId="8" xfId="0" applyFont="1" applyFill="1" applyBorder="1" applyAlignment="1">
      <alignment horizontal="right"/>
    </xf>
    <xf numFmtId="0" fontId="1" fillId="2" borderId="6" xfId="0" applyFont="1" applyFill="1" applyBorder="1" applyAlignment="1">
      <alignment horizontal="right"/>
    </xf>
    <xf numFmtId="0" fontId="1" fillId="2" borderId="8" xfId="0" applyFont="1" applyFill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10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/>
    </xf>
    <xf numFmtId="0" fontId="1" fillId="2" borderId="8" xfId="0" applyFont="1" applyFill="1" applyBorder="1" applyAlignment="1">
      <alignment horizontal="left"/>
    </xf>
    <xf numFmtId="0" fontId="1" fillId="14" borderId="6" xfId="0" applyFont="1" applyFill="1" applyBorder="1" applyAlignment="1">
      <alignment horizontal="center"/>
    </xf>
    <xf numFmtId="0" fontId="1" fillId="14" borderId="7" xfId="0" applyFont="1" applyFill="1" applyBorder="1" applyAlignment="1">
      <alignment horizontal="center"/>
    </xf>
    <xf numFmtId="0" fontId="1" fillId="14" borderId="8" xfId="0" applyFont="1" applyFill="1" applyBorder="1" applyAlignment="1">
      <alignment horizontal="center"/>
    </xf>
    <xf numFmtId="0" fontId="20" fillId="10" borderId="3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31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9" fillId="0" borderId="5" xfId="0" applyFont="1" applyBorder="1" applyAlignment="1">
      <alignment horizontal="center" vertical="center"/>
    </xf>
    <xf numFmtId="0" fontId="16" fillId="2" borderId="3" xfId="0" applyFont="1" applyFill="1" applyBorder="1" applyAlignment="1">
      <alignment horizontal="center"/>
    </xf>
    <xf numFmtId="0" fontId="20" fillId="2" borderId="3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right"/>
    </xf>
    <xf numFmtId="0" fontId="1" fillId="4" borderId="3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0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10" fillId="4" borderId="2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8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right"/>
    </xf>
    <xf numFmtId="0" fontId="9" fillId="4" borderId="6" xfId="0" applyFont="1" applyFill="1" applyBorder="1" applyAlignment="1">
      <alignment horizontal="center" vertical="center" wrapText="1"/>
    </xf>
    <xf numFmtId="0" fontId="9" fillId="4" borderId="8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21" fillId="0" borderId="0" xfId="0" applyFont="1" applyFill="1" applyBorder="1" applyAlignment="1">
      <alignment horizontal="center"/>
    </xf>
    <xf numFmtId="0" fontId="22" fillId="2" borderId="0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18" fillId="4" borderId="2" xfId="0" applyFont="1" applyFill="1" applyBorder="1" applyAlignment="1">
      <alignment horizontal="center" vertical="center" wrapText="1"/>
    </xf>
    <xf numFmtId="0" fontId="18" fillId="4" borderId="4" xfId="0" applyFont="1" applyFill="1" applyBorder="1" applyAlignment="1">
      <alignment horizontal="center" vertical="center" wrapText="1"/>
    </xf>
    <xf numFmtId="0" fontId="7" fillId="12" borderId="2" xfId="0" applyFont="1" applyFill="1" applyBorder="1" applyAlignment="1">
      <alignment horizontal="center" vertical="center"/>
    </xf>
    <xf numFmtId="0" fontId="7" fillId="12" borderId="5" xfId="0" applyFont="1" applyFill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 wrapText="1"/>
    </xf>
    <xf numFmtId="0" fontId="15" fillId="2" borderId="7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7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right"/>
    </xf>
    <xf numFmtId="0" fontId="19" fillId="2" borderId="7" xfId="0" applyFont="1" applyFill="1" applyBorder="1" applyAlignment="1">
      <alignment horizontal="right"/>
    </xf>
    <xf numFmtId="0" fontId="7" fillId="4" borderId="2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4" xfId="0" applyFont="1" applyFill="1" applyBorder="1" applyAlignment="1">
      <alignment horizontal="center" vertical="center" wrapText="1"/>
    </xf>
    <xf numFmtId="0" fontId="30" fillId="4" borderId="2" xfId="0" applyFont="1" applyFill="1" applyBorder="1" applyAlignment="1">
      <alignment horizontal="center" vertical="center" wrapText="1"/>
    </xf>
    <xf numFmtId="0" fontId="30" fillId="4" borderId="4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7" fillId="13" borderId="4" xfId="0" applyFont="1" applyFill="1" applyBorder="1" applyAlignment="1">
      <alignment horizontal="center" vertical="center"/>
    </xf>
    <xf numFmtId="0" fontId="7" fillId="13" borderId="2" xfId="0" applyFont="1" applyFill="1" applyBorder="1" applyAlignment="1">
      <alignment horizontal="center" vertical="center" wrapText="1"/>
    </xf>
    <xf numFmtId="0" fontId="7" fillId="13" borderId="4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/>
    </xf>
    <xf numFmtId="0" fontId="1" fillId="2" borderId="7" xfId="0" applyFont="1" applyFill="1" applyBorder="1" applyAlignment="1">
      <alignment horizontal="center"/>
    </xf>
    <xf numFmtId="0" fontId="1" fillId="11" borderId="6" xfId="0" applyFont="1" applyFill="1" applyBorder="1" applyAlignment="1">
      <alignment horizontal="center"/>
    </xf>
    <xf numFmtId="0" fontId="1" fillId="11" borderId="7" xfId="0" applyFont="1" applyFill="1" applyBorder="1" applyAlignment="1">
      <alignment horizontal="center"/>
    </xf>
    <xf numFmtId="0" fontId="1" fillId="11" borderId="8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11" borderId="11" xfId="0" applyFont="1" applyFill="1" applyBorder="1" applyAlignment="1">
      <alignment horizontal="center"/>
    </xf>
    <xf numFmtId="0" fontId="1" fillId="11" borderId="10" xfId="0" applyFont="1" applyFill="1" applyBorder="1" applyAlignment="1">
      <alignment horizontal="center"/>
    </xf>
    <xf numFmtId="0" fontId="1" fillId="11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right"/>
    </xf>
    <xf numFmtId="0" fontId="1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9" fillId="0" borderId="6" xfId="0" applyFont="1" applyBorder="1" applyAlignment="1">
      <alignment horizontal="right" vertical="center" wrapText="1"/>
    </xf>
    <xf numFmtId="0" fontId="9" fillId="0" borderId="7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/>
    </xf>
    <xf numFmtId="0" fontId="9" fillId="0" borderId="5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right" vertical="center" wrapText="1"/>
    </xf>
    <xf numFmtId="0" fontId="20" fillId="0" borderId="7" xfId="0" applyFont="1" applyBorder="1" applyAlignment="1">
      <alignment horizontal="right" vertical="center" wrapText="1"/>
    </xf>
    <xf numFmtId="0" fontId="20" fillId="0" borderId="8" xfId="0" applyFont="1" applyBorder="1" applyAlignment="1">
      <alignment horizontal="right" vertical="center" wrapText="1"/>
    </xf>
    <xf numFmtId="0" fontId="1" fillId="2" borderId="3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1" fillId="2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/>
    </xf>
    <xf numFmtId="0" fontId="25" fillId="4" borderId="3" xfId="0" applyFont="1" applyFill="1" applyBorder="1" applyAlignment="1">
      <alignment horizontal="center" vertical="center" wrapText="1"/>
    </xf>
    <xf numFmtId="0" fontId="18" fillId="4" borderId="6" xfId="0" applyFont="1" applyFill="1" applyBorder="1" applyAlignment="1">
      <alignment horizontal="center"/>
    </xf>
    <xf numFmtId="0" fontId="18" fillId="4" borderId="7" xfId="0" applyFont="1" applyFill="1" applyBorder="1" applyAlignment="1">
      <alignment horizontal="center"/>
    </xf>
    <xf numFmtId="0" fontId="18" fillId="4" borderId="8" xfId="0" applyFont="1" applyFill="1" applyBorder="1" applyAlignment="1">
      <alignment horizontal="center"/>
    </xf>
    <xf numFmtId="0" fontId="18" fillId="4" borderId="6" xfId="0" applyFont="1" applyFill="1" applyBorder="1" applyAlignment="1">
      <alignment horizontal="right"/>
    </xf>
    <xf numFmtId="0" fontId="18" fillId="4" borderId="7" xfId="0" applyFont="1" applyFill="1" applyBorder="1" applyAlignment="1">
      <alignment horizontal="right"/>
    </xf>
    <xf numFmtId="0" fontId="18" fillId="4" borderId="8" xfId="0" applyFont="1" applyFill="1" applyBorder="1" applyAlignment="1">
      <alignment horizontal="right"/>
    </xf>
    <xf numFmtId="0" fontId="15" fillId="2" borderId="0" xfId="0" applyFont="1" applyFill="1" applyBorder="1" applyAlignment="1">
      <alignment horizontal="center"/>
    </xf>
    <xf numFmtId="0" fontId="25" fillId="4" borderId="2" xfId="0" applyFont="1" applyFill="1" applyBorder="1" applyAlignment="1">
      <alignment horizontal="center" vertical="center" wrapText="1"/>
    </xf>
    <xf numFmtId="0" fontId="25" fillId="4" borderId="4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6" borderId="3" xfId="0" applyFont="1" applyFill="1" applyBorder="1" applyAlignment="1">
      <alignment horizontal="center" vertical="center" wrapText="1"/>
    </xf>
    <xf numFmtId="0" fontId="18" fillId="8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25" fillId="4" borderId="6" xfId="0" applyFont="1" applyFill="1" applyBorder="1" applyAlignment="1">
      <alignment horizontal="center" vertical="center" wrapText="1"/>
    </xf>
    <xf numFmtId="0" fontId="25" fillId="4" borderId="7" xfId="0" applyFont="1" applyFill="1" applyBorder="1" applyAlignment="1">
      <alignment horizontal="center" vertical="center" wrapText="1"/>
    </xf>
    <xf numFmtId="0" fontId="25" fillId="4" borderId="8" xfId="0" applyFont="1" applyFill="1" applyBorder="1" applyAlignment="1">
      <alignment horizontal="center" vertical="center" wrapText="1"/>
    </xf>
    <xf numFmtId="0" fontId="18" fillId="6" borderId="2" xfId="0" applyFont="1" applyFill="1" applyBorder="1" applyAlignment="1">
      <alignment horizontal="center" vertical="center" wrapText="1"/>
    </xf>
    <xf numFmtId="0" fontId="18" fillId="6" borderId="4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/>
    </xf>
    <xf numFmtId="0" fontId="8" fillId="0" borderId="5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right"/>
    </xf>
    <xf numFmtId="0" fontId="15" fillId="2" borderId="1" xfId="0" applyFont="1" applyFill="1" applyBorder="1" applyAlignment="1">
      <alignment horizontal="right"/>
    </xf>
    <xf numFmtId="0" fontId="24" fillId="4" borderId="2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8" fillId="4" borderId="6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 wrapText="1"/>
    </xf>
    <xf numFmtId="0" fontId="8" fillId="6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center" wrapText="1"/>
    </xf>
    <xf numFmtId="0" fontId="8" fillId="8" borderId="6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4" borderId="3" xfId="0" applyFont="1" applyFill="1" applyBorder="1" applyAlignment="1">
      <alignment horizontal="right"/>
    </xf>
    <xf numFmtId="0" fontId="18" fillId="15" borderId="3" xfId="0" applyFont="1" applyFill="1" applyBorder="1" applyAlignment="1">
      <alignment horizontal="center" vertical="center" wrapText="1"/>
    </xf>
    <xf numFmtId="0" fontId="18" fillId="15" borderId="3" xfId="0" applyFont="1" applyFill="1" applyBorder="1" applyAlignment="1">
      <alignment horizontal="center" vertical="center"/>
    </xf>
    <xf numFmtId="0" fontId="18" fillId="15" borderId="6" xfId="0" applyFont="1" applyFill="1" applyBorder="1" applyAlignment="1">
      <alignment horizontal="right"/>
    </xf>
    <xf numFmtId="0" fontId="18" fillId="15" borderId="7" xfId="0" applyFont="1" applyFill="1" applyBorder="1" applyAlignment="1">
      <alignment horizontal="right"/>
    </xf>
    <xf numFmtId="0" fontId="18" fillId="15" borderId="8" xfId="0" applyFont="1" applyFill="1" applyBorder="1" applyAlignment="1">
      <alignment horizontal="right"/>
    </xf>
    <xf numFmtId="0" fontId="18" fillId="15" borderId="2" xfId="0" applyFont="1" applyFill="1" applyBorder="1" applyAlignment="1">
      <alignment horizontal="center" vertical="center" wrapText="1"/>
    </xf>
    <xf numFmtId="0" fontId="18" fillId="15" borderId="4" xfId="0" applyFont="1" applyFill="1" applyBorder="1" applyAlignment="1">
      <alignment horizontal="center" vertical="center" wrapText="1"/>
    </xf>
    <xf numFmtId="0" fontId="25" fillId="15" borderId="2" xfId="0" applyFont="1" applyFill="1" applyBorder="1" applyAlignment="1">
      <alignment horizontal="center" vertical="center" wrapText="1"/>
    </xf>
    <xf numFmtId="0" fontId="25" fillId="15" borderId="4" xfId="0" applyFont="1" applyFill="1" applyBorder="1" applyAlignment="1">
      <alignment horizontal="center" vertical="center" wrapText="1"/>
    </xf>
    <xf numFmtId="0" fontId="24" fillId="15" borderId="2" xfId="0" applyFont="1" applyFill="1" applyBorder="1" applyAlignment="1">
      <alignment horizontal="center" vertical="center" wrapText="1"/>
    </xf>
    <xf numFmtId="0" fontId="24" fillId="15" borderId="4" xfId="0" applyFont="1" applyFill="1" applyBorder="1" applyAlignment="1">
      <alignment horizontal="center" vertical="center" wrapText="1"/>
    </xf>
    <xf numFmtId="0" fontId="8" fillId="15" borderId="6" xfId="0" applyFont="1" applyFill="1" applyBorder="1" applyAlignment="1">
      <alignment horizontal="center"/>
    </xf>
    <xf numFmtId="0" fontId="8" fillId="15" borderId="8" xfId="0" applyFont="1" applyFill="1" applyBorder="1" applyAlignment="1">
      <alignment horizontal="center"/>
    </xf>
    <xf numFmtId="0" fontId="8" fillId="15" borderId="6" xfId="0" applyFont="1" applyFill="1" applyBorder="1" applyAlignment="1">
      <alignment horizontal="center" vertical="center" wrapText="1"/>
    </xf>
    <xf numFmtId="0" fontId="8" fillId="15" borderId="8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5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15" borderId="3" xfId="0" applyFont="1" applyFill="1" applyBorder="1" applyAlignment="1">
      <alignment horizontal="right"/>
    </xf>
    <xf numFmtId="0" fontId="8" fillId="15" borderId="3" xfId="0" applyFont="1" applyFill="1" applyBorder="1" applyAlignment="1">
      <alignment horizontal="center" wrapText="1"/>
    </xf>
    <xf numFmtId="0" fontId="8" fillId="15" borderId="7" xfId="0" applyFont="1" applyFill="1" applyBorder="1" applyAlignment="1">
      <alignment horizontal="center"/>
    </xf>
    <xf numFmtId="0" fontId="8" fillId="15" borderId="3" xfId="0" applyFont="1" applyFill="1" applyBorder="1" applyAlignment="1">
      <alignment horizontal="center" vertical="center" wrapText="1"/>
    </xf>
    <xf numFmtId="0" fontId="18" fillId="15" borderId="6" xfId="0" applyFont="1" applyFill="1" applyBorder="1" applyAlignment="1">
      <alignment horizontal="center"/>
    </xf>
    <xf numFmtId="0" fontId="18" fillId="15" borderId="7" xfId="0" applyFont="1" applyFill="1" applyBorder="1" applyAlignment="1">
      <alignment horizontal="center"/>
    </xf>
    <xf numFmtId="0" fontId="18" fillId="15" borderId="8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0" fontId="1" fillId="9" borderId="3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horizontal="left"/>
    </xf>
    <xf numFmtId="0" fontId="33" fillId="0" borderId="1" xfId="0" applyFont="1" applyBorder="1" applyAlignment="1">
      <alignment horizontal="center"/>
    </xf>
    <xf numFmtId="0" fontId="6" fillId="2" borderId="1" xfId="0" applyFont="1" applyFill="1" applyBorder="1" applyAlignment="1"/>
    <xf numFmtId="0" fontId="6" fillId="0" borderId="18" xfId="0" applyFont="1" applyBorder="1" applyAlignment="1">
      <alignment horizontal="left"/>
    </xf>
    <xf numFmtId="0" fontId="1" fillId="10" borderId="3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/>
    </xf>
    <xf numFmtId="0" fontId="1" fillId="10" borderId="3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16C"/>
      <color rgb="FF14EC38"/>
      <color rgb="FF0360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339607</xdr:colOff>
      <xdr:row>102</xdr:row>
      <xdr:rowOff>49690</xdr:rowOff>
    </xdr:from>
    <xdr:to>
      <xdr:col>31</xdr:col>
      <xdr:colOff>290084</xdr:colOff>
      <xdr:row>104</xdr:row>
      <xdr:rowOff>35717</xdr:rowOff>
    </xdr:to>
    <xdr:pic>
      <xdr:nvPicPr>
        <xdr:cNvPr id="4" name="Picture 3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  <xdr:twoCellAnchor editAs="oneCell">
    <xdr:from>
      <xdr:col>29</xdr:col>
      <xdr:colOff>339607</xdr:colOff>
      <xdr:row>131</xdr:row>
      <xdr:rowOff>49690</xdr:rowOff>
    </xdr:from>
    <xdr:to>
      <xdr:col>31</xdr:col>
      <xdr:colOff>290084</xdr:colOff>
      <xdr:row>133</xdr:row>
      <xdr:rowOff>35717</xdr:rowOff>
    </xdr:to>
    <xdr:pic>
      <xdr:nvPicPr>
        <xdr:cNvPr id="8" name="Picture 7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  <xdr:twoCellAnchor editAs="oneCell">
    <xdr:from>
      <xdr:col>29</xdr:col>
      <xdr:colOff>339607</xdr:colOff>
      <xdr:row>159</xdr:row>
      <xdr:rowOff>49690</xdr:rowOff>
    </xdr:from>
    <xdr:to>
      <xdr:col>31</xdr:col>
      <xdr:colOff>290084</xdr:colOff>
      <xdr:row>161</xdr:row>
      <xdr:rowOff>35717</xdr:rowOff>
    </xdr:to>
    <xdr:pic>
      <xdr:nvPicPr>
        <xdr:cNvPr id="9" name="Picture 8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  <xdr:twoCellAnchor editAs="oneCell">
    <xdr:from>
      <xdr:col>29</xdr:col>
      <xdr:colOff>339607</xdr:colOff>
      <xdr:row>206</xdr:row>
      <xdr:rowOff>49690</xdr:rowOff>
    </xdr:from>
    <xdr:to>
      <xdr:col>31</xdr:col>
      <xdr:colOff>290084</xdr:colOff>
      <xdr:row>208</xdr:row>
      <xdr:rowOff>35717</xdr:rowOff>
    </xdr:to>
    <xdr:pic>
      <xdr:nvPicPr>
        <xdr:cNvPr id="10" name="Picture 9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  <xdr:twoCellAnchor editAs="oneCell">
    <xdr:from>
      <xdr:col>29</xdr:col>
      <xdr:colOff>339607</xdr:colOff>
      <xdr:row>70</xdr:row>
      <xdr:rowOff>49690</xdr:rowOff>
    </xdr:from>
    <xdr:to>
      <xdr:col>31</xdr:col>
      <xdr:colOff>290084</xdr:colOff>
      <xdr:row>72</xdr:row>
      <xdr:rowOff>35717</xdr:rowOff>
    </xdr:to>
    <xdr:pic>
      <xdr:nvPicPr>
        <xdr:cNvPr id="11" name="Picture 10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  <xdr:twoCellAnchor editAs="oneCell">
    <xdr:from>
      <xdr:col>29</xdr:col>
      <xdr:colOff>339607</xdr:colOff>
      <xdr:row>9</xdr:row>
      <xdr:rowOff>49690</xdr:rowOff>
    </xdr:from>
    <xdr:to>
      <xdr:col>31</xdr:col>
      <xdr:colOff>290084</xdr:colOff>
      <xdr:row>11</xdr:row>
      <xdr:rowOff>35717</xdr:rowOff>
    </xdr:to>
    <xdr:pic>
      <xdr:nvPicPr>
        <xdr:cNvPr id="12" name="Picture 11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10237324" y="20714799"/>
          <a:ext cx="687629" cy="36702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339607</xdr:colOff>
      <xdr:row>247</xdr:row>
      <xdr:rowOff>49690</xdr:rowOff>
    </xdr:from>
    <xdr:to>
      <xdr:col>21</xdr:col>
      <xdr:colOff>61881</xdr:colOff>
      <xdr:row>249</xdr:row>
      <xdr:rowOff>45639</xdr:rowOff>
    </xdr:to>
    <xdr:pic>
      <xdr:nvPicPr>
        <xdr:cNvPr id="2" name="Picture 1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9426457" y="20509390"/>
          <a:ext cx="693427" cy="367027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401</xdr:row>
      <xdr:rowOff>49690</xdr:rowOff>
    </xdr:from>
    <xdr:to>
      <xdr:col>21</xdr:col>
      <xdr:colOff>61881</xdr:colOff>
      <xdr:row>403</xdr:row>
      <xdr:rowOff>55562</xdr:rowOff>
    </xdr:to>
    <xdr:pic>
      <xdr:nvPicPr>
        <xdr:cNvPr id="3" name="Picture 2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9426457" y="26500615"/>
          <a:ext cx="693427" cy="367027"/>
        </a:xfrm>
        <a:prstGeom prst="rect">
          <a:avLst/>
        </a:prstGeom>
      </xdr:spPr>
    </xdr:pic>
    <xdr:clientData/>
  </xdr:twoCellAnchor>
  <xdr:twoCellAnchor editAs="oneCell">
    <xdr:from>
      <xdr:col>17</xdr:col>
      <xdr:colOff>293840</xdr:colOff>
      <xdr:row>523</xdr:row>
      <xdr:rowOff>181941</xdr:rowOff>
    </xdr:from>
    <xdr:to>
      <xdr:col>20</xdr:col>
      <xdr:colOff>7588</xdr:colOff>
      <xdr:row>526</xdr:row>
      <xdr:rowOff>34119</xdr:rowOff>
    </xdr:to>
    <xdr:pic>
      <xdr:nvPicPr>
        <xdr:cNvPr id="4" name="Picture 3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16821" y="110730556"/>
          <a:ext cx="834767" cy="431005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567</xdr:row>
      <xdr:rowOff>49690</xdr:rowOff>
    </xdr:from>
    <xdr:to>
      <xdr:col>21</xdr:col>
      <xdr:colOff>61881</xdr:colOff>
      <xdr:row>569</xdr:row>
      <xdr:rowOff>35718</xdr:rowOff>
    </xdr:to>
    <xdr:pic>
      <xdr:nvPicPr>
        <xdr:cNvPr id="5" name="Picture 4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9426457" y="41283415"/>
          <a:ext cx="693427" cy="367027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67</xdr:row>
      <xdr:rowOff>49690</xdr:rowOff>
    </xdr:from>
    <xdr:to>
      <xdr:col>21</xdr:col>
      <xdr:colOff>61881</xdr:colOff>
      <xdr:row>69</xdr:row>
      <xdr:rowOff>35717</xdr:rowOff>
    </xdr:to>
    <xdr:pic>
      <xdr:nvPicPr>
        <xdr:cNvPr id="6" name="Picture 5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9426457" y="13918090"/>
          <a:ext cx="693427" cy="367027"/>
        </a:xfrm>
        <a:prstGeom prst="rect">
          <a:avLst/>
        </a:prstGeom>
      </xdr:spPr>
    </xdr:pic>
    <xdr:clientData/>
  </xdr:twoCellAnchor>
  <xdr:twoCellAnchor editAs="oneCell">
    <xdr:from>
      <xdr:col>17</xdr:col>
      <xdr:colOff>284394</xdr:colOff>
      <xdr:row>10</xdr:row>
      <xdr:rowOff>15805</xdr:rowOff>
    </xdr:from>
    <xdr:to>
      <xdr:col>19</xdr:col>
      <xdr:colOff>347836</xdr:colOff>
      <xdr:row>12</xdr:row>
      <xdr:rowOff>1831</xdr:rowOff>
    </xdr:to>
    <xdr:pic>
      <xdr:nvPicPr>
        <xdr:cNvPr id="7" name="Picture 6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109548" y="2477651"/>
          <a:ext cx="810788" cy="410988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104</xdr:row>
      <xdr:rowOff>49690</xdr:rowOff>
    </xdr:from>
    <xdr:to>
      <xdr:col>21</xdr:col>
      <xdr:colOff>61881</xdr:colOff>
      <xdr:row>106</xdr:row>
      <xdr:rowOff>35717</xdr:rowOff>
    </xdr:to>
    <xdr:pic>
      <xdr:nvPicPr>
        <xdr:cNvPr id="8" name="Picture 7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6404" y="13404534"/>
          <a:ext cx="1160946" cy="482121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141</xdr:row>
      <xdr:rowOff>49690</xdr:rowOff>
    </xdr:from>
    <xdr:to>
      <xdr:col>21</xdr:col>
      <xdr:colOff>61881</xdr:colOff>
      <xdr:row>143</xdr:row>
      <xdr:rowOff>35717</xdr:rowOff>
    </xdr:to>
    <xdr:pic>
      <xdr:nvPicPr>
        <xdr:cNvPr id="9" name="Picture 8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6404" y="13404534"/>
          <a:ext cx="1160946" cy="482121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178</xdr:row>
      <xdr:rowOff>49690</xdr:rowOff>
    </xdr:from>
    <xdr:to>
      <xdr:col>21</xdr:col>
      <xdr:colOff>61881</xdr:colOff>
      <xdr:row>180</xdr:row>
      <xdr:rowOff>35717</xdr:rowOff>
    </xdr:to>
    <xdr:pic>
      <xdr:nvPicPr>
        <xdr:cNvPr id="10" name="Picture 9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6404" y="13404534"/>
          <a:ext cx="1160946" cy="482121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215</xdr:row>
      <xdr:rowOff>49690</xdr:rowOff>
    </xdr:from>
    <xdr:to>
      <xdr:col>21</xdr:col>
      <xdr:colOff>61881</xdr:colOff>
      <xdr:row>217</xdr:row>
      <xdr:rowOff>35717</xdr:rowOff>
    </xdr:to>
    <xdr:pic>
      <xdr:nvPicPr>
        <xdr:cNvPr id="11" name="Picture 10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6404" y="34597659"/>
          <a:ext cx="1160946" cy="482121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279</xdr:row>
      <xdr:rowOff>49690</xdr:rowOff>
    </xdr:from>
    <xdr:to>
      <xdr:col>21</xdr:col>
      <xdr:colOff>61881</xdr:colOff>
      <xdr:row>281</xdr:row>
      <xdr:rowOff>45639</xdr:rowOff>
    </xdr:to>
    <xdr:pic>
      <xdr:nvPicPr>
        <xdr:cNvPr id="12" name="Picture 11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9182" y="49303465"/>
          <a:ext cx="1160549" cy="415049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311</xdr:row>
      <xdr:rowOff>49690</xdr:rowOff>
    </xdr:from>
    <xdr:to>
      <xdr:col>21</xdr:col>
      <xdr:colOff>61881</xdr:colOff>
      <xdr:row>313</xdr:row>
      <xdr:rowOff>45640</xdr:rowOff>
    </xdr:to>
    <xdr:pic>
      <xdr:nvPicPr>
        <xdr:cNvPr id="13" name="Picture 12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9182" y="49303465"/>
          <a:ext cx="1160549" cy="415049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343</xdr:row>
      <xdr:rowOff>49690</xdr:rowOff>
    </xdr:from>
    <xdr:to>
      <xdr:col>21</xdr:col>
      <xdr:colOff>61881</xdr:colOff>
      <xdr:row>345</xdr:row>
      <xdr:rowOff>45639</xdr:rowOff>
    </xdr:to>
    <xdr:pic>
      <xdr:nvPicPr>
        <xdr:cNvPr id="14" name="Picture 13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9182" y="49303465"/>
          <a:ext cx="1160549" cy="415049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375</xdr:row>
      <xdr:rowOff>49690</xdr:rowOff>
    </xdr:from>
    <xdr:to>
      <xdr:col>21</xdr:col>
      <xdr:colOff>61881</xdr:colOff>
      <xdr:row>377</xdr:row>
      <xdr:rowOff>45640</xdr:rowOff>
    </xdr:to>
    <xdr:pic>
      <xdr:nvPicPr>
        <xdr:cNvPr id="15" name="Picture 14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9182" y="49303465"/>
          <a:ext cx="1160549" cy="415049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434</xdr:row>
      <xdr:rowOff>49690</xdr:rowOff>
    </xdr:from>
    <xdr:to>
      <xdr:col>21</xdr:col>
      <xdr:colOff>61881</xdr:colOff>
      <xdr:row>436</xdr:row>
      <xdr:rowOff>55562</xdr:rowOff>
    </xdr:to>
    <xdr:pic>
      <xdr:nvPicPr>
        <xdr:cNvPr id="16" name="Picture 15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2588" y="83774440"/>
          <a:ext cx="1165678" cy="386872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467</xdr:row>
      <xdr:rowOff>49690</xdr:rowOff>
    </xdr:from>
    <xdr:to>
      <xdr:col>21</xdr:col>
      <xdr:colOff>61881</xdr:colOff>
      <xdr:row>469</xdr:row>
      <xdr:rowOff>55562</xdr:rowOff>
    </xdr:to>
    <xdr:pic>
      <xdr:nvPicPr>
        <xdr:cNvPr id="17" name="Picture 16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2588" y="83774440"/>
          <a:ext cx="1165678" cy="386872"/>
        </a:xfrm>
        <a:prstGeom prst="rect">
          <a:avLst/>
        </a:prstGeom>
      </xdr:spPr>
    </xdr:pic>
    <xdr:clientData/>
  </xdr:twoCellAnchor>
  <xdr:twoCellAnchor editAs="oneCell">
    <xdr:from>
      <xdr:col>17</xdr:col>
      <xdr:colOff>339607</xdr:colOff>
      <xdr:row>498</xdr:row>
      <xdr:rowOff>49690</xdr:rowOff>
    </xdr:from>
    <xdr:to>
      <xdr:col>21</xdr:col>
      <xdr:colOff>61881</xdr:colOff>
      <xdr:row>500</xdr:row>
      <xdr:rowOff>55562</xdr:rowOff>
    </xdr:to>
    <xdr:pic>
      <xdr:nvPicPr>
        <xdr:cNvPr id="18" name="Picture 17" descr="IMG_20251019_0002-removebg-preview (1)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19878882">
          <a:off x="8362588" y="83774440"/>
          <a:ext cx="1165678" cy="3868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00B0F0"/>
  </sheetPr>
  <dimension ref="A1:O31"/>
  <sheetViews>
    <sheetView topLeftCell="A4" workbookViewId="0">
      <selection activeCell="T22" sqref="T22"/>
    </sheetView>
  </sheetViews>
  <sheetFormatPr defaultRowHeight="15.75"/>
  <cols>
    <col min="1" max="1" width="5.5703125" style="1" bestFit="1" customWidth="1"/>
    <col min="2" max="2" width="11" style="1" bestFit="1" customWidth="1"/>
    <col min="3" max="3" width="21" style="1" customWidth="1"/>
    <col min="4" max="5" width="7.28515625" style="1" customWidth="1"/>
    <col min="6" max="6" width="11.42578125" style="1" customWidth="1"/>
    <col min="7" max="7" width="11.7109375" style="1" customWidth="1"/>
    <col min="8" max="8" width="8.5703125" style="1" customWidth="1"/>
    <col min="9" max="9" width="8.42578125" style="1" customWidth="1"/>
    <col min="10" max="10" width="9.7109375" style="1" customWidth="1"/>
    <col min="11" max="12" width="7.28515625" style="1" customWidth="1"/>
    <col min="13" max="13" width="8" style="1" customWidth="1"/>
    <col min="14" max="14" width="7.42578125" style="1" customWidth="1"/>
    <col min="15" max="15" width="10.5703125" style="1" customWidth="1"/>
    <col min="16" max="16384" width="9.140625" style="1"/>
  </cols>
  <sheetData>
    <row r="1" spans="1:15" ht="48" customHeight="1">
      <c r="A1" s="308" t="s">
        <v>71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</row>
    <row r="2" spans="1:15" ht="21.75" customHeight="1">
      <c r="A2" s="309" t="s">
        <v>282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</row>
    <row r="3" spans="1:15" ht="21" thickBot="1">
      <c r="A3" s="310" t="s">
        <v>247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</row>
    <row r="4" spans="1:15" ht="19.5" customHeight="1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311" t="s">
        <v>430</v>
      </c>
      <c r="N4" s="311"/>
      <c r="O4" s="311"/>
    </row>
    <row r="5" spans="1:15" ht="19.5" customHeight="1">
      <c r="A5" s="312" t="s">
        <v>248</v>
      </c>
      <c r="B5" s="312"/>
      <c r="C5" s="312"/>
      <c r="D5" s="9"/>
      <c r="E5" s="9"/>
      <c r="F5" s="9"/>
      <c r="G5" s="9"/>
      <c r="H5" s="9"/>
      <c r="I5" s="9"/>
      <c r="J5" s="9"/>
      <c r="K5" s="313" t="s">
        <v>281</v>
      </c>
      <c r="L5" s="313"/>
      <c r="M5" s="313"/>
      <c r="N5" s="9"/>
      <c r="O5" s="51"/>
    </row>
    <row r="6" spans="1:15" ht="19.5" customHeight="1">
      <c r="A6" s="293" t="s">
        <v>118</v>
      </c>
      <c r="B6" s="293" t="s">
        <v>188</v>
      </c>
      <c r="C6" s="293" t="s">
        <v>179</v>
      </c>
      <c r="D6" s="293" t="s">
        <v>237</v>
      </c>
      <c r="E6" s="306" t="s">
        <v>218</v>
      </c>
      <c r="F6" s="293" t="s">
        <v>88</v>
      </c>
      <c r="G6" s="293" t="s">
        <v>189</v>
      </c>
      <c r="H6" s="299" t="s">
        <v>155</v>
      </c>
      <c r="I6" s="300"/>
      <c r="J6" s="301"/>
      <c r="K6" s="293" t="s">
        <v>280</v>
      </c>
      <c r="L6" s="293"/>
      <c r="M6" s="293"/>
      <c r="N6" s="69"/>
      <c r="O6" s="293" t="s">
        <v>143</v>
      </c>
    </row>
    <row r="7" spans="1:15" ht="17.25">
      <c r="A7" s="293"/>
      <c r="B7" s="293"/>
      <c r="C7" s="293"/>
      <c r="D7" s="293"/>
      <c r="E7" s="307"/>
      <c r="F7" s="293"/>
      <c r="G7" s="293"/>
      <c r="H7" s="157" t="s">
        <v>344</v>
      </c>
      <c r="I7" s="157" t="s">
        <v>345</v>
      </c>
      <c r="J7" s="130" t="s">
        <v>235</v>
      </c>
      <c r="K7" s="68" t="s">
        <v>252</v>
      </c>
      <c r="L7" s="68" t="s">
        <v>251</v>
      </c>
      <c r="M7" s="68" t="s">
        <v>250</v>
      </c>
      <c r="N7" s="68" t="s">
        <v>236</v>
      </c>
      <c r="O7" s="293"/>
    </row>
    <row r="8" spans="1:15" ht="17.25">
      <c r="A8" s="302">
        <v>1</v>
      </c>
      <c r="B8" s="304" t="s">
        <v>227</v>
      </c>
      <c r="C8" s="302">
        <v>123</v>
      </c>
      <c r="D8" s="140" t="s">
        <v>161</v>
      </c>
      <c r="E8" s="140">
        <f>'MSPL-2 (Class)'!M7</f>
        <v>192</v>
      </c>
      <c r="F8" s="140">
        <f>'MSPL-2 (Class)'!K7</f>
        <v>66398</v>
      </c>
      <c r="G8" s="140">
        <f>'MSPL-2 (Class)'!R7</f>
        <v>713778.5</v>
      </c>
      <c r="H8" s="140">
        <f>'MSPL-2 (Class)'!AD7</f>
        <v>1427.557</v>
      </c>
      <c r="I8" s="140"/>
      <c r="J8" s="140">
        <f>'MSPL-2 (Class)'!AD7</f>
        <v>1427.557</v>
      </c>
      <c r="K8" s="141"/>
      <c r="L8" s="141"/>
      <c r="M8" s="140">
        <f>J8/50</f>
        <v>28.55114</v>
      </c>
      <c r="N8" s="140"/>
      <c r="O8" s="49"/>
    </row>
    <row r="9" spans="1:15" ht="17.25">
      <c r="A9" s="303"/>
      <c r="B9" s="305"/>
      <c r="C9" s="303"/>
      <c r="D9" s="140" t="s">
        <v>162</v>
      </c>
      <c r="E9" s="140">
        <f>'MSPL-2 (Class)'!M8</f>
        <v>18</v>
      </c>
      <c r="F9" s="140">
        <f>'MSPL-2 (Class)'!K8</f>
        <v>66398</v>
      </c>
      <c r="G9" s="140">
        <f>'MSPL-2 (Class)'!R8</f>
        <v>564383</v>
      </c>
      <c r="H9" s="140"/>
      <c r="I9" s="140">
        <f>'MSPL-2 (Class)'!AD8</f>
        <v>1128.7660000000001</v>
      </c>
      <c r="J9" s="140">
        <f>'MSPL-2 (Class)'!AD8</f>
        <v>1128.7660000000001</v>
      </c>
      <c r="K9" s="141"/>
      <c r="L9" s="140">
        <f>J9/65</f>
        <v>17.365630769230769</v>
      </c>
      <c r="M9" s="141"/>
      <c r="N9" s="140"/>
      <c r="O9" s="49"/>
    </row>
    <row r="10" spans="1:15" ht="17.25">
      <c r="A10" s="36">
        <v>2</v>
      </c>
      <c r="B10" s="72" t="s">
        <v>228</v>
      </c>
      <c r="C10" s="50">
        <v>329338347375401</v>
      </c>
      <c r="D10" s="142" t="s">
        <v>239</v>
      </c>
      <c r="E10" s="142">
        <f>'MSPL-2 (Class)'!M70</f>
        <v>4856</v>
      </c>
      <c r="F10" s="140">
        <f>'MSPL-2 (Class)'!K70</f>
        <v>4031896</v>
      </c>
      <c r="G10" s="140">
        <f>'MSPL-2 (Class)'!R70</f>
        <v>31161630.75</v>
      </c>
      <c r="H10" s="140">
        <f>'MSPL-2 (Class)'!AD70</f>
        <v>62323.261499999993</v>
      </c>
      <c r="I10" s="140"/>
      <c r="J10" s="140">
        <f>'MSPL-2 (Class)'!AD70</f>
        <v>62323.261499999993</v>
      </c>
      <c r="K10" s="141"/>
      <c r="L10" s="140">
        <f>J10/65</f>
        <v>958.81940769230755</v>
      </c>
      <c r="M10" s="141"/>
      <c r="N10" s="140"/>
      <c r="O10" s="49"/>
    </row>
    <row r="11" spans="1:15" ht="17.25">
      <c r="A11" s="36">
        <v>3</v>
      </c>
      <c r="B11" s="72" t="s">
        <v>195</v>
      </c>
      <c r="C11" s="50">
        <v>706708757759762</v>
      </c>
      <c r="D11" s="142" t="s">
        <v>239</v>
      </c>
      <c r="E11" s="142">
        <f>'MSPL-2 (Class)'!M102</f>
        <v>792</v>
      </c>
      <c r="F11" s="140">
        <f>'MSPL-2 (Class)'!K102</f>
        <v>2188607</v>
      </c>
      <c r="G11" s="140">
        <f>'MSPL-2 (Class)'!R102</f>
        <v>9928182.25</v>
      </c>
      <c r="H11" s="140">
        <f>'MSPL-2 (Class)'!AD89</f>
        <v>1873.761</v>
      </c>
      <c r="I11" s="140">
        <f>'MSPL-2 (Class)'!AD80+'MSPL-2 (Class)'!AD81+'MSPL-2 (Class)'!AD82+'MSPL-2 (Class)'!AD83+'MSPL-2 (Class)'!AD84+'MSPL-2 (Class)'!AD85+'MSPL-2 (Class)'!AD86+'MSPL-2 (Class)'!AD87+'MSPL-2 (Class)'!AD88+'MSPL-2 (Class)'!AD90+'MSPL-2 (Class)'!AD91+'MSPL-2 (Class)'!AD92+'MSPL-2 (Class)'!AD93+'MSPL-2 (Class)'!AD94+'MSPL-2 (Class)'!AD95+'MSPL-2 (Class)'!AD96+'MSPL-2 (Class)'!AD97+'MSPL-2 (Class)'!AD98+'MSPL-2 (Class)'!AD99+'MSPL-2 (Class)'!AD100+'MSPL-2 (Class)'!AD101</f>
        <v>32960.486500000006</v>
      </c>
      <c r="J11" s="140">
        <f>'MSPL-2 (Class)'!AD102</f>
        <v>34834.247500000012</v>
      </c>
      <c r="K11" s="140">
        <f>J11/75</f>
        <v>464.45663333333351</v>
      </c>
      <c r="L11" s="141"/>
      <c r="M11" s="141"/>
      <c r="N11" s="140"/>
      <c r="O11" s="49"/>
    </row>
    <row r="12" spans="1:15" ht="17.25">
      <c r="A12" s="36">
        <v>4</v>
      </c>
      <c r="B12" s="72" t="s">
        <v>229</v>
      </c>
      <c r="C12" s="50">
        <v>926938953963</v>
      </c>
      <c r="D12" s="142" t="s">
        <v>240</v>
      </c>
      <c r="E12" s="142">
        <f>'MSPL-2 (Class)'!M131</f>
        <v>752</v>
      </c>
      <c r="F12" s="140">
        <f>'MSPL-2 (Class)'!K131</f>
        <v>1246343</v>
      </c>
      <c r="G12" s="140">
        <f>'MSPL-2 (Class)'!R131</f>
        <v>9731784.75</v>
      </c>
      <c r="H12" s="140"/>
      <c r="I12" s="140">
        <f>'MSPL-2 (Class)'!AD131</f>
        <v>37139.7595</v>
      </c>
      <c r="J12" s="140">
        <f>'MSPL-2 (Class)'!AD131</f>
        <v>37139.7595</v>
      </c>
      <c r="K12" s="140">
        <f t="shared" ref="K12:K14" si="0">J12/75</f>
        <v>495.19679333333335</v>
      </c>
      <c r="L12" s="141"/>
      <c r="M12" s="141"/>
      <c r="N12" s="140"/>
      <c r="O12" s="49"/>
    </row>
    <row r="13" spans="1:15" ht="17.25">
      <c r="A13" s="36">
        <v>5</v>
      </c>
      <c r="B13" s="72" t="s">
        <v>230</v>
      </c>
      <c r="C13" s="36">
        <v>1122</v>
      </c>
      <c r="D13" s="140" t="s">
        <v>238</v>
      </c>
      <c r="E13" s="140">
        <f>'MSPL-2 (Class)'!M159</f>
        <v>1400</v>
      </c>
      <c r="F13" s="140">
        <f>'MSPL-2 (Class)'!K159</f>
        <v>295274</v>
      </c>
      <c r="G13" s="140">
        <f>'MSPL-2 (Class)'!R159</f>
        <v>4708344.5</v>
      </c>
      <c r="H13" s="140">
        <f>'MSPL-2 (Class)'!AD159</f>
        <v>9416.6890000000003</v>
      </c>
      <c r="I13" s="140"/>
      <c r="J13" s="140">
        <f>'MSPL-2 (Class)'!AD159</f>
        <v>9416.6890000000003</v>
      </c>
      <c r="K13" s="140">
        <f t="shared" si="0"/>
        <v>125.55585333333333</v>
      </c>
      <c r="L13" s="141"/>
      <c r="M13" s="141"/>
      <c r="N13" s="140"/>
      <c r="O13" s="49"/>
    </row>
    <row r="14" spans="1:15" ht="17.25">
      <c r="A14" s="36">
        <v>6</v>
      </c>
      <c r="B14" s="72" t="s">
        <v>231</v>
      </c>
      <c r="C14" s="36">
        <v>1055</v>
      </c>
      <c r="D14" s="140" t="s">
        <v>238</v>
      </c>
      <c r="E14" s="140">
        <f>'MSPL-2 (Class)'!M206</f>
        <v>578</v>
      </c>
      <c r="F14" s="140">
        <f>'MSPL-2 (Class)'!K206</f>
        <v>287460</v>
      </c>
      <c r="G14" s="140">
        <f>'MSPL-2 (Class)'!R206</f>
        <v>2363805</v>
      </c>
      <c r="H14" s="140"/>
      <c r="I14" s="140">
        <f>'MSPL-2 (Class)'!AD206</f>
        <v>8915.7299999999977</v>
      </c>
      <c r="J14" s="140">
        <f>'MSPL-2 (Class)'!AD206</f>
        <v>8915.7299999999977</v>
      </c>
      <c r="K14" s="140">
        <f t="shared" si="0"/>
        <v>118.87639999999998</v>
      </c>
      <c r="L14" s="141"/>
      <c r="M14" s="141"/>
      <c r="N14" s="140"/>
      <c r="O14" s="49"/>
    </row>
    <row r="15" spans="1:15" ht="17.25">
      <c r="A15" s="295" t="s">
        <v>67</v>
      </c>
      <c r="B15" s="296"/>
      <c r="C15" s="297"/>
      <c r="D15" s="141" t="s">
        <v>241</v>
      </c>
      <c r="E15" s="141">
        <f>SUM(E8:E14)</f>
        <v>8588</v>
      </c>
      <c r="F15" s="141">
        <f>SUM(F8:F14)</f>
        <v>8182376</v>
      </c>
      <c r="G15" s="141">
        <f t="shared" ref="G15:O15" si="1">SUM(G8:G14)</f>
        <v>59171908.75</v>
      </c>
      <c r="H15" s="141">
        <f>SUM(H8:H14)</f>
        <v>75041.268499999991</v>
      </c>
      <c r="I15" s="141">
        <f>SUM(I8:I14)</f>
        <v>80144.742000000013</v>
      </c>
      <c r="J15" s="141">
        <f t="shared" si="1"/>
        <v>155186.01050000003</v>
      </c>
      <c r="K15" s="141">
        <f>SUM(K8:K14)</f>
        <v>1204.0856800000001</v>
      </c>
      <c r="L15" s="141">
        <f>SUM(L8:L14)</f>
        <v>976.18503846153828</v>
      </c>
      <c r="M15" s="141">
        <f>SUM(M8:M14)</f>
        <v>28.55114</v>
      </c>
      <c r="N15" s="141">
        <f t="shared" si="1"/>
        <v>0</v>
      </c>
      <c r="O15" s="56">
        <f t="shared" si="1"/>
        <v>0</v>
      </c>
    </row>
    <row r="16" spans="1:15" ht="7.5" customHeight="1">
      <c r="A16" s="9"/>
      <c r="B16" s="9"/>
      <c r="C16" s="52"/>
      <c r="D16" s="52"/>
      <c r="E16" s="52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ht="20.25">
      <c r="A17" s="298" t="s">
        <v>249</v>
      </c>
      <c r="B17" s="298"/>
      <c r="C17" s="298"/>
      <c r="D17" s="52"/>
      <c r="E17" s="52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19.5" customHeight="1">
      <c r="A18" s="293" t="s">
        <v>118</v>
      </c>
      <c r="B18" s="293" t="s">
        <v>188</v>
      </c>
      <c r="C18" s="293" t="s">
        <v>179</v>
      </c>
      <c r="D18" s="293" t="s">
        <v>237</v>
      </c>
      <c r="E18" s="157"/>
      <c r="F18" s="293" t="s">
        <v>88</v>
      </c>
      <c r="G18" s="293" t="s">
        <v>189</v>
      </c>
      <c r="H18" s="157"/>
      <c r="I18" s="157"/>
      <c r="J18" s="293" t="s">
        <v>235</v>
      </c>
      <c r="K18" s="293" t="s">
        <v>280</v>
      </c>
      <c r="L18" s="293"/>
      <c r="M18" s="293"/>
      <c r="N18" s="69"/>
      <c r="O18" s="293" t="s">
        <v>143</v>
      </c>
    </row>
    <row r="19" spans="1:15" ht="17.25">
      <c r="A19" s="293"/>
      <c r="B19" s="293"/>
      <c r="C19" s="293"/>
      <c r="D19" s="293"/>
      <c r="E19" s="157"/>
      <c r="F19" s="293"/>
      <c r="G19" s="293"/>
      <c r="H19" s="157"/>
      <c r="I19" s="157"/>
      <c r="J19" s="293"/>
      <c r="K19" s="68" t="s">
        <v>252</v>
      </c>
      <c r="L19" s="68" t="s">
        <v>251</v>
      </c>
      <c r="M19" s="68" t="s">
        <v>250</v>
      </c>
      <c r="N19" s="68" t="s">
        <v>236</v>
      </c>
      <c r="O19" s="293"/>
    </row>
    <row r="20" spans="1:15" ht="17.25">
      <c r="A20" s="37">
        <v>1</v>
      </c>
      <c r="B20" s="53" t="s">
        <v>228</v>
      </c>
      <c r="C20" s="54">
        <v>376379</v>
      </c>
      <c r="D20" s="54" t="s">
        <v>242</v>
      </c>
      <c r="E20" s="54"/>
      <c r="F20" s="53">
        <f>'MSPL-3(Class)'!L34</f>
        <v>1396833</v>
      </c>
      <c r="G20" s="53">
        <f>'MSPL-3(Class)'!N34</f>
        <v>10754081</v>
      </c>
      <c r="H20" s="53"/>
      <c r="I20" s="53"/>
      <c r="J20" s="53">
        <f>'MSPL-3(Class)'!Z34</f>
        <v>21508.162</v>
      </c>
      <c r="K20" s="56"/>
      <c r="L20" s="53">
        <f>J20/65</f>
        <v>330.89480000000003</v>
      </c>
      <c r="M20" s="56"/>
      <c r="N20" s="53"/>
      <c r="O20" s="53"/>
    </row>
    <row r="21" spans="1:15" ht="17.25">
      <c r="A21" s="37">
        <v>2</v>
      </c>
      <c r="B21" s="53" t="s">
        <v>232</v>
      </c>
      <c r="C21" s="37">
        <v>2022</v>
      </c>
      <c r="D21" s="37" t="s">
        <v>238</v>
      </c>
      <c r="E21" s="37"/>
      <c r="F21" s="53">
        <f>'MSPL-3(Class)'!L64</f>
        <v>862368</v>
      </c>
      <c r="G21" s="53">
        <f>'MSPL-3(Class)'!N64</f>
        <v>4873221.75</v>
      </c>
      <c r="H21" s="53"/>
      <c r="I21" s="53"/>
      <c r="J21" s="53">
        <f>'MSPL-3(Class)'!Z64</f>
        <v>9746.4435000000012</v>
      </c>
      <c r="K21" s="56"/>
      <c r="L21" s="53">
        <f>J21/65</f>
        <v>149.94528461538462</v>
      </c>
      <c r="M21" s="56"/>
      <c r="N21" s="53"/>
      <c r="O21" s="53"/>
    </row>
    <row r="22" spans="1:15" ht="17.25">
      <c r="A22" s="37">
        <v>3</v>
      </c>
      <c r="B22" s="53" t="s">
        <v>283</v>
      </c>
      <c r="C22" s="37">
        <v>646</v>
      </c>
      <c r="D22" s="37" t="s">
        <v>238</v>
      </c>
      <c r="E22" s="37"/>
      <c r="F22" s="53">
        <f>'MSPL-3(Class)'!L102</f>
        <v>407322</v>
      </c>
      <c r="G22" s="53">
        <f>'MSPL-3(Class)'!N102</f>
        <v>1567424.75</v>
      </c>
      <c r="H22" s="53"/>
      <c r="I22" s="53"/>
      <c r="J22" s="53">
        <f>'MSPL-3(Class)'!Z102</f>
        <v>5418.2295000000004</v>
      </c>
      <c r="K22" s="53">
        <f>J22/75</f>
        <v>72.24306</v>
      </c>
      <c r="L22" s="56"/>
      <c r="M22" s="56"/>
      <c r="N22" s="53"/>
      <c r="O22" s="53"/>
    </row>
    <row r="23" spans="1:15" ht="17.25">
      <c r="A23" s="37">
        <v>4</v>
      </c>
      <c r="B23" s="53" t="s">
        <v>233</v>
      </c>
      <c r="C23" s="37">
        <v>667</v>
      </c>
      <c r="D23" s="37" t="s">
        <v>238</v>
      </c>
      <c r="E23" s="37"/>
      <c r="F23" s="53">
        <f>'MSPL-3(Class)'!L133</f>
        <v>693254</v>
      </c>
      <c r="G23" s="53">
        <f>'MSPL-3(Class)'!N133</f>
        <v>2768978.5</v>
      </c>
      <c r="H23" s="53"/>
      <c r="I23" s="53"/>
      <c r="J23" s="53">
        <f>'MSPL-3(Class)'!Z133</f>
        <v>10012.572999999997</v>
      </c>
      <c r="K23" s="53">
        <f>J23/75</f>
        <v>133.50097333333329</v>
      </c>
      <c r="L23" s="56"/>
      <c r="M23" s="56"/>
      <c r="N23" s="53"/>
      <c r="O23" s="53"/>
    </row>
    <row r="24" spans="1:15" ht="17.25">
      <c r="A24" s="37">
        <v>5</v>
      </c>
      <c r="B24" s="53" t="s">
        <v>284</v>
      </c>
      <c r="C24" s="54" t="s">
        <v>234</v>
      </c>
      <c r="D24" s="54" t="s">
        <v>243</v>
      </c>
      <c r="E24" s="54"/>
      <c r="F24" s="53">
        <f>'MSPL-3(Class)'!L177</f>
        <v>2933769</v>
      </c>
      <c r="G24" s="53">
        <f>'MSPL-3(Class)'!N177</f>
        <v>14405581</v>
      </c>
      <c r="H24" s="53"/>
      <c r="I24" s="53"/>
      <c r="J24" s="53">
        <f>'MSPL-3(Class)'!Z177</f>
        <v>53170.316000000013</v>
      </c>
      <c r="K24" s="53">
        <f>J24/75</f>
        <v>708.93754666666689</v>
      </c>
      <c r="L24" s="56"/>
      <c r="M24" s="56"/>
      <c r="N24" s="53"/>
      <c r="O24" s="53"/>
    </row>
    <row r="25" spans="1:15" ht="17.25">
      <c r="A25" s="294" t="s">
        <v>67</v>
      </c>
      <c r="B25" s="294"/>
      <c r="C25" s="158"/>
      <c r="D25" s="158" t="s">
        <v>244</v>
      </c>
      <c r="E25" s="158"/>
      <c r="F25" s="56">
        <f>SUM(F20:F24)</f>
        <v>6293546</v>
      </c>
      <c r="G25" s="56">
        <f t="shared" ref="G25:O25" si="2">SUM(G20:G24)</f>
        <v>34369287</v>
      </c>
      <c r="H25" s="56"/>
      <c r="I25" s="56"/>
      <c r="J25" s="56">
        <f t="shared" si="2"/>
        <v>99855.724000000017</v>
      </c>
      <c r="K25" s="56">
        <f t="shared" si="2"/>
        <v>914.68158000000017</v>
      </c>
      <c r="L25" s="56">
        <f t="shared" si="2"/>
        <v>480.84008461538463</v>
      </c>
      <c r="M25" s="56">
        <f t="shared" si="2"/>
        <v>0</v>
      </c>
      <c r="N25" s="56">
        <f t="shared" si="2"/>
        <v>0</v>
      </c>
      <c r="O25" s="56">
        <f t="shared" si="2"/>
        <v>0</v>
      </c>
    </row>
    <row r="26" spans="1:15" ht="10.5" customHeight="1" thickBo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</row>
    <row r="27" spans="1:15" ht="18" thickBot="1">
      <c r="A27" s="291" t="s">
        <v>246</v>
      </c>
      <c r="B27" s="292"/>
      <c r="C27" s="292"/>
      <c r="D27" s="159" t="s">
        <v>245</v>
      </c>
      <c r="E27" s="159"/>
      <c r="F27" s="70">
        <f>F25+F15</f>
        <v>14475922</v>
      </c>
      <c r="G27" s="70">
        <f t="shared" ref="G27:O27" si="3">G25+G15</f>
        <v>93541195.75</v>
      </c>
      <c r="H27" s="70"/>
      <c r="I27" s="70"/>
      <c r="J27" s="70">
        <f t="shared" si="3"/>
        <v>255041.73450000005</v>
      </c>
      <c r="K27" s="70">
        <f t="shared" si="3"/>
        <v>2118.7672600000005</v>
      </c>
      <c r="L27" s="70">
        <f t="shared" si="3"/>
        <v>1457.0251230769229</v>
      </c>
      <c r="M27" s="70">
        <f t="shared" si="3"/>
        <v>28.55114</v>
      </c>
      <c r="N27" s="70">
        <f t="shared" si="3"/>
        <v>0</v>
      </c>
      <c r="O27" s="71">
        <f t="shared" si="3"/>
        <v>0</v>
      </c>
    </row>
    <row r="28" spans="1:1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</row>
    <row r="29" spans="1:1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</row>
    <row r="30" spans="1:1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</row>
    <row r="31" spans="1:1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</row>
  </sheetData>
  <mergeCells count="32">
    <mergeCell ref="A1:O1"/>
    <mergeCell ref="A2:O2"/>
    <mergeCell ref="A3:O3"/>
    <mergeCell ref="M4:O4"/>
    <mergeCell ref="A5:C5"/>
    <mergeCell ref="K5:M5"/>
    <mergeCell ref="G6:G7"/>
    <mergeCell ref="H6:J6"/>
    <mergeCell ref="K6:M6"/>
    <mergeCell ref="O6:O7"/>
    <mergeCell ref="A8:A9"/>
    <mergeCell ref="B8:B9"/>
    <mergeCell ref="C8:C9"/>
    <mergeCell ref="A6:A7"/>
    <mergeCell ref="B6:B7"/>
    <mergeCell ref="C6:C7"/>
    <mergeCell ref="D6:D7"/>
    <mergeCell ref="E6:E7"/>
    <mergeCell ref="F6:F7"/>
    <mergeCell ref="O18:O19"/>
    <mergeCell ref="A25:B25"/>
    <mergeCell ref="A15:C15"/>
    <mergeCell ref="A17:C17"/>
    <mergeCell ref="A18:A19"/>
    <mergeCell ref="B18:B19"/>
    <mergeCell ref="C18:C19"/>
    <mergeCell ref="D18:D19"/>
    <mergeCell ref="A27:C27"/>
    <mergeCell ref="F18:F19"/>
    <mergeCell ref="G18:G19"/>
    <mergeCell ref="J18:J19"/>
    <mergeCell ref="K18:M18"/>
  </mergeCells>
  <pageMargins left="0.25" right="0.25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0B0F0"/>
  </sheetPr>
  <dimension ref="A1:S31"/>
  <sheetViews>
    <sheetView topLeftCell="A10" zoomScaleNormal="100" workbookViewId="0">
      <selection activeCell="S23" sqref="S23"/>
    </sheetView>
  </sheetViews>
  <sheetFormatPr defaultRowHeight="15.75"/>
  <cols>
    <col min="1" max="1" width="2.7109375" style="1" customWidth="1"/>
    <col min="2" max="2" width="9.42578125" style="1" bestFit="1" customWidth="1"/>
    <col min="3" max="3" width="10.42578125" style="1" customWidth="1"/>
    <col min="4" max="4" width="6.7109375" style="1" customWidth="1"/>
    <col min="5" max="8" width="8.7109375" style="1" customWidth="1"/>
    <col min="9" max="9" width="8" style="1" customWidth="1"/>
    <col min="10" max="10" width="8.7109375" style="1" customWidth="1"/>
    <col min="11" max="11" width="8.42578125" style="1" customWidth="1"/>
    <col min="12" max="12" width="8.7109375" style="1" customWidth="1"/>
    <col min="13" max="13" width="8" style="1" customWidth="1"/>
    <col min="14" max="15" width="8.7109375" style="1" customWidth="1"/>
    <col min="16" max="16" width="3.7109375" style="1" customWidth="1"/>
    <col min="17" max="17" width="4" style="1" customWidth="1"/>
    <col min="18" max="18" width="3.7109375" style="1" customWidth="1"/>
    <col min="19" max="19" width="7.7109375" style="1" customWidth="1"/>
    <col min="20" max="16384" width="9.140625" style="1"/>
  </cols>
  <sheetData>
    <row r="1" spans="1:19" ht="48" customHeight="1">
      <c r="A1" s="308" t="s">
        <v>71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</row>
    <row r="2" spans="1:19" ht="21.75" customHeight="1">
      <c r="A2" s="309" t="s">
        <v>282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</row>
    <row r="3" spans="1:19" ht="21" thickBot="1">
      <c r="A3" s="310" t="s">
        <v>247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</row>
    <row r="4" spans="1:19" ht="6.75" customHeight="1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</row>
    <row r="5" spans="1:19" ht="19.5" customHeight="1">
      <c r="A5" s="315" t="s">
        <v>248</v>
      </c>
      <c r="B5" s="316"/>
      <c r="C5" s="316"/>
      <c r="D5" s="316"/>
      <c r="E5" s="316"/>
      <c r="F5" s="316"/>
      <c r="G5" s="198"/>
      <c r="H5" s="198"/>
      <c r="I5" s="198"/>
      <c r="J5" s="198"/>
      <c r="K5" s="198"/>
      <c r="L5" s="198"/>
      <c r="M5" s="198"/>
      <c r="N5" s="198"/>
      <c r="O5" s="317" t="s">
        <v>430</v>
      </c>
      <c r="P5" s="317"/>
      <c r="Q5" s="317"/>
      <c r="R5" s="317"/>
      <c r="S5" s="317"/>
    </row>
    <row r="6" spans="1:19" ht="15.75" customHeight="1">
      <c r="A6" s="314" t="s">
        <v>459</v>
      </c>
      <c r="B6" s="314" t="s">
        <v>188</v>
      </c>
      <c r="C6" s="314" t="s">
        <v>179</v>
      </c>
      <c r="D6" s="314" t="s">
        <v>237</v>
      </c>
      <c r="E6" s="314" t="s">
        <v>88</v>
      </c>
      <c r="F6" s="314" t="s">
        <v>454</v>
      </c>
      <c r="G6" s="314"/>
      <c r="H6" s="314"/>
      <c r="I6" s="314" t="s">
        <v>453</v>
      </c>
      <c r="J6" s="314"/>
      <c r="K6" s="314" t="s">
        <v>86</v>
      </c>
      <c r="L6" s="314"/>
      <c r="M6" s="314" t="s">
        <v>25</v>
      </c>
      <c r="N6" s="314"/>
      <c r="O6" s="314" t="s">
        <v>87</v>
      </c>
      <c r="P6" s="314" t="s">
        <v>456</v>
      </c>
      <c r="Q6" s="314"/>
      <c r="R6" s="314"/>
      <c r="S6" s="318" t="s">
        <v>458</v>
      </c>
    </row>
    <row r="7" spans="1:19" ht="24.75" customHeight="1">
      <c r="A7" s="314"/>
      <c r="B7" s="314"/>
      <c r="C7" s="314"/>
      <c r="D7" s="314"/>
      <c r="E7" s="314"/>
      <c r="F7" s="196" t="s">
        <v>189</v>
      </c>
      <c r="G7" s="195" t="s">
        <v>85</v>
      </c>
      <c r="H7" s="195" t="s">
        <v>457</v>
      </c>
      <c r="I7" s="195" t="s">
        <v>453</v>
      </c>
      <c r="J7" s="195" t="s">
        <v>70</v>
      </c>
      <c r="K7" s="195" t="s">
        <v>86</v>
      </c>
      <c r="L7" s="195" t="s">
        <v>70</v>
      </c>
      <c r="M7" s="195" t="s">
        <v>25</v>
      </c>
      <c r="N7" s="195" t="s">
        <v>70</v>
      </c>
      <c r="O7" s="314"/>
      <c r="P7" s="219" t="s">
        <v>85</v>
      </c>
      <c r="Q7" s="219" t="s">
        <v>86</v>
      </c>
      <c r="R7" s="219" t="s">
        <v>25</v>
      </c>
      <c r="S7" s="318"/>
    </row>
    <row r="8" spans="1:19">
      <c r="A8" s="327">
        <v>1</v>
      </c>
      <c r="B8" s="329" t="s">
        <v>227</v>
      </c>
      <c r="C8" s="331">
        <v>123</v>
      </c>
      <c r="D8" s="19" t="s">
        <v>161</v>
      </c>
      <c r="E8" s="19">
        <f>'MSPL-2 (Class)'!K7</f>
        <v>66398</v>
      </c>
      <c r="F8" s="19">
        <f>'MSPL-2 (Class)'!R7</f>
        <v>713778.5</v>
      </c>
      <c r="G8" s="19">
        <f>'Top Sheet-(Class)'!L8</f>
        <v>0</v>
      </c>
      <c r="H8" s="19">
        <f>F8-G8</f>
        <v>713778.5</v>
      </c>
      <c r="I8" s="19">
        <f>'Top Sheet-(Class)'!N8</f>
        <v>0</v>
      </c>
      <c r="J8" s="19">
        <f>E8-I8</f>
        <v>66398</v>
      </c>
      <c r="K8" s="19">
        <f>'Top Sheet-(Class)'!P8</f>
        <v>0</v>
      </c>
      <c r="L8" s="19">
        <f>E8-K8</f>
        <v>66398</v>
      </c>
      <c r="M8" s="19">
        <f>'Top Sheet-(Class)'!R8</f>
        <v>0</v>
      </c>
      <c r="N8" s="19">
        <f>E8-M8</f>
        <v>66398</v>
      </c>
      <c r="O8" s="19">
        <f>K8-M8</f>
        <v>0</v>
      </c>
      <c r="P8" s="19">
        <f>G8/F8%</f>
        <v>0</v>
      </c>
      <c r="Q8" s="19">
        <f>K8/E8%</f>
        <v>0</v>
      </c>
      <c r="R8" s="19">
        <f>M8/E8%</f>
        <v>0</v>
      </c>
      <c r="S8" s="19"/>
    </row>
    <row r="9" spans="1:19">
      <c r="A9" s="328"/>
      <c r="B9" s="330"/>
      <c r="C9" s="332"/>
      <c r="D9" s="19" t="s">
        <v>162</v>
      </c>
      <c r="E9" s="19">
        <f>'MSPL-2 (Class)'!K8</f>
        <v>66398</v>
      </c>
      <c r="F9" s="19">
        <f>'MSPL-2 (Class)'!R8</f>
        <v>564383</v>
      </c>
      <c r="G9" s="19">
        <f>'Top Sheet-(Class)'!L9</f>
        <v>0</v>
      </c>
      <c r="H9" s="19">
        <f t="shared" ref="H9:H14" si="0">F9-G9</f>
        <v>564383</v>
      </c>
      <c r="I9" s="19">
        <f>'Top Sheet-(Class)'!N9</f>
        <v>0</v>
      </c>
      <c r="J9" s="19">
        <f t="shared" ref="J9:J14" si="1">E9-I9</f>
        <v>66398</v>
      </c>
      <c r="K9" s="19">
        <f>'Top Sheet-(Class)'!P9</f>
        <v>0</v>
      </c>
      <c r="L9" s="19">
        <f t="shared" ref="L9:L14" si="2">E9-K9</f>
        <v>66398</v>
      </c>
      <c r="M9" s="19">
        <f>'Top Sheet-(Class)'!R9</f>
        <v>0</v>
      </c>
      <c r="N9" s="19">
        <f t="shared" ref="N9:N14" si="3">E9-M9</f>
        <v>66398</v>
      </c>
      <c r="O9" s="19">
        <f t="shared" ref="O9:O14" si="4">K9-M9</f>
        <v>0</v>
      </c>
      <c r="P9" s="19">
        <f t="shared" ref="P9:P14" si="5">G9/F9%</f>
        <v>0</v>
      </c>
      <c r="Q9" s="19">
        <f t="shared" ref="Q9:Q14" si="6">K9/E9%</f>
        <v>0</v>
      </c>
      <c r="R9" s="19">
        <f t="shared" ref="R9:R14" si="7">M9/E9%</f>
        <v>0</v>
      </c>
      <c r="S9" s="19"/>
    </row>
    <row r="10" spans="1:19" ht="30" customHeight="1">
      <c r="A10" s="19">
        <v>2</v>
      </c>
      <c r="B10" s="222" t="s">
        <v>228</v>
      </c>
      <c r="C10" s="220" t="s">
        <v>460</v>
      </c>
      <c r="D10" s="200" t="s">
        <v>239</v>
      </c>
      <c r="E10" s="19">
        <f>'MSPL-2 (Class)'!K70</f>
        <v>4031896</v>
      </c>
      <c r="F10" s="19">
        <f>'MSPL-2 (Class)'!R70</f>
        <v>31161630.75</v>
      </c>
      <c r="G10" s="19">
        <f>'Top Sheet-(Class)'!L10</f>
        <v>0</v>
      </c>
      <c r="H10" s="19">
        <f t="shared" si="0"/>
        <v>31161630.75</v>
      </c>
      <c r="I10" s="19">
        <f>'Top Sheet-(Class)'!N10</f>
        <v>0</v>
      </c>
      <c r="J10" s="19">
        <f t="shared" si="1"/>
        <v>4031896</v>
      </c>
      <c r="K10" s="19">
        <f>'Top Sheet-(Class)'!P10</f>
        <v>0</v>
      </c>
      <c r="L10" s="19">
        <f t="shared" si="2"/>
        <v>4031896</v>
      </c>
      <c r="M10" s="19">
        <f>'Top Sheet-(Class)'!R10</f>
        <v>0</v>
      </c>
      <c r="N10" s="19">
        <f t="shared" si="3"/>
        <v>4031896</v>
      </c>
      <c r="O10" s="19">
        <f t="shared" si="4"/>
        <v>0</v>
      </c>
      <c r="P10" s="19">
        <f t="shared" si="5"/>
        <v>0</v>
      </c>
      <c r="Q10" s="19">
        <f t="shared" si="6"/>
        <v>0</v>
      </c>
      <c r="R10" s="19">
        <f t="shared" si="7"/>
        <v>0</v>
      </c>
      <c r="S10" s="19"/>
    </row>
    <row r="11" spans="1:19" ht="29.25" customHeight="1">
      <c r="A11" s="19">
        <v>3</v>
      </c>
      <c r="B11" s="222" t="s">
        <v>195</v>
      </c>
      <c r="C11" s="220" t="s">
        <v>461</v>
      </c>
      <c r="D11" s="200" t="s">
        <v>239</v>
      </c>
      <c r="E11" s="19">
        <f>'MSPL-2 (Class)'!K102</f>
        <v>2188607</v>
      </c>
      <c r="F11" s="19">
        <f>'MSPL-2 (Class)'!R102</f>
        <v>9928182.25</v>
      </c>
      <c r="G11" s="19">
        <f>'Top Sheet-(Class)'!L11</f>
        <v>0</v>
      </c>
      <c r="H11" s="19">
        <f t="shared" si="0"/>
        <v>9928182.25</v>
      </c>
      <c r="I11" s="19">
        <f>'Top Sheet-(Class)'!N11</f>
        <v>0</v>
      </c>
      <c r="J11" s="19">
        <f t="shared" si="1"/>
        <v>2188607</v>
      </c>
      <c r="K11" s="19">
        <f>'Top Sheet-(Class)'!P11</f>
        <v>0</v>
      </c>
      <c r="L11" s="19">
        <f t="shared" si="2"/>
        <v>2188607</v>
      </c>
      <c r="M11" s="19">
        <f>'Top Sheet-(Class)'!R11</f>
        <v>0</v>
      </c>
      <c r="N11" s="19">
        <f t="shared" si="3"/>
        <v>2188607</v>
      </c>
      <c r="O11" s="19">
        <f t="shared" si="4"/>
        <v>0</v>
      </c>
      <c r="P11" s="19">
        <f t="shared" si="5"/>
        <v>0</v>
      </c>
      <c r="Q11" s="19">
        <f t="shared" si="6"/>
        <v>0</v>
      </c>
      <c r="R11" s="19">
        <f t="shared" si="7"/>
        <v>0</v>
      </c>
      <c r="S11" s="19"/>
    </row>
    <row r="12" spans="1:19" ht="30" customHeight="1">
      <c r="A12" s="19">
        <v>4</v>
      </c>
      <c r="B12" s="222" t="s">
        <v>229</v>
      </c>
      <c r="C12" s="220" t="s">
        <v>462</v>
      </c>
      <c r="D12" s="200" t="s">
        <v>240</v>
      </c>
      <c r="E12" s="19">
        <f>'MSPL-2 (Class)'!K131</f>
        <v>1246343</v>
      </c>
      <c r="F12" s="19">
        <f>'MSPL-2 (Class)'!R131</f>
        <v>9731784.75</v>
      </c>
      <c r="G12" s="19">
        <f>'Top Sheet-(Class)'!L12</f>
        <v>0</v>
      </c>
      <c r="H12" s="19">
        <f t="shared" si="0"/>
        <v>9731784.75</v>
      </c>
      <c r="I12" s="19">
        <f>'Top Sheet-(Class)'!N12</f>
        <v>0</v>
      </c>
      <c r="J12" s="19">
        <f t="shared" si="1"/>
        <v>1246343</v>
      </c>
      <c r="K12" s="19">
        <f>'Top Sheet-(Class)'!P12</f>
        <v>0</v>
      </c>
      <c r="L12" s="19">
        <f t="shared" si="2"/>
        <v>1246343</v>
      </c>
      <c r="M12" s="19">
        <f>'Top Sheet-(Class)'!R12</f>
        <v>0</v>
      </c>
      <c r="N12" s="19">
        <f t="shared" si="3"/>
        <v>1246343</v>
      </c>
      <c r="O12" s="19">
        <f t="shared" si="4"/>
        <v>0</v>
      </c>
      <c r="P12" s="19">
        <f t="shared" si="5"/>
        <v>0</v>
      </c>
      <c r="Q12" s="19">
        <f t="shared" si="6"/>
        <v>0</v>
      </c>
      <c r="R12" s="19">
        <f t="shared" si="7"/>
        <v>0</v>
      </c>
      <c r="S12" s="19"/>
    </row>
    <row r="13" spans="1:19">
      <c r="A13" s="19">
        <v>5</v>
      </c>
      <c r="B13" s="222" t="s">
        <v>230</v>
      </c>
      <c r="C13" s="221">
        <v>1122</v>
      </c>
      <c r="D13" s="19" t="s">
        <v>238</v>
      </c>
      <c r="E13" s="19">
        <f>'MSPL-2 (Class)'!K159</f>
        <v>295274</v>
      </c>
      <c r="F13" s="19">
        <f>'MSPL-2 (Class)'!R159</f>
        <v>4708344.5</v>
      </c>
      <c r="G13" s="19">
        <f>'Top Sheet-(Class)'!L13</f>
        <v>0</v>
      </c>
      <c r="H13" s="19">
        <f t="shared" si="0"/>
        <v>4708344.5</v>
      </c>
      <c r="I13" s="19">
        <f>'Top Sheet-(Class)'!N13</f>
        <v>0</v>
      </c>
      <c r="J13" s="19">
        <f t="shared" si="1"/>
        <v>295274</v>
      </c>
      <c r="K13" s="19">
        <f>'Top Sheet-(Class)'!P13</f>
        <v>0</v>
      </c>
      <c r="L13" s="19">
        <f t="shared" si="2"/>
        <v>295274</v>
      </c>
      <c r="M13" s="19">
        <f>'Top Sheet-(Class)'!R13</f>
        <v>0</v>
      </c>
      <c r="N13" s="19">
        <f t="shared" si="3"/>
        <v>295274</v>
      </c>
      <c r="O13" s="19">
        <f t="shared" si="4"/>
        <v>0</v>
      </c>
      <c r="P13" s="19">
        <f t="shared" si="5"/>
        <v>0</v>
      </c>
      <c r="Q13" s="19">
        <f t="shared" si="6"/>
        <v>0</v>
      </c>
      <c r="R13" s="19">
        <f t="shared" si="7"/>
        <v>0</v>
      </c>
      <c r="S13" s="19"/>
    </row>
    <row r="14" spans="1:19">
      <c r="A14" s="19">
        <v>6</v>
      </c>
      <c r="B14" s="222" t="s">
        <v>231</v>
      </c>
      <c r="C14" s="221">
        <v>1055</v>
      </c>
      <c r="D14" s="19" t="s">
        <v>238</v>
      </c>
      <c r="E14" s="19">
        <f>'MSPL-2 (Class)'!K206</f>
        <v>287460</v>
      </c>
      <c r="F14" s="19">
        <f>'MSPL-2 (Class)'!R206</f>
        <v>2363805</v>
      </c>
      <c r="G14" s="19">
        <f>'Top Sheet-(Class)'!L14</f>
        <v>0</v>
      </c>
      <c r="H14" s="19">
        <f t="shared" si="0"/>
        <v>2363805</v>
      </c>
      <c r="I14" s="19">
        <f>'Top Sheet-(Class)'!N14</f>
        <v>0</v>
      </c>
      <c r="J14" s="19">
        <f t="shared" si="1"/>
        <v>287460</v>
      </c>
      <c r="K14" s="19">
        <f>'Top Sheet-(Class)'!P14</f>
        <v>0</v>
      </c>
      <c r="L14" s="19">
        <f t="shared" si="2"/>
        <v>287460</v>
      </c>
      <c r="M14" s="19">
        <f>'Top Sheet-(Class)'!R14</f>
        <v>0</v>
      </c>
      <c r="N14" s="19">
        <f t="shared" si="3"/>
        <v>287460</v>
      </c>
      <c r="O14" s="19">
        <f t="shared" si="4"/>
        <v>0</v>
      </c>
      <c r="P14" s="19">
        <f t="shared" si="5"/>
        <v>0</v>
      </c>
      <c r="Q14" s="19">
        <f t="shared" si="6"/>
        <v>0</v>
      </c>
      <c r="R14" s="19">
        <f t="shared" si="7"/>
        <v>0</v>
      </c>
      <c r="S14" s="19"/>
    </row>
    <row r="15" spans="1:19">
      <c r="A15" s="322" t="s">
        <v>67</v>
      </c>
      <c r="B15" s="323"/>
      <c r="C15" s="324"/>
      <c r="D15" s="197" t="s">
        <v>241</v>
      </c>
      <c r="E15" s="197">
        <f>SUM(E8:E14)</f>
        <v>8182376</v>
      </c>
      <c r="F15" s="197">
        <f t="shared" ref="F15:S15" si="8">SUM(F8:F14)</f>
        <v>59171908.75</v>
      </c>
      <c r="G15" s="197">
        <f t="shared" si="8"/>
        <v>0</v>
      </c>
      <c r="H15" s="197">
        <f t="shared" si="8"/>
        <v>59171908.75</v>
      </c>
      <c r="I15" s="197">
        <f t="shared" si="8"/>
        <v>0</v>
      </c>
      <c r="J15" s="197">
        <f t="shared" si="8"/>
        <v>8182376</v>
      </c>
      <c r="K15" s="197">
        <f t="shared" si="8"/>
        <v>0</v>
      </c>
      <c r="L15" s="197">
        <f t="shared" si="8"/>
        <v>8182376</v>
      </c>
      <c r="M15" s="197">
        <f t="shared" si="8"/>
        <v>0</v>
      </c>
      <c r="N15" s="197">
        <f t="shared" si="8"/>
        <v>8182376</v>
      </c>
      <c r="O15" s="197">
        <f t="shared" si="8"/>
        <v>0</v>
      </c>
      <c r="P15" s="197">
        <f t="shared" si="8"/>
        <v>0</v>
      </c>
      <c r="Q15" s="197">
        <f t="shared" si="8"/>
        <v>0</v>
      </c>
      <c r="R15" s="197">
        <f t="shared" si="8"/>
        <v>0</v>
      </c>
      <c r="S15" s="197">
        <f t="shared" si="8"/>
        <v>0</v>
      </c>
    </row>
    <row r="16" spans="1:19" ht="7.5" customHeight="1">
      <c r="A16" s="198"/>
      <c r="B16" s="198"/>
      <c r="C16" s="201"/>
      <c r="D16" s="201"/>
      <c r="E16" s="198"/>
      <c r="F16" s="198"/>
      <c r="G16" s="198"/>
      <c r="H16" s="198"/>
      <c r="I16" s="198"/>
      <c r="J16" s="198"/>
      <c r="K16" s="198"/>
      <c r="L16" s="198"/>
      <c r="M16" s="198"/>
      <c r="N16" s="198"/>
      <c r="O16" s="198"/>
      <c r="P16" s="198"/>
      <c r="Q16" s="198"/>
      <c r="R16" s="198"/>
      <c r="S16" s="198"/>
    </row>
    <row r="17" spans="1:19" ht="17.25">
      <c r="A17" s="325" t="s">
        <v>249</v>
      </c>
      <c r="B17" s="326"/>
      <c r="C17" s="326"/>
      <c r="D17" s="326"/>
      <c r="E17" s="326"/>
      <c r="F17" s="326"/>
      <c r="G17" s="198"/>
      <c r="H17" s="198"/>
      <c r="I17" s="198"/>
      <c r="J17" s="198"/>
      <c r="K17" s="198"/>
      <c r="L17" s="198"/>
      <c r="M17" s="198"/>
      <c r="N17" s="198"/>
      <c r="O17" s="198"/>
      <c r="P17" s="198"/>
      <c r="Q17" s="198"/>
      <c r="R17" s="198"/>
      <c r="S17" s="198"/>
    </row>
    <row r="18" spans="1:19" ht="17.25" customHeight="1">
      <c r="A18" s="314" t="s">
        <v>459</v>
      </c>
      <c r="B18" s="314" t="s">
        <v>188</v>
      </c>
      <c r="C18" s="314" t="s">
        <v>179</v>
      </c>
      <c r="D18" s="314" t="s">
        <v>237</v>
      </c>
      <c r="E18" s="314" t="s">
        <v>88</v>
      </c>
      <c r="F18" s="314" t="s">
        <v>454</v>
      </c>
      <c r="G18" s="314"/>
      <c r="H18" s="314"/>
      <c r="I18" s="314" t="s">
        <v>453</v>
      </c>
      <c r="J18" s="314"/>
      <c r="K18" s="314" t="s">
        <v>86</v>
      </c>
      <c r="L18" s="314"/>
      <c r="M18" s="314" t="s">
        <v>25</v>
      </c>
      <c r="N18" s="314"/>
      <c r="O18" s="314" t="s">
        <v>87</v>
      </c>
      <c r="P18" s="314" t="s">
        <v>456</v>
      </c>
      <c r="Q18" s="314"/>
      <c r="R18" s="314"/>
      <c r="S18" s="318" t="s">
        <v>458</v>
      </c>
    </row>
    <row r="19" spans="1:19" ht="24.75" customHeight="1">
      <c r="A19" s="314"/>
      <c r="B19" s="314"/>
      <c r="C19" s="314"/>
      <c r="D19" s="314"/>
      <c r="E19" s="314"/>
      <c r="F19" s="196" t="s">
        <v>189</v>
      </c>
      <c r="G19" s="195" t="s">
        <v>85</v>
      </c>
      <c r="H19" s="195" t="s">
        <v>457</v>
      </c>
      <c r="I19" s="195" t="s">
        <v>453</v>
      </c>
      <c r="J19" s="195" t="s">
        <v>70</v>
      </c>
      <c r="K19" s="195" t="s">
        <v>86</v>
      </c>
      <c r="L19" s="195" t="s">
        <v>70</v>
      </c>
      <c r="M19" s="195" t="s">
        <v>25</v>
      </c>
      <c r="N19" s="195" t="s">
        <v>70</v>
      </c>
      <c r="O19" s="314"/>
      <c r="P19" s="219" t="s">
        <v>85</v>
      </c>
      <c r="Q19" s="219" t="s">
        <v>86</v>
      </c>
      <c r="R19" s="219" t="s">
        <v>25</v>
      </c>
      <c r="S19" s="318"/>
    </row>
    <row r="20" spans="1:19">
      <c r="A20" s="12">
        <v>1</v>
      </c>
      <c r="B20" s="225" t="s">
        <v>228</v>
      </c>
      <c r="C20" s="223">
        <v>376379</v>
      </c>
      <c r="D20" s="223" t="s">
        <v>242</v>
      </c>
      <c r="E20" s="12">
        <f>'MSPL-3(Class)'!L34</f>
        <v>1396833</v>
      </c>
      <c r="F20" s="12">
        <f>'MSPL-3(Class)'!N34</f>
        <v>10754081</v>
      </c>
      <c r="G20" s="12">
        <f>'Top Sheet-(Class)'!L20</f>
        <v>0</v>
      </c>
      <c r="H20" s="12">
        <f>F20-G20</f>
        <v>10754081</v>
      </c>
      <c r="I20" s="12">
        <f>'Top Sheet-(Class)'!N20</f>
        <v>0</v>
      </c>
      <c r="J20" s="12">
        <f>E20-I20</f>
        <v>1396833</v>
      </c>
      <c r="K20" s="12">
        <f>'Top Sheet-(Class)'!P20</f>
        <v>0</v>
      </c>
      <c r="L20" s="12">
        <f>E20-K20</f>
        <v>1396833</v>
      </c>
      <c r="M20" s="12">
        <f>'Top Sheet-(Class)'!R20</f>
        <v>0</v>
      </c>
      <c r="N20" s="12">
        <f>E20-M20</f>
        <v>1396833</v>
      </c>
      <c r="O20" s="12">
        <f>K20-M20</f>
        <v>0</v>
      </c>
      <c r="P20" s="12">
        <f>G20/F20%</f>
        <v>0</v>
      </c>
      <c r="Q20" s="12">
        <f>K20/E20%</f>
        <v>0</v>
      </c>
      <c r="R20" s="12">
        <f>M20/E20%</f>
        <v>0</v>
      </c>
      <c r="S20" s="12"/>
    </row>
    <row r="21" spans="1:19">
      <c r="A21" s="12">
        <v>2</v>
      </c>
      <c r="B21" s="225" t="s">
        <v>232</v>
      </c>
      <c r="C21" s="12">
        <v>2022</v>
      </c>
      <c r="D21" s="12" t="s">
        <v>238</v>
      </c>
      <c r="E21" s="12">
        <f>'MSPL-3(Class)'!L64</f>
        <v>862368</v>
      </c>
      <c r="F21" s="12">
        <f>'MSPL-3(Class)'!N64</f>
        <v>4873221.75</v>
      </c>
      <c r="G21" s="12">
        <f>'Top Sheet-(Class)'!L21</f>
        <v>0</v>
      </c>
      <c r="H21" s="12">
        <f t="shared" ref="H21:H24" si="9">F21-G21</f>
        <v>4873221.75</v>
      </c>
      <c r="I21" s="12">
        <f>'Top Sheet-(Class)'!N21</f>
        <v>0</v>
      </c>
      <c r="J21" s="12">
        <f t="shared" ref="J21:J24" si="10">E21-I21</f>
        <v>862368</v>
      </c>
      <c r="K21" s="12">
        <f>'Top Sheet-(Class)'!P21</f>
        <v>0</v>
      </c>
      <c r="L21" s="12">
        <f t="shared" ref="L21:L24" si="11">E21-K21</f>
        <v>862368</v>
      </c>
      <c r="M21" s="12">
        <f>'Top Sheet-(Class)'!R21</f>
        <v>0</v>
      </c>
      <c r="N21" s="12">
        <f t="shared" ref="N21:N24" si="12">E21-M21</f>
        <v>862368</v>
      </c>
      <c r="O21" s="12">
        <f t="shared" ref="O21:O24" si="13">K21-M21</f>
        <v>0</v>
      </c>
      <c r="P21" s="12">
        <f t="shared" ref="P21:P24" si="14">G21/F21%</f>
        <v>0</v>
      </c>
      <c r="Q21" s="12">
        <f t="shared" ref="Q21:Q24" si="15">K21/E21%</f>
        <v>0</v>
      </c>
      <c r="R21" s="12">
        <f t="shared" ref="R21:R24" si="16">M21/E21%</f>
        <v>0</v>
      </c>
      <c r="S21" s="12"/>
    </row>
    <row r="22" spans="1:19">
      <c r="A22" s="12">
        <v>3</v>
      </c>
      <c r="B22" s="225" t="s">
        <v>283</v>
      </c>
      <c r="C22" s="12">
        <v>646</v>
      </c>
      <c r="D22" s="12" t="s">
        <v>238</v>
      </c>
      <c r="E22" s="12">
        <f>'MSPL-3(Class)'!L102</f>
        <v>407322</v>
      </c>
      <c r="F22" s="12">
        <f>'MSPL-3(Class)'!N102</f>
        <v>1567424.75</v>
      </c>
      <c r="G22" s="12">
        <f>'Top Sheet-(Class)'!L22</f>
        <v>0</v>
      </c>
      <c r="H22" s="12">
        <f t="shared" si="9"/>
        <v>1567424.75</v>
      </c>
      <c r="I22" s="12">
        <f>'Top Sheet-(Class)'!N22</f>
        <v>0</v>
      </c>
      <c r="J22" s="12">
        <f t="shared" si="10"/>
        <v>407322</v>
      </c>
      <c r="K22" s="12">
        <f>'Top Sheet-(Class)'!P22</f>
        <v>0</v>
      </c>
      <c r="L22" s="12">
        <f t="shared" si="11"/>
        <v>407322</v>
      </c>
      <c r="M22" s="12">
        <f>'Top Sheet-(Class)'!R22</f>
        <v>0</v>
      </c>
      <c r="N22" s="12">
        <f t="shared" si="12"/>
        <v>407322</v>
      </c>
      <c r="O22" s="12">
        <f t="shared" si="13"/>
        <v>0</v>
      </c>
      <c r="P22" s="12">
        <f t="shared" si="14"/>
        <v>0</v>
      </c>
      <c r="Q22" s="12">
        <f t="shared" si="15"/>
        <v>0</v>
      </c>
      <c r="R22" s="12">
        <f t="shared" si="16"/>
        <v>0</v>
      </c>
      <c r="S22" s="12"/>
    </row>
    <row r="23" spans="1:19">
      <c r="A23" s="12">
        <v>4</v>
      </c>
      <c r="B23" s="225" t="s">
        <v>233</v>
      </c>
      <c r="C23" s="12">
        <v>667</v>
      </c>
      <c r="D23" s="12" t="s">
        <v>238</v>
      </c>
      <c r="E23" s="12">
        <f>'MSPL-3(Class)'!L133</f>
        <v>693254</v>
      </c>
      <c r="F23" s="12">
        <f>'MSPL-3(Class)'!N133</f>
        <v>2768978.5</v>
      </c>
      <c r="G23" s="12">
        <f>'Top Sheet-(Class)'!L23</f>
        <v>0</v>
      </c>
      <c r="H23" s="12">
        <f t="shared" si="9"/>
        <v>2768978.5</v>
      </c>
      <c r="I23" s="12">
        <f>'Top Sheet-(Class)'!N23</f>
        <v>0</v>
      </c>
      <c r="J23" s="12">
        <f t="shared" si="10"/>
        <v>693254</v>
      </c>
      <c r="K23" s="12">
        <f>'Top Sheet-(Class)'!P23</f>
        <v>0</v>
      </c>
      <c r="L23" s="12">
        <f t="shared" si="11"/>
        <v>693254</v>
      </c>
      <c r="M23" s="12">
        <f>'Top Sheet-(Class)'!R23</f>
        <v>0</v>
      </c>
      <c r="N23" s="12">
        <f t="shared" si="12"/>
        <v>693254</v>
      </c>
      <c r="O23" s="12">
        <f t="shared" si="13"/>
        <v>0</v>
      </c>
      <c r="P23" s="12">
        <f t="shared" si="14"/>
        <v>0</v>
      </c>
      <c r="Q23" s="12">
        <f t="shared" si="15"/>
        <v>0</v>
      </c>
      <c r="R23" s="12">
        <f t="shared" si="16"/>
        <v>0</v>
      </c>
      <c r="S23" s="12"/>
    </row>
    <row r="24" spans="1:19" ht="33" customHeight="1">
      <c r="A24" s="12">
        <v>5</v>
      </c>
      <c r="B24" s="225" t="s">
        <v>284</v>
      </c>
      <c r="C24" s="224" t="s">
        <v>234</v>
      </c>
      <c r="D24" s="223" t="s">
        <v>243</v>
      </c>
      <c r="E24" s="12">
        <f>'MSPL-3(Class)'!L177</f>
        <v>2933769</v>
      </c>
      <c r="F24" s="12">
        <f>'MSPL-3(Class)'!N177</f>
        <v>14405581</v>
      </c>
      <c r="G24" s="12">
        <f>'Top Sheet-(Class)'!L24</f>
        <v>0</v>
      </c>
      <c r="H24" s="12">
        <f t="shared" si="9"/>
        <v>14405581</v>
      </c>
      <c r="I24" s="12">
        <f>'Top Sheet-(Class)'!N24</f>
        <v>0</v>
      </c>
      <c r="J24" s="12">
        <f t="shared" si="10"/>
        <v>2933769</v>
      </c>
      <c r="K24" s="12">
        <f>'Top Sheet-(Class)'!P24</f>
        <v>0</v>
      </c>
      <c r="L24" s="12">
        <f t="shared" si="11"/>
        <v>2933769</v>
      </c>
      <c r="M24" s="12">
        <f>'Top Sheet-(Class)'!R24</f>
        <v>0</v>
      </c>
      <c r="N24" s="12">
        <f t="shared" si="12"/>
        <v>2933769</v>
      </c>
      <c r="O24" s="12">
        <f t="shared" si="13"/>
        <v>0</v>
      </c>
      <c r="P24" s="12">
        <f t="shared" si="14"/>
        <v>0</v>
      </c>
      <c r="Q24" s="12">
        <f t="shared" si="15"/>
        <v>0</v>
      </c>
      <c r="R24" s="12">
        <f t="shared" si="16"/>
        <v>0</v>
      </c>
      <c r="S24" s="12"/>
    </row>
    <row r="25" spans="1:19">
      <c r="A25" s="319" t="s">
        <v>67</v>
      </c>
      <c r="B25" s="319"/>
      <c r="C25" s="202"/>
      <c r="D25" s="202" t="s">
        <v>244</v>
      </c>
      <c r="E25" s="199">
        <f>SUM(E20:E24)</f>
        <v>6293546</v>
      </c>
      <c r="F25" s="199">
        <f t="shared" ref="F25:S25" si="17">SUM(F20:F24)</f>
        <v>34369287</v>
      </c>
      <c r="G25" s="199">
        <f t="shared" si="17"/>
        <v>0</v>
      </c>
      <c r="H25" s="199">
        <f t="shared" si="17"/>
        <v>34369287</v>
      </c>
      <c r="I25" s="199">
        <f t="shared" si="17"/>
        <v>0</v>
      </c>
      <c r="J25" s="199">
        <f t="shared" si="17"/>
        <v>6293546</v>
      </c>
      <c r="K25" s="199">
        <f t="shared" si="17"/>
        <v>0</v>
      </c>
      <c r="L25" s="199">
        <f t="shared" si="17"/>
        <v>6293546</v>
      </c>
      <c r="M25" s="199">
        <f t="shared" si="17"/>
        <v>0</v>
      </c>
      <c r="N25" s="199">
        <f t="shared" si="17"/>
        <v>6293546</v>
      </c>
      <c r="O25" s="199">
        <f t="shared" si="17"/>
        <v>0</v>
      </c>
      <c r="P25" s="199">
        <f>G25/F25%</f>
        <v>0</v>
      </c>
      <c r="Q25" s="199">
        <f>K25/E25%</f>
        <v>0</v>
      </c>
      <c r="R25" s="199">
        <f>M25/E25%</f>
        <v>0</v>
      </c>
      <c r="S25" s="199">
        <f t="shared" si="17"/>
        <v>0</v>
      </c>
    </row>
    <row r="26" spans="1:19" ht="10.5" customHeight="1" thickBot="1">
      <c r="A26" s="198"/>
      <c r="B26" s="198"/>
      <c r="C26" s="198"/>
      <c r="D26" s="198"/>
      <c r="E26" s="198"/>
      <c r="F26" s="198"/>
      <c r="G26" s="198"/>
      <c r="H26" s="198"/>
      <c r="I26" s="198"/>
      <c r="J26" s="198"/>
      <c r="K26" s="198"/>
      <c r="L26" s="198"/>
      <c r="M26" s="198"/>
      <c r="N26" s="198"/>
      <c r="O26" s="198"/>
      <c r="P26" s="198"/>
      <c r="Q26" s="198"/>
      <c r="R26" s="198"/>
      <c r="S26" s="198"/>
    </row>
    <row r="27" spans="1:19" ht="16.5" thickBot="1">
      <c r="A27" s="320" t="s">
        <v>246</v>
      </c>
      <c r="B27" s="321"/>
      <c r="C27" s="321"/>
      <c r="D27" s="203" t="s">
        <v>245</v>
      </c>
      <c r="E27" s="204">
        <f>E25+E15</f>
        <v>14475922</v>
      </c>
      <c r="F27" s="204">
        <f t="shared" ref="F27:S27" si="18">F25+F15</f>
        <v>93541195.75</v>
      </c>
      <c r="G27" s="204">
        <f t="shared" si="18"/>
        <v>0</v>
      </c>
      <c r="H27" s="204">
        <f t="shared" si="18"/>
        <v>93541195.75</v>
      </c>
      <c r="I27" s="204">
        <f t="shared" si="18"/>
        <v>0</v>
      </c>
      <c r="J27" s="204">
        <f t="shared" si="18"/>
        <v>14475922</v>
      </c>
      <c r="K27" s="204">
        <f t="shared" si="18"/>
        <v>0</v>
      </c>
      <c r="L27" s="204">
        <f t="shared" si="18"/>
        <v>14475922</v>
      </c>
      <c r="M27" s="204">
        <f t="shared" si="18"/>
        <v>0</v>
      </c>
      <c r="N27" s="204">
        <f t="shared" si="18"/>
        <v>14475922</v>
      </c>
      <c r="O27" s="204">
        <f t="shared" si="18"/>
        <v>0</v>
      </c>
      <c r="P27" s="204">
        <f>G27/F27%</f>
        <v>0</v>
      </c>
      <c r="Q27" s="204">
        <f>K27/E27%</f>
        <v>0</v>
      </c>
      <c r="R27" s="204">
        <f>M27/E27%</f>
        <v>0</v>
      </c>
      <c r="S27" s="204">
        <f t="shared" si="18"/>
        <v>0</v>
      </c>
    </row>
    <row r="28" spans="1:1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1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1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1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</row>
  </sheetData>
  <mergeCells count="36">
    <mergeCell ref="A8:A9"/>
    <mergeCell ref="B8:B9"/>
    <mergeCell ref="C8:C9"/>
    <mergeCell ref="F6:H6"/>
    <mergeCell ref="I6:J6"/>
    <mergeCell ref="K18:L18"/>
    <mergeCell ref="M18:N18"/>
    <mergeCell ref="O18:O19"/>
    <mergeCell ref="P18:R18"/>
    <mergeCell ref="S18:S19"/>
    <mergeCell ref="A25:B25"/>
    <mergeCell ref="A27:C27"/>
    <mergeCell ref="F18:H18"/>
    <mergeCell ref="I18:J18"/>
    <mergeCell ref="A15:C15"/>
    <mergeCell ref="A18:A19"/>
    <mergeCell ref="B18:B19"/>
    <mergeCell ref="C18:C19"/>
    <mergeCell ref="D18:D19"/>
    <mergeCell ref="A17:F17"/>
    <mergeCell ref="E18:E19"/>
    <mergeCell ref="K6:L6"/>
    <mergeCell ref="M6:N6"/>
    <mergeCell ref="O6:O7"/>
    <mergeCell ref="A1:S1"/>
    <mergeCell ref="A2:S2"/>
    <mergeCell ref="A3:S3"/>
    <mergeCell ref="A6:A7"/>
    <mergeCell ref="B6:B7"/>
    <mergeCell ref="C6:C7"/>
    <mergeCell ref="D6:D7"/>
    <mergeCell ref="E6:E7"/>
    <mergeCell ref="A5:F5"/>
    <mergeCell ref="O5:S5"/>
    <mergeCell ref="P6:R6"/>
    <mergeCell ref="S6:S7"/>
  </mergeCells>
  <pageMargins left="0.25" right="0.25" top="0.25" bottom="0.25" header="0.3" footer="0.3"/>
  <pageSetup paperSize="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00B0F0"/>
  </sheetPr>
  <dimension ref="A1:AC31"/>
  <sheetViews>
    <sheetView topLeftCell="F4" zoomScale="130" zoomScaleNormal="130" workbookViewId="0">
      <selection activeCell="L39" sqref="L39"/>
    </sheetView>
  </sheetViews>
  <sheetFormatPr defaultRowHeight="15.75"/>
  <cols>
    <col min="1" max="1" width="2.7109375" style="1" customWidth="1"/>
    <col min="2" max="2" width="7.85546875" style="1" customWidth="1"/>
    <col min="3" max="3" width="23.42578125" style="1" hidden="1" customWidth="1"/>
    <col min="4" max="4" width="6.7109375" style="1" customWidth="1"/>
    <col min="5" max="5" width="7.85546875" style="1" bestFit="1" customWidth="1"/>
    <col min="6" max="6" width="4.42578125" style="1" bestFit="1" customWidth="1"/>
    <col min="7" max="7" width="3.85546875" style="1" bestFit="1" customWidth="1"/>
    <col min="8" max="8" width="4.42578125" style="1" bestFit="1" customWidth="1"/>
    <col min="9" max="20" width="7.7109375" style="1" customWidth="1"/>
    <col min="21" max="21" width="6.42578125" style="1" customWidth="1"/>
    <col min="22" max="22" width="4.42578125" style="1" customWidth="1"/>
    <col min="23" max="23" width="6.28515625" style="1" bestFit="1" customWidth="1"/>
    <col min="24" max="24" width="5" style="1" customWidth="1"/>
    <col min="25" max="25" width="9.7109375" style="1" customWidth="1"/>
    <col min="26" max="26" width="5.42578125" style="1" bestFit="1" customWidth="1"/>
    <col min="27" max="27" width="6.140625" style="1" bestFit="1" customWidth="1"/>
    <col min="28" max="28" width="7.7109375" style="1" bestFit="1" customWidth="1"/>
    <col min="29" max="29" width="8.7109375" style="1" customWidth="1"/>
    <col min="30" max="16384" width="9.140625" style="1"/>
  </cols>
  <sheetData>
    <row r="1" spans="1:29" ht="48" customHeight="1">
      <c r="A1" s="308" t="s">
        <v>71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  <c r="Q1" s="308"/>
      <c r="R1" s="308"/>
      <c r="S1" s="308"/>
      <c r="T1" s="308"/>
      <c r="U1" s="308"/>
      <c r="V1" s="308"/>
      <c r="W1" s="308"/>
      <c r="X1" s="308"/>
      <c r="Y1" s="308"/>
      <c r="Z1" s="308"/>
      <c r="AA1" s="308"/>
      <c r="AB1" s="308"/>
      <c r="AC1" s="308"/>
    </row>
    <row r="2" spans="1:29" ht="21.75" customHeight="1">
      <c r="A2" s="309" t="s">
        <v>282</v>
      </c>
      <c r="B2" s="309"/>
      <c r="C2" s="309"/>
      <c r="D2" s="309"/>
      <c r="E2" s="309"/>
      <c r="F2" s="309"/>
      <c r="G2" s="309"/>
      <c r="H2" s="309"/>
      <c r="I2" s="309"/>
      <c r="J2" s="309"/>
      <c r="K2" s="309"/>
      <c r="L2" s="309"/>
      <c r="M2" s="309"/>
      <c r="N2" s="309"/>
      <c r="O2" s="309"/>
      <c r="P2" s="309"/>
      <c r="Q2" s="309"/>
      <c r="R2" s="309"/>
      <c r="S2" s="309"/>
      <c r="T2" s="309"/>
      <c r="U2" s="309"/>
      <c r="V2" s="309"/>
      <c r="W2" s="309"/>
      <c r="X2" s="309"/>
      <c r="Y2" s="309"/>
      <c r="Z2" s="309"/>
      <c r="AA2" s="309"/>
      <c r="AB2" s="309"/>
      <c r="AC2" s="309"/>
    </row>
    <row r="3" spans="1:29" ht="21" thickBot="1">
      <c r="A3" s="310" t="s">
        <v>247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0"/>
      <c r="P3" s="310"/>
      <c r="Q3" s="310"/>
      <c r="R3" s="310"/>
      <c r="S3" s="310"/>
      <c r="T3" s="310"/>
      <c r="U3" s="310"/>
      <c r="V3" s="310"/>
      <c r="W3" s="310"/>
      <c r="X3" s="310"/>
      <c r="Y3" s="310"/>
      <c r="Z3" s="310"/>
      <c r="AA3" s="310"/>
      <c r="AB3" s="310"/>
      <c r="AC3" s="310"/>
    </row>
    <row r="4" spans="1:29" ht="19.5" customHeight="1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  <c r="W4" s="194"/>
      <c r="X4" s="194"/>
      <c r="Y4" s="194"/>
      <c r="Z4" s="194"/>
      <c r="AA4" s="194"/>
      <c r="AB4" s="194"/>
      <c r="AC4" s="194"/>
    </row>
    <row r="5" spans="1:29" ht="19.5" customHeight="1">
      <c r="A5" s="334" t="s">
        <v>248</v>
      </c>
      <c r="B5" s="334"/>
      <c r="C5" s="334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spans="1:29" ht="19.5" customHeight="1">
      <c r="A6" s="335" t="s">
        <v>459</v>
      </c>
      <c r="B6" s="335" t="s">
        <v>188</v>
      </c>
      <c r="C6" s="335" t="s">
        <v>179</v>
      </c>
      <c r="D6" s="335" t="s">
        <v>237</v>
      </c>
      <c r="E6" s="335" t="s">
        <v>88</v>
      </c>
      <c r="F6" s="335" t="s">
        <v>218</v>
      </c>
      <c r="G6" s="335"/>
      <c r="H6" s="335"/>
      <c r="I6" s="335" t="s">
        <v>68</v>
      </c>
      <c r="J6" s="335"/>
      <c r="K6" s="335" t="s">
        <v>454</v>
      </c>
      <c r="L6" s="335"/>
      <c r="M6" s="335"/>
      <c r="N6" s="335" t="s">
        <v>453</v>
      </c>
      <c r="O6" s="335"/>
      <c r="P6" s="335" t="s">
        <v>86</v>
      </c>
      <c r="Q6" s="335"/>
      <c r="R6" s="335" t="s">
        <v>25</v>
      </c>
      <c r="S6" s="335"/>
      <c r="T6" s="335" t="s">
        <v>87</v>
      </c>
      <c r="U6" s="335" t="s">
        <v>140</v>
      </c>
      <c r="V6" s="335"/>
      <c r="W6" s="335"/>
      <c r="X6" s="335"/>
      <c r="Y6" s="333" t="s">
        <v>455</v>
      </c>
      <c r="Z6" s="335" t="s">
        <v>456</v>
      </c>
      <c r="AA6" s="335"/>
      <c r="AB6" s="335"/>
      <c r="AC6" s="333" t="s">
        <v>458</v>
      </c>
    </row>
    <row r="7" spans="1:29">
      <c r="A7" s="335"/>
      <c r="B7" s="335"/>
      <c r="C7" s="335"/>
      <c r="D7" s="335"/>
      <c r="E7" s="335"/>
      <c r="F7" s="205" t="s">
        <v>428</v>
      </c>
      <c r="G7" s="205" t="s">
        <v>69</v>
      </c>
      <c r="H7" s="205" t="s">
        <v>70</v>
      </c>
      <c r="I7" s="205" t="s">
        <v>69</v>
      </c>
      <c r="J7" s="205" t="s">
        <v>70</v>
      </c>
      <c r="K7" s="206" t="s">
        <v>189</v>
      </c>
      <c r="L7" s="205" t="s">
        <v>85</v>
      </c>
      <c r="M7" s="205" t="s">
        <v>457</v>
      </c>
      <c r="N7" s="205" t="s">
        <v>453</v>
      </c>
      <c r="O7" s="205" t="s">
        <v>70</v>
      </c>
      <c r="P7" s="205" t="s">
        <v>86</v>
      </c>
      <c r="Q7" s="205" t="s">
        <v>70</v>
      </c>
      <c r="R7" s="205" t="s">
        <v>25</v>
      </c>
      <c r="S7" s="205" t="s">
        <v>70</v>
      </c>
      <c r="T7" s="335"/>
      <c r="U7" s="205" t="s">
        <v>155</v>
      </c>
      <c r="V7" s="205" t="s">
        <v>156</v>
      </c>
      <c r="W7" s="205" t="s">
        <v>141</v>
      </c>
      <c r="X7" s="205" t="s">
        <v>70</v>
      </c>
      <c r="Y7" s="333"/>
      <c r="Z7" s="205" t="s">
        <v>85</v>
      </c>
      <c r="AA7" s="205" t="s">
        <v>86</v>
      </c>
      <c r="AB7" s="205" t="s">
        <v>25</v>
      </c>
      <c r="AC7" s="333"/>
    </row>
    <row r="8" spans="1:29">
      <c r="A8" s="341">
        <v>1</v>
      </c>
      <c r="B8" s="339" t="s">
        <v>227</v>
      </c>
      <c r="C8" s="341">
        <v>123</v>
      </c>
      <c r="D8" s="207" t="s">
        <v>161</v>
      </c>
      <c r="E8" s="207">
        <f>'MSPL-2 (Class)'!K7</f>
        <v>66398</v>
      </c>
      <c r="F8" s="207">
        <f>'MSPL-2 (Class)'!M7</f>
        <v>192</v>
      </c>
      <c r="G8" s="207">
        <f>'MSPL-2 (Class)'!N7</f>
        <v>0</v>
      </c>
      <c r="H8" s="207">
        <f>'MSPL-2 (Class)'!O7</f>
        <v>192</v>
      </c>
      <c r="I8" s="207">
        <f>'MSPL-2 (Class)'!P7</f>
        <v>0</v>
      </c>
      <c r="J8" s="207">
        <f>'MSPL-2 (Class)'!Q7</f>
        <v>66398</v>
      </c>
      <c r="K8" s="207">
        <f>'MSPL-2 (Class)'!R7</f>
        <v>713778.5</v>
      </c>
      <c r="L8" s="207">
        <f>'MSPL-2 (Class)'!S7</f>
        <v>0</v>
      </c>
      <c r="M8" s="207">
        <f>'MSPL-2 (Class)'!T7</f>
        <v>713778.5</v>
      </c>
      <c r="N8" s="207">
        <f>'MSPL-2 (Class)'!U7</f>
        <v>0</v>
      </c>
      <c r="O8" s="207">
        <f>'MSPL-2 (Class)'!V7</f>
        <v>66398</v>
      </c>
      <c r="P8" s="207">
        <f>'MSPL-2 (Class)'!W7</f>
        <v>0</v>
      </c>
      <c r="Q8" s="207">
        <f>'MSPL-2 (Class)'!X7</f>
        <v>66398</v>
      </c>
      <c r="R8" s="207">
        <f>'MSPL-2 (Class)'!Y7</f>
        <v>0</v>
      </c>
      <c r="S8" s="207">
        <f>'MSPL-2 (Class)'!Z7</f>
        <v>66398</v>
      </c>
      <c r="T8" s="207">
        <f>'MSPL-2 (Class)'!AA7</f>
        <v>0</v>
      </c>
      <c r="U8" s="207">
        <f>'MSPL-2 (Class)'!AD7</f>
        <v>1427.557</v>
      </c>
      <c r="V8" s="207">
        <f>'MSPL-2 (Class)'!AE7</f>
        <v>28.55114</v>
      </c>
      <c r="W8" s="207">
        <f>'MSPL-2 (Class)'!AF7</f>
        <v>0</v>
      </c>
      <c r="X8" s="207">
        <f>'MSPL-2 (Class)'!AG7</f>
        <v>28.55114</v>
      </c>
      <c r="Y8" s="207">
        <f>'MSPL-2 (Class)'!AC7</f>
        <v>0</v>
      </c>
      <c r="Z8" s="207">
        <f>L8/K8%</f>
        <v>0</v>
      </c>
      <c r="AA8" s="207">
        <f>P8/E8%</f>
        <v>0</v>
      </c>
      <c r="AB8" s="207">
        <f>R8/E8%</f>
        <v>0</v>
      </c>
      <c r="AC8" s="207"/>
    </row>
    <row r="9" spans="1:29">
      <c r="A9" s="342"/>
      <c r="B9" s="340"/>
      <c r="C9" s="342"/>
      <c r="D9" s="207" t="s">
        <v>162</v>
      </c>
      <c r="E9" s="207">
        <f>'MSPL-2 (Class)'!K8</f>
        <v>66398</v>
      </c>
      <c r="F9" s="207">
        <f>'MSPL-2 (Class)'!M8</f>
        <v>18</v>
      </c>
      <c r="G9" s="207">
        <f>'MSPL-2 (Class)'!N8</f>
        <v>0</v>
      </c>
      <c r="H9" s="207">
        <f>'MSPL-2 (Class)'!O8</f>
        <v>18</v>
      </c>
      <c r="I9" s="207">
        <f>'MSPL-2 (Class)'!P8</f>
        <v>0</v>
      </c>
      <c r="J9" s="207">
        <f>'MSPL-2 (Class)'!Q8</f>
        <v>66398</v>
      </c>
      <c r="K9" s="207">
        <f>'MSPL-2 (Class)'!R8</f>
        <v>564383</v>
      </c>
      <c r="L9" s="207">
        <f>'MSPL-2 (Class)'!S8</f>
        <v>0</v>
      </c>
      <c r="M9" s="207">
        <f>'MSPL-2 (Class)'!T8</f>
        <v>564383</v>
      </c>
      <c r="N9" s="207">
        <f>'MSPL-2 (Class)'!U8</f>
        <v>0</v>
      </c>
      <c r="O9" s="207">
        <f>'MSPL-2 (Class)'!V8</f>
        <v>66398</v>
      </c>
      <c r="P9" s="207">
        <f>'MSPL-2 (Class)'!W8</f>
        <v>0</v>
      </c>
      <c r="Q9" s="207">
        <f>'MSPL-2 (Class)'!X8</f>
        <v>66398</v>
      </c>
      <c r="R9" s="207">
        <f>'MSPL-2 (Class)'!Y8</f>
        <v>0</v>
      </c>
      <c r="S9" s="207">
        <f>'MSPL-2 (Class)'!Z8</f>
        <v>66398</v>
      </c>
      <c r="T9" s="207">
        <f>'MSPL-2 (Class)'!AA8</f>
        <v>0</v>
      </c>
      <c r="U9" s="207">
        <f>'MSPL-2 (Class)'!AD8</f>
        <v>1128.7660000000001</v>
      </c>
      <c r="V9" s="207">
        <f>'MSPL-2 (Class)'!AE8</f>
        <v>17.365630769230769</v>
      </c>
      <c r="W9" s="207">
        <f>'MSPL-2 (Class)'!AF8</f>
        <v>0</v>
      </c>
      <c r="X9" s="207">
        <f>'MSPL-2 (Class)'!AG8</f>
        <v>17.365630769230769</v>
      </c>
      <c r="Y9" s="207">
        <f>'MSPL-2 (Class)'!AC8</f>
        <v>0</v>
      </c>
      <c r="Z9" s="207">
        <f t="shared" ref="Z9:Z14" si="0">L9/K9%</f>
        <v>0</v>
      </c>
      <c r="AA9" s="207">
        <f t="shared" ref="AA9:AA14" si="1">P9/E9%</f>
        <v>0</v>
      </c>
      <c r="AB9" s="207">
        <f t="shared" ref="AB9:AB14" si="2">R9/E9%</f>
        <v>0</v>
      </c>
      <c r="AC9" s="207"/>
    </row>
    <row r="10" spans="1:29">
      <c r="A10" s="208">
        <v>2</v>
      </c>
      <c r="B10" s="209" t="s">
        <v>228</v>
      </c>
      <c r="C10" s="210">
        <v>329338347375401</v>
      </c>
      <c r="D10" s="211" t="s">
        <v>239</v>
      </c>
      <c r="E10" s="207">
        <f>'MSPL-2 (Class)'!K70</f>
        <v>4031896</v>
      </c>
      <c r="F10" s="207">
        <f>'MSPL-2 (Class)'!M70</f>
        <v>4856</v>
      </c>
      <c r="G10" s="207">
        <f>'MSPL-2 (Class)'!N70</f>
        <v>0</v>
      </c>
      <c r="H10" s="207">
        <f>'MSPL-2 (Class)'!O70</f>
        <v>4856</v>
      </c>
      <c r="I10" s="207">
        <f>'MSPL-2 (Class)'!P70</f>
        <v>0</v>
      </c>
      <c r="J10" s="207">
        <f>'MSPL-2 (Class)'!Q70</f>
        <v>4031896</v>
      </c>
      <c r="K10" s="207">
        <f>'MSPL-2 (Class)'!R70</f>
        <v>31161630.75</v>
      </c>
      <c r="L10" s="207">
        <f>'MSPL-2 (Class)'!S70</f>
        <v>0</v>
      </c>
      <c r="M10" s="207">
        <f>'MSPL-2 (Class)'!T70</f>
        <v>31161630.75</v>
      </c>
      <c r="N10" s="207">
        <f>'MSPL-2 (Class)'!U70</f>
        <v>0</v>
      </c>
      <c r="O10" s="207">
        <f>'MSPL-2 (Class)'!V70</f>
        <v>4031896</v>
      </c>
      <c r="P10" s="207">
        <f>'MSPL-2 (Class)'!W70</f>
        <v>0</v>
      </c>
      <c r="Q10" s="207">
        <f>'MSPL-2 (Class)'!X70</f>
        <v>4031896</v>
      </c>
      <c r="R10" s="207">
        <f>'MSPL-2 (Class)'!Y70</f>
        <v>0</v>
      </c>
      <c r="S10" s="207">
        <f>'MSPL-2 (Class)'!Z70</f>
        <v>4031896</v>
      </c>
      <c r="T10" s="207">
        <f>'MSPL-2 (Class)'!AA70</f>
        <v>0</v>
      </c>
      <c r="U10" s="207">
        <f>'MSPL-2 (Class)'!AD70</f>
        <v>62323.261499999993</v>
      </c>
      <c r="V10" s="207">
        <f>'MSPL-2 (Class)'!AE70</f>
        <v>958.81940769230778</v>
      </c>
      <c r="W10" s="207">
        <f>'MSPL-2 (Class)'!AF70</f>
        <v>0</v>
      </c>
      <c r="X10" s="207">
        <f>'MSPL-2 (Class)'!AG70</f>
        <v>958.81940769230778</v>
      </c>
      <c r="Y10" s="207">
        <f>'MSPL-2 (Class)'!AC70</f>
        <v>0</v>
      </c>
      <c r="Z10" s="207">
        <f t="shared" si="0"/>
        <v>0</v>
      </c>
      <c r="AA10" s="207">
        <f t="shared" si="1"/>
        <v>0</v>
      </c>
      <c r="AB10" s="207">
        <f t="shared" si="2"/>
        <v>0</v>
      </c>
      <c r="AC10" s="207"/>
    </row>
    <row r="11" spans="1:29">
      <c r="A11" s="208">
        <v>3</v>
      </c>
      <c r="B11" s="209" t="s">
        <v>195</v>
      </c>
      <c r="C11" s="210">
        <v>706708757759762</v>
      </c>
      <c r="D11" s="211" t="s">
        <v>239</v>
      </c>
      <c r="E11" s="207">
        <f>'MSPL-2 (Class)'!K102</f>
        <v>2188607</v>
      </c>
      <c r="F11" s="207">
        <f>'MSPL-2 (Class)'!M102</f>
        <v>792</v>
      </c>
      <c r="G11" s="207">
        <f>'MSPL-2 (Class)'!N102</f>
        <v>0</v>
      </c>
      <c r="H11" s="207">
        <f>'MSPL-2 (Class)'!O102</f>
        <v>792</v>
      </c>
      <c r="I11" s="207">
        <f>'MSPL-2 (Class)'!P102</f>
        <v>0</v>
      </c>
      <c r="J11" s="207">
        <f>'MSPL-2 (Class)'!Q102</f>
        <v>2188607</v>
      </c>
      <c r="K11" s="207">
        <f>'MSPL-2 (Class)'!R102</f>
        <v>9928182.25</v>
      </c>
      <c r="L11" s="207">
        <f>'MSPL-2 (Class)'!S102</f>
        <v>0</v>
      </c>
      <c r="M11" s="207">
        <f>'MSPL-2 (Class)'!T102</f>
        <v>9928182.25</v>
      </c>
      <c r="N11" s="207">
        <f>'MSPL-2 (Class)'!U102</f>
        <v>0</v>
      </c>
      <c r="O11" s="207">
        <f>'MSPL-2 (Class)'!V102</f>
        <v>2188607</v>
      </c>
      <c r="P11" s="207">
        <f>'MSPL-2 (Class)'!W102</f>
        <v>0</v>
      </c>
      <c r="Q11" s="207">
        <f>'MSPL-2 (Class)'!X102</f>
        <v>2188607</v>
      </c>
      <c r="R11" s="207">
        <f>'MSPL-2 (Class)'!Y102</f>
        <v>0</v>
      </c>
      <c r="S11" s="207">
        <f>'MSPL-2 (Class)'!Z102</f>
        <v>2188607</v>
      </c>
      <c r="T11" s="207">
        <f>'MSPL-2 (Class)'!AA102</f>
        <v>0</v>
      </c>
      <c r="U11" s="207">
        <f>'MSPL-2 (Class)'!AD102</f>
        <v>34834.247500000012</v>
      </c>
      <c r="V11" s="207">
        <f>'MSPL-2 (Class)'!AE102</f>
        <v>464.45663333333334</v>
      </c>
      <c r="W11" s="207">
        <f>'MSPL-2 (Class)'!AF102</f>
        <v>0</v>
      </c>
      <c r="X11" s="207">
        <f>'MSPL-2 (Class)'!AG102</f>
        <v>464.45663333333334</v>
      </c>
      <c r="Y11" s="207">
        <f>'MSPL-2 (Class)'!AC102</f>
        <v>0</v>
      </c>
      <c r="Z11" s="207">
        <f t="shared" si="0"/>
        <v>0</v>
      </c>
      <c r="AA11" s="207">
        <f t="shared" si="1"/>
        <v>0</v>
      </c>
      <c r="AB11" s="207">
        <f t="shared" si="2"/>
        <v>0</v>
      </c>
      <c r="AC11" s="207"/>
    </row>
    <row r="12" spans="1:29">
      <c r="A12" s="208">
        <v>4</v>
      </c>
      <c r="B12" s="209" t="s">
        <v>229</v>
      </c>
      <c r="C12" s="210">
        <v>926938953963</v>
      </c>
      <c r="D12" s="211" t="s">
        <v>240</v>
      </c>
      <c r="E12" s="207">
        <f>'MSPL-2 (Class)'!K131</f>
        <v>1246343</v>
      </c>
      <c r="F12" s="207">
        <f>'MSPL-2 (Class)'!M131</f>
        <v>752</v>
      </c>
      <c r="G12" s="207">
        <f>'MSPL-2 (Class)'!N131</f>
        <v>0</v>
      </c>
      <c r="H12" s="207">
        <f>'MSPL-2 (Class)'!O131</f>
        <v>752</v>
      </c>
      <c r="I12" s="207">
        <f>'MSPL-2 (Class)'!P131</f>
        <v>0</v>
      </c>
      <c r="J12" s="207">
        <f>'MSPL-2 (Class)'!Q131</f>
        <v>1246343</v>
      </c>
      <c r="K12" s="207">
        <f>'MSPL-2 (Class)'!R131</f>
        <v>9731784.75</v>
      </c>
      <c r="L12" s="207">
        <f>'MSPL-2 (Class)'!S131</f>
        <v>0</v>
      </c>
      <c r="M12" s="207">
        <f>'MSPL-2 (Class)'!T131</f>
        <v>9731784.75</v>
      </c>
      <c r="N12" s="207">
        <f>'MSPL-2 (Class)'!U131</f>
        <v>0</v>
      </c>
      <c r="O12" s="207">
        <f>'MSPL-2 (Class)'!V131</f>
        <v>1246343</v>
      </c>
      <c r="P12" s="207">
        <f>'MSPL-2 (Class)'!W131</f>
        <v>0</v>
      </c>
      <c r="Q12" s="207">
        <f>'MSPL-2 (Class)'!X131</f>
        <v>1246343</v>
      </c>
      <c r="R12" s="207">
        <f>'MSPL-2 (Class)'!Y131</f>
        <v>0</v>
      </c>
      <c r="S12" s="207">
        <f>'MSPL-2 (Class)'!Z131</f>
        <v>1246343</v>
      </c>
      <c r="T12" s="207">
        <f>'MSPL-2 (Class)'!AA131</f>
        <v>0</v>
      </c>
      <c r="U12" s="207">
        <f>'MSPL-2 (Class)'!AD131</f>
        <v>37139.7595</v>
      </c>
      <c r="V12" s="207">
        <f>'MSPL-2 (Class)'!AE131</f>
        <v>495.19679333333329</v>
      </c>
      <c r="W12" s="207">
        <f>'MSPL-2 (Class)'!AF131</f>
        <v>0</v>
      </c>
      <c r="X12" s="207">
        <f>'MSPL-2 (Class)'!AG131</f>
        <v>495.19679333333329</v>
      </c>
      <c r="Y12" s="207">
        <f>'MSPL-2 (Class)'!AC131</f>
        <v>0</v>
      </c>
      <c r="Z12" s="207">
        <f t="shared" si="0"/>
        <v>0</v>
      </c>
      <c r="AA12" s="207">
        <f t="shared" si="1"/>
        <v>0</v>
      </c>
      <c r="AB12" s="207">
        <f t="shared" si="2"/>
        <v>0</v>
      </c>
      <c r="AC12" s="207"/>
    </row>
    <row r="13" spans="1:29">
      <c r="A13" s="208">
        <v>5</v>
      </c>
      <c r="B13" s="209" t="s">
        <v>230</v>
      </c>
      <c r="C13" s="208">
        <v>1122</v>
      </c>
      <c r="D13" s="207" t="s">
        <v>238</v>
      </c>
      <c r="E13" s="207">
        <f>'MSPL-2 (Class)'!K159</f>
        <v>295274</v>
      </c>
      <c r="F13" s="207">
        <f>'MSPL-2 (Class)'!M159</f>
        <v>1400</v>
      </c>
      <c r="G13" s="207">
        <f>'MSPL-2 (Class)'!N159</f>
        <v>0</v>
      </c>
      <c r="H13" s="207">
        <f>'MSPL-2 (Class)'!O159</f>
        <v>1400</v>
      </c>
      <c r="I13" s="207">
        <f>'MSPL-2 (Class)'!P159</f>
        <v>0</v>
      </c>
      <c r="J13" s="207">
        <f>'MSPL-2 (Class)'!Q159</f>
        <v>295274</v>
      </c>
      <c r="K13" s="207">
        <f>'MSPL-2 (Class)'!R159</f>
        <v>4708344.5</v>
      </c>
      <c r="L13" s="207">
        <f>'MSPL-2 (Class)'!S159</f>
        <v>0</v>
      </c>
      <c r="M13" s="207">
        <f>'MSPL-2 (Class)'!T159</f>
        <v>4708344.5</v>
      </c>
      <c r="N13" s="207">
        <f>'MSPL-2 (Class)'!U159</f>
        <v>0</v>
      </c>
      <c r="O13" s="207">
        <f>'MSPL-2 (Class)'!V159</f>
        <v>295274</v>
      </c>
      <c r="P13" s="207">
        <f>'MSPL-2 (Class)'!W159</f>
        <v>0</v>
      </c>
      <c r="Q13" s="207">
        <f>'MSPL-2 (Class)'!X159</f>
        <v>295274</v>
      </c>
      <c r="R13" s="207">
        <f>'MSPL-2 (Class)'!Y159</f>
        <v>0</v>
      </c>
      <c r="S13" s="207">
        <f>'MSPL-2 (Class)'!Z159</f>
        <v>295274</v>
      </c>
      <c r="T13" s="207">
        <f>'MSPL-2 (Class)'!AA159</f>
        <v>0</v>
      </c>
      <c r="U13" s="207">
        <f>'MSPL-2 (Class)'!AD159</f>
        <v>9416.6890000000003</v>
      </c>
      <c r="V13" s="207">
        <f>'MSPL-2 (Class)'!AE159</f>
        <v>125.55585333333335</v>
      </c>
      <c r="W13" s="207">
        <f>'MSPL-2 (Class)'!AF159</f>
        <v>0</v>
      </c>
      <c r="X13" s="207">
        <f>'MSPL-2 (Class)'!AG159</f>
        <v>125.55585333333335</v>
      </c>
      <c r="Y13" s="207">
        <f>'MSPL-2 (Class)'!AC159</f>
        <v>0</v>
      </c>
      <c r="Z13" s="207">
        <f t="shared" si="0"/>
        <v>0</v>
      </c>
      <c r="AA13" s="207">
        <f t="shared" si="1"/>
        <v>0</v>
      </c>
      <c r="AB13" s="207">
        <f t="shared" si="2"/>
        <v>0</v>
      </c>
      <c r="AC13" s="207"/>
    </row>
    <row r="14" spans="1:29">
      <c r="A14" s="208">
        <v>6</v>
      </c>
      <c r="B14" s="209" t="s">
        <v>231</v>
      </c>
      <c r="C14" s="208">
        <v>1055</v>
      </c>
      <c r="D14" s="207" t="s">
        <v>238</v>
      </c>
      <c r="E14" s="207">
        <f>'MSPL-2 (Class)'!K206</f>
        <v>287460</v>
      </c>
      <c r="F14" s="207">
        <f>'MSPL-2 (Class)'!M206</f>
        <v>578</v>
      </c>
      <c r="G14" s="207">
        <f>'MSPL-2 (Class)'!N206</f>
        <v>0</v>
      </c>
      <c r="H14" s="207">
        <f>'MSPL-2 (Class)'!O206</f>
        <v>578</v>
      </c>
      <c r="I14" s="207">
        <f>'MSPL-2 (Class)'!P206</f>
        <v>0</v>
      </c>
      <c r="J14" s="207">
        <f>'MSPL-2 (Class)'!Q206</f>
        <v>287460</v>
      </c>
      <c r="K14" s="207">
        <f>'MSPL-2 (Class)'!R206</f>
        <v>2363805</v>
      </c>
      <c r="L14" s="207">
        <f>'MSPL-2 (Class)'!S206</f>
        <v>0</v>
      </c>
      <c r="M14" s="207">
        <f>'MSPL-2 (Class)'!T206</f>
        <v>2363805</v>
      </c>
      <c r="N14" s="207">
        <f>'MSPL-2 (Class)'!U206</f>
        <v>0</v>
      </c>
      <c r="O14" s="207">
        <f>'MSPL-2 (Class)'!V206</f>
        <v>287460</v>
      </c>
      <c r="P14" s="207">
        <f>'MSPL-2 (Class)'!W206</f>
        <v>0</v>
      </c>
      <c r="Q14" s="207">
        <f>'MSPL-2 (Class)'!X206</f>
        <v>287460</v>
      </c>
      <c r="R14" s="207">
        <f>'MSPL-2 (Class)'!Y206</f>
        <v>0</v>
      </c>
      <c r="S14" s="207">
        <f>'MSPL-2 (Class)'!Z206</f>
        <v>287460</v>
      </c>
      <c r="T14" s="207">
        <f>'MSPL-2 (Class)'!AA206</f>
        <v>0</v>
      </c>
      <c r="U14" s="207">
        <f>'MSPL-2 (Class)'!AD206</f>
        <v>8915.7299999999977</v>
      </c>
      <c r="V14" s="207">
        <f>'MSPL-2 (Class)'!AE206</f>
        <v>118.87640000000002</v>
      </c>
      <c r="W14" s="207">
        <f>'MSPL-2 (Class)'!AF206</f>
        <v>0</v>
      </c>
      <c r="X14" s="207">
        <f>'MSPL-2 (Class)'!AG206</f>
        <v>118.87640000000002</v>
      </c>
      <c r="Y14" s="207">
        <f>'MSPL-2 (Class)'!AC206</f>
        <v>0</v>
      </c>
      <c r="Z14" s="207">
        <f t="shared" si="0"/>
        <v>0</v>
      </c>
      <c r="AA14" s="207">
        <f t="shared" si="1"/>
        <v>0</v>
      </c>
      <c r="AB14" s="207">
        <f t="shared" si="2"/>
        <v>0</v>
      </c>
      <c r="AC14" s="207"/>
    </row>
    <row r="15" spans="1:29">
      <c r="A15" s="344" t="s">
        <v>67</v>
      </c>
      <c r="B15" s="345"/>
      <c r="C15" s="346"/>
      <c r="D15" s="212" t="s">
        <v>241</v>
      </c>
      <c r="E15" s="212">
        <f>SUM(E8:E14)</f>
        <v>8182376</v>
      </c>
      <c r="F15" s="212">
        <f t="shared" ref="F15:AC15" si="3">SUM(F8:F14)</f>
        <v>8588</v>
      </c>
      <c r="G15" s="212">
        <f t="shared" si="3"/>
        <v>0</v>
      </c>
      <c r="H15" s="212">
        <f t="shared" si="3"/>
        <v>8588</v>
      </c>
      <c r="I15" s="212">
        <f t="shared" si="3"/>
        <v>0</v>
      </c>
      <c r="J15" s="212">
        <f t="shared" si="3"/>
        <v>8182376</v>
      </c>
      <c r="K15" s="212">
        <f t="shared" si="3"/>
        <v>59171908.75</v>
      </c>
      <c r="L15" s="212">
        <f t="shared" si="3"/>
        <v>0</v>
      </c>
      <c r="M15" s="212">
        <f t="shared" si="3"/>
        <v>59171908.75</v>
      </c>
      <c r="N15" s="212">
        <f t="shared" si="3"/>
        <v>0</v>
      </c>
      <c r="O15" s="212">
        <f t="shared" si="3"/>
        <v>8182376</v>
      </c>
      <c r="P15" s="212">
        <f t="shared" si="3"/>
        <v>0</v>
      </c>
      <c r="Q15" s="212">
        <f t="shared" si="3"/>
        <v>8182376</v>
      </c>
      <c r="R15" s="212">
        <f t="shared" si="3"/>
        <v>0</v>
      </c>
      <c r="S15" s="212">
        <f t="shared" si="3"/>
        <v>8182376</v>
      </c>
      <c r="T15" s="212">
        <f t="shared" si="3"/>
        <v>0</v>
      </c>
      <c r="U15" s="212">
        <f t="shared" si="3"/>
        <v>155186.01050000003</v>
      </c>
      <c r="V15" s="212">
        <f t="shared" si="3"/>
        <v>2208.8218584615388</v>
      </c>
      <c r="W15" s="212">
        <f t="shared" si="3"/>
        <v>0</v>
      </c>
      <c r="X15" s="212">
        <f t="shared" si="3"/>
        <v>2208.8218584615388</v>
      </c>
      <c r="Y15" s="212">
        <f t="shared" si="3"/>
        <v>0</v>
      </c>
      <c r="Z15" s="212">
        <f t="shared" si="3"/>
        <v>0</v>
      </c>
      <c r="AA15" s="212">
        <f t="shared" si="3"/>
        <v>0</v>
      </c>
      <c r="AB15" s="212">
        <f t="shared" si="3"/>
        <v>0</v>
      </c>
      <c r="AC15" s="212">
        <f t="shared" si="3"/>
        <v>0</v>
      </c>
    </row>
    <row r="16" spans="1:29" ht="7.5" customHeight="1">
      <c r="A16" s="213"/>
      <c r="B16" s="213"/>
      <c r="C16" s="214"/>
      <c r="D16" s="214"/>
      <c r="E16" s="213"/>
      <c r="F16" s="213"/>
      <c r="G16" s="213"/>
      <c r="H16" s="213"/>
      <c r="I16" s="213"/>
      <c r="J16" s="213"/>
      <c r="K16" s="213"/>
      <c r="L16" s="213"/>
      <c r="M16" s="213"/>
      <c r="N16" s="213"/>
      <c r="O16" s="213"/>
      <c r="P16" s="213"/>
      <c r="Q16" s="213"/>
      <c r="R16" s="213"/>
      <c r="S16" s="213"/>
      <c r="T16" s="213"/>
      <c r="U16" s="213"/>
      <c r="V16" s="213"/>
      <c r="W16" s="213"/>
      <c r="X16" s="213"/>
      <c r="Y16" s="213"/>
      <c r="Z16" s="213"/>
      <c r="AA16" s="213"/>
      <c r="AB16" s="213"/>
      <c r="AC16" s="213"/>
    </row>
    <row r="17" spans="1:29">
      <c r="A17" s="343" t="s">
        <v>249</v>
      </c>
      <c r="B17" s="343"/>
      <c r="C17" s="343"/>
      <c r="D17" s="214"/>
      <c r="E17" s="213"/>
      <c r="F17" s="213"/>
      <c r="G17" s="213"/>
      <c r="H17" s="213"/>
      <c r="I17" s="213"/>
      <c r="J17" s="213"/>
      <c r="K17" s="213"/>
      <c r="L17" s="213"/>
      <c r="M17" s="213"/>
      <c r="N17" s="213"/>
      <c r="O17" s="213"/>
      <c r="P17" s="213"/>
      <c r="Q17" s="213"/>
      <c r="R17" s="213"/>
      <c r="S17" s="213"/>
      <c r="T17" s="213"/>
      <c r="U17" s="213"/>
      <c r="V17" s="213"/>
      <c r="W17" s="213"/>
      <c r="X17" s="213"/>
      <c r="Y17" s="213"/>
      <c r="Z17" s="213"/>
      <c r="AA17" s="213"/>
      <c r="AB17" s="213"/>
      <c r="AC17" s="213"/>
    </row>
    <row r="18" spans="1:29" ht="19.5" customHeight="1">
      <c r="A18" s="335" t="s">
        <v>459</v>
      </c>
      <c r="B18" s="335" t="s">
        <v>188</v>
      </c>
      <c r="C18" s="335" t="s">
        <v>179</v>
      </c>
      <c r="D18" s="335" t="s">
        <v>237</v>
      </c>
      <c r="E18" s="335" t="s">
        <v>88</v>
      </c>
      <c r="F18" s="335" t="s">
        <v>218</v>
      </c>
      <c r="G18" s="335"/>
      <c r="H18" s="335"/>
      <c r="I18" s="335" t="s">
        <v>68</v>
      </c>
      <c r="J18" s="335"/>
      <c r="K18" s="335" t="s">
        <v>454</v>
      </c>
      <c r="L18" s="335"/>
      <c r="M18" s="335"/>
      <c r="N18" s="335" t="s">
        <v>453</v>
      </c>
      <c r="O18" s="335"/>
      <c r="P18" s="335" t="s">
        <v>86</v>
      </c>
      <c r="Q18" s="335"/>
      <c r="R18" s="335" t="s">
        <v>25</v>
      </c>
      <c r="S18" s="335"/>
      <c r="T18" s="335" t="s">
        <v>87</v>
      </c>
      <c r="U18" s="335" t="s">
        <v>140</v>
      </c>
      <c r="V18" s="335"/>
      <c r="W18" s="335"/>
      <c r="X18" s="335"/>
      <c r="Y18" s="333" t="s">
        <v>455</v>
      </c>
      <c r="Z18" s="335" t="s">
        <v>456</v>
      </c>
      <c r="AA18" s="335"/>
      <c r="AB18" s="335"/>
      <c r="AC18" s="333" t="s">
        <v>458</v>
      </c>
    </row>
    <row r="19" spans="1:29">
      <c r="A19" s="335"/>
      <c r="B19" s="335"/>
      <c r="C19" s="335"/>
      <c r="D19" s="335"/>
      <c r="E19" s="335"/>
      <c r="F19" s="249" t="s">
        <v>428</v>
      </c>
      <c r="G19" s="249" t="s">
        <v>69</v>
      </c>
      <c r="H19" s="249" t="s">
        <v>70</v>
      </c>
      <c r="I19" s="249" t="s">
        <v>69</v>
      </c>
      <c r="J19" s="249" t="s">
        <v>70</v>
      </c>
      <c r="K19" s="249" t="s">
        <v>189</v>
      </c>
      <c r="L19" s="249" t="s">
        <v>85</v>
      </c>
      <c r="M19" s="249" t="s">
        <v>457</v>
      </c>
      <c r="N19" s="249" t="s">
        <v>453</v>
      </c>
      <c r="O19" s="249" t="s">
        <v>70</v>
      </c>
      <c r="P19" s="249" t="s">
        <v>86</v>
      </c>
      <c r="Q19" s="249" t="s">
        <v>70</v>
      </c>
      <c r="R19" s="249" t="s">
        <v>25</v>
      </c>
      <c r="S19" s="249" t="s">
        <v>70</v>
      </c>
      <c r="T19" s="335"/>
      <c r="U19" s="249" t="s">
        <v>155</v>
      </c>
      <c r="V19" s="249" t="s">
        <v>156</v>
      </c>
      <c r="W19" s="249" t="s">
        <v>141</v>
      </c>
      <c r="X19" s="249" t="s">
        <v>70</v>
      </c>
      <c r="Y19" s="333"/>
      <c r="Z19" s="249" t="s">
        <v>85</v>
      </c>
      <c r="AA19" s="249" t="s">
        <v>86</v>
      </c>
      <c r="AB19" s="249" t="s">
        <v>25</v>
      </c>
      <c r="AC19" s="333"/>
    </row>
    <row r="20" spans="1:29">
      <c r="A20" s="215">
        <v>1</v>
      </c>
      <c r="B20" s="257" t="s">
        <v>228</v>
      </c>
      <c r="C20" s="216">
        <v>376379</v>
      </c>
      <c r="D20" s="216" t="s">
        <v>242</v>
      </c>
      <c r="E20" s="215">
        <f>'MSPL-3(Class)'!L34</f>
        <v>1396833</v>
      </c>
      <c r="F20" s="215"/>
      <c r="G20" s="215"/>
      <c r="H20" s="215"/>
      <c r="I20" s="215"/>
      <c r="J20" s="215"/>
      <c r="K20" s="215">
        <f>'MSPL-3(Class)'!N34</f>
        <v>10754081</v>
      </c>
      <c r="L20" s="215">
        <f>'MSPL-3(Class)'!O34</f>
        <v>0</v>
      </c>
      <c r="M20" s="215">
        <f>'MSPL-3(Class)'!P34</f>
        <v>10754081</v>
      </c>
      <c r="N20" s="215">
        <f>'MSPL-3(Class)'!Q34</f>
        <v>0</v>
      </c>
      <c r="O20" s="215">
        <f>'MSPL-3(Class)'!R34</f>
        <v>1396833</v>
      </c>
      <c r="P20" s="215">
        <f>'MSPL-3(Class)'!S34</f>
        <v>0</v>
      </c>
      <c r="Q20" s="215">
        <f>'MSPL-3(Class)'!T34</f>
        <v>1396833</v>
      </c>
      <c r="R20" s="215">
        <f>'MSPL-3(Class)'!U34</f>
        <v>0</v>
      </c>
      <c r="S20" s="215">
        <f>'MSPL-3(Class)'!V34</f>
        <v>1396833</v>
      </c>
      <c r="T20" s="215">
        <f>'MSPL-3(Class)'!W34</f>
        <v>0</v>
      </c>
      <c r="U20" s="215">
        <f>'MSPL-3(Class)'!Z34</f>
        <v>21508.162</v>
      </c>
      <c r="V20" s="215">
        <f>'MSPL-3(Class)'!AA34</f>
        <v>330.89479999999998</v>
      </c>
      <c r="W20" s="215">
        <f>'MSPL-3(Class)'!AB34</f>
        <v>0</v>
      </c>
      <c r="X20" s="215">
        <f>'MSPL-3(Class)'!AC34</f>
        <v>330.89479999999998</v>
      </c>
      <c r="Y20" s="215">
        <f>'MSPL-3(Class)'!Y34</f>
        <v>0</v>
      </c>
      <c r="Z20" s="215">
        <f>L20/K20%</f>
        <v>0</v>
      </c>
      <c r="AA20" s="215">
        <f>P20/E20%</f>
        <v>0</v>
      </c>
      <c r="AB20" s="215">
        <f>R20/E20%</f>
        <v>0</v>
      </c>
      <c r="AC20" s="215"/>
    </row>
    <row r="21" spans="1:29">
      <c r="A21" s="215">
        <v>2</v>
      </c>
      <c r="B21" s="257" t="s">
        <v>232</v>
      </c>
      <c r="C21" s="215">
        <v>2022</v>
      </c>
      <c r="D21" s="215" t="s">
        <v>238</v>
      </c>
      <c r="E21" s="215">
        <f>'MSPL-3(Class)'!L64</f>
        <v>862368</v>
      </c>
      <c r="F21" s="215"/>
      <c r="G21" s="215"/>
      <c r="H21" s="215"/>
      <c r="I21" s="215"/>
      <c r="J21" s="215"/>
      <c r="K21" s="215">
        <f>'MSPL-3(Class)'!N64</f>
        <v>4873221.75</v>
      </c>
      <c r="L21" s="215">
        <f>'MSPL-3(Class)'!O64</f>
        <v>0</v>
      </c>
      <c r="M21" s="215">
        <f>'MSPL-3(Class)'!P64</f>
        <v>4873221.75</v>
      </c>
      <c r="N21" s="215">
        <f>'MSPL-3(Class)'!Q64</f>
        <v>0</v>
      </c>
      <c r="O21" s="215">
        <f>'MSPL-3(Class)'!R64</f>
        <v>862368</v>
      </c>
      <c r="P21" s="215">
        <f>'MSPL-3(Class)'!S64</f>
        <v>0</v>
      </c>
      <c r="Q21" s="215">
        <f>'MSPL-3(Class)'!T64</f>
        <v>862368</v>
      </c>
      <c r="R21" s="215">
        <f>'MSPL-3(Class)'!U64</f>
        <v>0</v>
      </c>
      <c r="S21" s="215">
        <f>'MSPL-3(Class)'!V64</f>
        <v>862368</v>
      </c>
      <c r="T21" s="215">
        <f>'MSPL-3(Class)'!W64</f>
        <v>0</v>
      </c>
      <c r="U21" s="215">
        <f>'MSPL-3(Class)'!Z64</f>
        <v>9746.4435000000012</v>
      </c>
      <c r="V21" s="215">
        <f>'MSPL-3(Class)'!AA64</f>
        <v>149.94528461538459</v>
      </c>
      <c r="W21" s="215">
        <f>'MSPL-3(Class)'!AB64</f>
        <v>0</v>
      </c>
      <c r="X21" s="215">
        <f>'MSPL-3(Class)'!AC64</f>
        <v>149.94528461538459</v>
      </c>
      <c r="Y21" s="215">
        <f>'MSPL-3(Class)'!Y64</f>
        <v>0</v>
      </c>
      <c r="Z21" s="215">
        <f t="shared" ref="Z21:Z24" si="4">L21/K21%</f>
        <v>0</v>
      </c>
      <c r="AA21" s="215">
        <f t="shared" ref="AA21:AA24" si="5">P21/E21%</f>
        <v>0</v>
      </c>
      <c r="AB21" s="215">
        <f t="shared" ref="AB21:AB24" si="6">R21/E21%</f>
        <v>0</v>
      </c>
      <c r="AC21" s="215"/>
    </row>
    <row r="22" spans="1:29">
      <c r="A22" s="215">
        <v>3</v>
      </c>
      <c r="B22" s="257" t="s">
        <v>283</v>
      </c>
      <c r="C22" s="215">
        <v>646</v>
      </c>
      <c r="D22" s="215" t="s">
        <v>238</v>
      </c>
      <c r="E22" s="215">
        <f>'MSPL-3(Class)'!L102</f>
        <v>407322</v>
      </c>
      <c r="F22" s="215"/>
      <c r="G22" s="215"/>
      <c r="H22" s="215"/>
      <c r="I22" s="215"/>
      <c r="J22" s="215"/>
      <c r="K22" s="215">
        <f>'MSPL-3(Class)'!N102</f>
        <v>1567424.75</v>
      </c>
      <c r="L22" s="215">
        <f>'MSPL-3(Class)'!O102</f>
        <v>0</v>
      </c>
      <c r="M22" s="215">
        <f>'MSPL-3(Class)'!P102</f>
        <v>1567424.75</v>
      </c>
      <c r="N22" s="215">
        <f>'MSPL-3(Class)'!Q102</f>
        <v>0</v>
      </c>
      <c r="O22" s="215">
        <f>'MSPL-3(Class)'!R102</f>
        <v>407322</v>
      </c>
      <c r="P22" s="215">
        <f>'MSPL-3(Class)'!S102</f>
        <v>0</v>
      </c>
      <c r="Q22" s="215">
        <f>'MSPL-3(Class)'!T102</f>
        <v>407322</v>
      </c>
      <c r="R22" s="215">
        <f>'MSPL-3(Class)'!U102</f>
        <v>0</v>
      </c>
      <c r="S22" s="215">
        <f>'MSPL-3(Class)'!V102</f>
        <v>407322</v>
      </c>
      <c r="T22" s="215">
        <f>'MSPL-3(Class)'!W102</f>
        <v>0</v>
      </c>
      <c r="U22" s="215">
        <f>'MSPL-3(Class)'!Z102</f>
        <v>5418.2295000000004</v>
      </c>
      <c r="V22" s="215">
        <f>'MSPL-3(Class)'!AA102</f>
        <v>72.243060000000014</v>
      </c>
      <c r="W22" s="215">
        <f>'MSPL-3(Class)'!AB102</f>
        <v>0</v>
      </c>
      <c r="X22" s="215">
        <f>'MSPL-3(Class)'!AC102</f>
        <v>72.243060000000014</v>
      </c>
      <c r="Y22" s="215">
        <f>'MSPL-3(Class)'!Y102</f>
        <v>0</v>
      </c>
      <c r="Z22" s="215">
        <f t="shared" si="4"/>
        <v>0</v>
      </c>
      <c r="AA22" s="215">
        <f t="shared" si="5"/>
        <v>0</v>
      </c>
      <c r="AB22" s="215">
        <f t="shared" si="6"/>
        <v>0</v>
      </c>
      <c r="AC22" s="215"/>
    </row>
    <row r="23" spans="1:29">
      <c r="A23" s="215">
        <v>4</v>
      </c>
      <c r="B23" s="257" t="s">
        <v>233</v>
      </c>
      <c r="C23" s="215">
        <v>667</v>
      </c>
      <c r="D23" s="215" t="s">
        <v>238</v>
      </c>
      <c r="E23" s="215">
        <f>'MSPL-3(Class)'!L133</f>
        <v>693254</v>
      </c>
      <c r="F23" s="215"/>
      <c r="G23" s="215"/>
      <c r="H23" s="215"/>
      <c r="I23" s="215"/>
      <c r="J23" s="215"/>
      <c r="K23" s="215">
        <f>'MSPL-3(Class)'!N133</f>
        <v>2768978.5</v>
      </c>
      <c r="L23" s="215">
        <f>'MSPL-3(Class)'!O133</f>
        <v>0</v>
      </c>
      <c r="M23" s="215">
        <f>'MSPL-3(Class)'!P133</f>
        <v>2768978.5</v>
      </c>
      <c r="N23" s="215">
        <f>'MSPL-3(Class)'!Q133</f>
        <v>0</v>
      </c>
      <c r="O23" s="215">
        <f>'MSPL-3(Class)'!R133</f>
        <v>693254</v>
      </c>
      <c r="P23" s="215">
        <f>'MSPL-3(Class)'!S133</f>
        <v>0</v>
      </c>
      <c r="Q23" s="215">
        <f>'MSPL-3(Class)'!T133</f>
        <v>693254</v>
      </c>
      <c r="R23" s="215">
        <f>'MSPL-3(Class)'!U133</f>
        <v>0</v>
      </c>
      <c r="S23" s="215">
        <f>'MSPL-3(Class)'!V133</f>
        <v>693254</v>
      </c>
      <c r="T23" s="215">
        <f>'MSPL-3(Class)'!W133</f>
        <v>0</v>
      </c>
      <c r="U23" s="215">
        <f>'MSPL-3(Class)'!Z133</f>
        <v>10012.572999999997</v>
      </c>
      <c r="V23" s="215">
        <f>'MSPL-3(Class)'!AA133</f>
        <v>133.50097333333332</v>
      </c>
      <c r="W23" s="215">
        <f>'MSPL-3(Class)'!AB133</f>
        <v>0</v>
      </c>
      <c r="X23" s="215">
        <f>'MSPL-3(Class)'!AC133</f>
        <v>133.50097333333332</v>
      </c>
      <c r="Y23" s="215">
        <f>'MSPL-3(Class)'!Y133</f>
        <v>0</v>
      </c>
      <c r="Z23" s="215">
        <f t="shared" si="4"/>
        <v>0</v>
      </c>
      <c r="AA23" s="215">
        <f t="shared" si="5"/>
        <v>0</v>
      </c>
      <c r="AB23" s="215">
        <f t="shared" si="6"/>
        <v>0</v>
      </c>
      <c r="AC23" s="215"/>
    </row>
    <row r="24" spans="1:29">
      <c r="A24" s="215">
        <v>5</v>
      </c>
      <c r="B24" s="257" t="s">
        <v>284</v>
      </c>
      <c r="C24" s="216" t="s">
        <v>234</v>
      </c>
      <c r="D24" s="216" t="s">
        <v>243</v>
      </c>
      <c r="E24" s="215">
        <f>'MSPL-3(Class)'!L177</f>
        <v>2933769</v>
      </c>
      <c r="F24" s="215"/>
      <c r="G24" s="215"/>
      <c r="H24" s="215"/>
      <c r="I24" s="215"/>
      <c r="J24" s="215"/>
      <c r="K24" s="215">
        <f>'MSPL-3(Class)'!N177</f>
        <v>14405581</v>
      </c>
      <c r="L24" s="215">
        <f>'MSPL-3(Class)'!O177</f>
        <v>0</v>
      </c>
      <c r="M24" s="215">
        <f>'MSPL-3(Class)'!P177</f>
        <v>14405581</v>
      </c>
      <c r="N24" s="215">
        <f>'MSPL-3(Class)'!Q177</f>
        <v>0</v>
      </c>
      <c r="O24" s="215">
        <f>'MSPL-3(Class)'!R177</f>
        <v>2933769</v>
      </c>
      <c r="P24" s="215">
        <f>'MSPL-3(Class)'!S177</f>
        <v>0</v>
      </c>
      <c r="Q24" s="215">
        <f>'MSPL-3(Class)'!T177</f>
        <v>2933769</v>
      </c>
      <c r="R24" s="215">
        <f>'MSPL-3(Class)'!U177</f>
        <v>0</v>
      </c>
      <c r="S24" s="215">
        <f>'MSPL-3(Class)'!V177</f>
        <v>2933769</v>
      </c>
      <c r="T24" s="215">
        <f>'MSPL-3(Class)'!W177</f>
        <v>0</v>
      </c>
      <c r="U24" s="215">
        <f>'MSPL-3(Class)'!Z177</f>
        <v>53170.316000000013</v>
      </c>
      <c r="V24" s="215">
        <f>'MSPL-3(Class)'!AA177</f>
        <v>708.93754666666666</v>
      </c>
      <c r="W24" s="215">
        <f>'MSPL-3(Class)'!AB177</f>
        <v>0</v>
      </c>
      <c r="X24" s="215">
        <f>'MSPL-3(Class)'!AC177</f>
        <v>708.93754666666666</v>
      </c>
      <c r="Y24" s="215">
        <f>'MSPL-3(Class)'!Y177</f>
        <v>0</v>
      </c>
      <c r="Z24" s="215">
        <f t="shared" si="4"/>
        <v>0</v>
      </c>
      <c r="AA24" s="215">
        <f t="shared" si="5"/>
        <v>0</v>
      </c>
      <c r="AB24" s="215">
        <f t="shared" si="6"/>
        <v>0</v>
      </c>
      <c r="AC24" s="215"/>
    </row>
    <row r="25" spans="1:29">
      <c r="A25" s="336" t="s">
        <v>67</v>
      </c>
      <c r="B25" s="336"/>
      <c r="C25" s="250"/>
      <c r="D25" s="250" t="s">
        <v>244</v>
      </c>
      <c r="E25" s="250">
        <f>SUM(E20:E24)</f>
        <v>6293546</v>
      </c>
      <c r="F25" s="250"/>
      <c r="G25" s="250"/>
      <c r="H25" s="250"/>
      <c r="I25" s="250"/>
      <c r="J25" s="250"/>
      <c r="K25" s="250">
        <f t="shared" ref="K25:Y25" si="7">SUM(K20:K24)</f>
        <v>34369287</v>
      </c>
      <c r="L25" s="250">
        <f t="shared" si="7"/>
        <v>0</v>
      </c>
      <c r="M25" s="250">
        <f t="shared" si="7"/>
        <v>34369287</v>
      </c>
      <c r="N25" s="250">
        <f t="shared" si="7"/>
        <v>0</v>
      </c>
      <c r="O25" s="250">
        <f t="shared" si="7"/>
        <v>6293546</v>
      </c>
      <c r="P25" s="250">
        <f t="shared" si="7"/>
        <v>0</v>
      </c>
      <c r="Q25" s="250">
        <f t="shared" si="7"/>
        <v>6293546</v>
      </c>
      <c r="R25" s="250">
        <f t="shared" si="7"/>
        <v>0</v>
      </c>
      <c r="S25" s="250">
        <f t="shared" si="7"/>
        <v>6293546</v>
      </c>
      <c r="T25" s="250">
        <f t="shared" si="7"/>
        <v>0</v>
      </c>
      <c r="U25" s="250">
        <f t="shared" si="7"/>
        <v>99855.724000000017</v>
      </c>
      <c r="V25" s="250">
        <f t="shared" si="7"/>
        <v>1395.5216646153845</v>
      </c>
      <c r="W25" s="250">
        <f t="shared" si="7"/>
        <v>0</v>
      </c>
      <c r="X25" s="250">
        <f t="shared" si="7"/>
        <v>1395.5216646153845</v>
      </c>
      <c r="Y25" s="250">
        <f t="shared" si="7"/>
        <v>0</v>
      </c>
      <c r="Z25" s="250">
        <f>L25/K25%</f>
        <v>0</v>
      </c>
      <c r="AA25" s="250">
        <f>P25/E25%</f>
        <v>0</v>
      </c>
      <c r="AB25" s="250">
        <f>R25/E25%</f>
        <v>0</v>
      </c>
      <c r="AC25" s="250"/>
    </row>
    <row r="26" spans="1:29" ht="10.5" customHeight="1" thickBot="1">
      <c r="A26" s="213"/>
      <c r="B26" s="213"/>
      <c r="C26" s="213"/>
      <c r="D26" s="213"/>
      <c r="E26" s="213"/>
      <c r="F26" s="213"/>
      <c r="G26" s="213"/>
      <c r="H26" s="213"/>
      <c r="I26" s="213"/>
      <c r="J26" s="213"/>
      <c r="K26" s="213"/>
      <c r="L26" s="213"/>
      <c r="M26" s="213"/>
      <c r="N26" s="213"/>
      <c r="O26" s="213"/>
      <c r="P26" s="213"/>
      <c r="Q26" s="213"/>
      <c r="R26" s="213"/>
      <c r="S26" s="213"/>
      <c r="T26" s="213"/>
      <c r="U26" s="213"/>
      <c r="V26" s="213"/>
      <c r="W26" s="213"/>
      <c r="X26" s="213"/>
      <c r="Y26" s="213"/>
      <c r="Z26" s="213"/>
      <c r="AA26" s="213"/>
      <c r="AB26" s="213"/>
      <c r="AC26" s="213"/>
    </row>
    <row r="27" spans="1:29" ht="16.5" thickBot="1">
      <c r="A27" s="337" t="s">
        <v>246</v>
      </c>
      <c r="B27" s="338"/>
      <c r="C27" s="338"/>
      <c r="D27" s="217" t="s">
        <v>245</v>
      </c>
      <c r="E27" s="218">
        <f t="shared" ref="E27:J27" si="8">E15+E25</f>
        <v>14475922</v>
      </c>
      <c r="F27" s="218">
        <f t="shared" si="8"/>
        <v>8588</v>
      </c>
      <c r="G27" s="218">
        <f t="shared" si="8"/>
        <v>0</v>
      </c>
      <c r="H27" s="218">
        <f t="shared" si="8"/>
        <v>8588</v>
      </c>
      <c r="I27" s="218">
        <f t="shared" si="8"/>
        <v>0</v>
      </c>
      <c r="J27" s="218">
        <f t="shared" si="8"/>
        <v>8182376</v>
      </c>
      <c r="K27" s="218">
        <f>K15+K25</f>
        <v>93541195.75</v>
      </c>
      <c r="L27" s="218">
        <f t="shared" ref="L27:Y27" si="9">L15+L25</f>
        <v>0</v>
      </c>
      <c r="M27" s="218">
        <f t="shared" si="9"/>
        <v>93541195.75</v>
      </c>
      <c r="N27" s="218">
        <f t="shared" si="9"/>
        <v>0</v>
      </c>
      <c r="O27" s="218">
        <f t="shared" si="9"/>
        <v>14475922</v>
      </c>
      <c r="P27" s="218">
        <f t="shared" si="9"/>
        <v>0</v>
      </c>
      <c r="Q27" s="218">
        <f t="shared" si="9"/>
        <v>14475922</v>
      </c>
      <c r="R27" s="218">
        <f t="shared" si="9"/>
        <v>0</v>
      </c>
      <c r="S27" s="218">
        <f t="shared" si="9"/>
        <v>14475922</v>
      </c>
      <c r="T27" s="218">
        <f t="shared" si="9"/>
        <v>0</v>
      </c>
      <c r="U27" s="218">
        <f t="shared" si="9"/>
        <v>255041.73450000005</v>
      </c>
      <c r="V27" s="218">
        <f t="shared" si="9"/>
        <v>3604.3435230769232</v>
      </c>
      <c r="W27" s="218">
        <f t="shared" si="9"/>
        <v>0</v>
      </c>
      <c r="X27" s="218">
        <f t="shared" si="9"/>
        <v>3604.3435230769232</v>
      </c>
      <c r="Y27" s="218">
        <f t="shared" si="9"/>
        <v>0</v>
      </c>
      <c r="Z27" s="218">
        <f>L27/K27%</f>
        <v>0</v>
      </c>
      <c r="AA27" s="218">
        <f>P27/E27%</f>
        <v>0</v>
      </c>
      <c r="AB27" s="218">
        <f>R27/E27%</f>
        <v>0</v>
      </c>
      <c r="AC27" s="218"/>
    </row>
    <row r="28" spans="1:29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 spans="1:29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 spans="1:29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 spans="1:29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</sheetData>
  <mergeCells count="43">
    <mergeCell ref="Z18:AB18"/>
    <mergeCell ref="AC18:AC19"/>
    <mergeCell ref="A27:C27"/>
    <mergeCell ref="B8:B9"/>
    <mergeCell ref="A8:A9"/>
    <mergeCell ref="C8:C9"/>
    <mergeCell ref="A18:A19"/>
    <mergeCell ref="B18:B19"/>
    <mergeCell ref="C18:C19"/>
    <mergeCell ref="A17:C17"/>
    <mergeCell ref="A15:C15"/>
    <mergeCell ref="Z6:AB6"/>
    <mergeCell ref="Y6:Y7"/>
    <mergeCell ref="A25:B25"/>
    <mergeCell ref="D18:D19"/>
    <mergeCell ref="E18:E19"/>
    <mergeCell ref="U6:X6"/>
    <mergeCell ref="K6:M6"/>
    <mergeCell ref="F18:H18"/>
    <mergeCell ref="I18:J18"/>
    <mergeCell ref="K18:M18"/>
    <mergeCell ref="N18:O18"/>
    <mergeCell ref="P18:Q18"/>
    <mergeCell ref="R18:S18"/>
    <mergeCell ref="T18:T19"/>
    <mergeCell ref="U18:X18"/>
    <mergeCell ref="Y18:Y19"/>
    <mergeCell ref="AC6:AC7"/>
    <mergeCell ref="A1:AC1"/>
    <mergeCell ref="A3:AC3"/>
    <mergeCell ref="A5:C5"/>
    <mergeCell ref="D6:D7"/>
    <mergeCell ref="E6:E7"/>
    <mergeCell ref="F6:H6"/>
    <mergeCell ref="A2:AC2"/>
    <mergeCell ref="N6:O6"/>
    <mergeCell ref="R6:S6"/>
    <mergeCell ref="P6:Q6"/>
    <mergeCell ref="T6:T7"/>
    <mergeCell ref="A6:A7"/>
    <mergeCell ref="B6:B7"/>
    <mergeCell ref="C6:C7"/>
    <mergeCell ref="I6:J6"/>
  </mergeCells>
  <pageMargins left="0.25" right="0.25" top="0.25" bottom="0.25" header="0.3" footer="0.3"/>
  <pageSetup paperSize="5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V50"/>
  <sheetViews>
    <sheetView topLeftCell="A4" zoomScale="130" zoomScaleNormal="130" workbookViewId="0">
      <selection activeCell="Q49" sqref="Q49"/>
    </sheetView>
  </sheetViews>
  <sheetFormatPr defaultRowHeight="15.75"/>
  <cols>
    <col min="1" max="1" width="2.7109375" style="1" customWidth="1"/>
    <col min="2" max="2" width="7.85546875" style="1" customWidth="1"/>
    <col min="3" max="3" width="6.7109375" style="1" customWidth="1"/>
    <col min="4" max="4" width="9.85546875" style="1" bestFit="1" customWidth="1"/>
    <col min="5" max="6" width="13.140625" style="1" bestFit="1" customWidth="1"/>
    <col min="7" max="7" width="10.140625" style="1" customWidth="1"/>
    <col min="8" max="8" width="9.85546875" style="1" customWidth="1"/>
    <col min="9" max="9" width="9.85546875" style="1" bestFit="1" customWidth="1"/>
    <col min="10" max="10" width="5" style="1" bestFit="1" customWidth="1"/>
    <col min="11" max="11" width="9.85546875" style="1" bestFit="1" customWidth="1"/>
    <col min="12" max="12" width="7.7109375" style="1" customWidth="1"/>
    <col min="13" max="13" width="9.85546875" style="1" bestFit="1" customWidth="1"/>
    <col min="14" max="14" width="7.7109375" style="1" customWidth="1"/>
    <col min="15" max="15" width="3.7109375" style="1" customWidth="1"/>
    <col min="16" max="16" width="3.42578125" style="1" customWidth="1"/>
    <col min="17" max="17" width="3.140625" style="1" customWidth="1"/>
    <col min="18" max="18" width="7.28515625" style="1" customWidth="1"/>
    <col min="19" max="19" width="7.42578125" style="1" customWidth="1"/>
    <col min="20" max="20" width="5.28515625" style="1" customWidth="1"/>
    <col min="21" max="21" width="4.5703125" style="1" bestFit="1" customWidth="1"/>
    <col min="22" max="22" width="6.28515625" style="1" customWidth="1"/>
    <col min="23" max="16384" width="9.140625" style="1"/>
  </cols>
  <sheetData>
    <row r="1" spans="1:22" ht="30" customHeight="1">
      <c r="A1" s="362" t="s">
        <v>71</v>
      </c>
      <c r="B1" s="362"/>
      <c r="C1" s="362"/>
      <c r="D1" s="362"/>
      <c r="E1" s="362"/>
      <c r="F1" s="362"/>
      <c r="G1" s="362"/>
      <c r="H1" s="362"/>
      <c r="I1" s="362"/>
      <c r="J1" s="362"/>
      <c r="K1" s="362"/>
      <c r="L1" s="362"/>
      <c r="M1" s="362"/>
      <c r="N1" s="362"/>
      <c r="O1" s="362"/>
      <c r="P1" s="362"/>
      <c r="Q1" s="362"/>
      <c r="R1" s="362"/>
      <c r="S1" s="362"/>
      <c r="T1" s="362"/>
      <c r="U1" s="362"/>
      <c r="V1" s="362"/>
    </row>
    <row r="2" spans="1:22" ht="14.25" customHeight="1">
      <c r="A2" s="363" t="s">
        <v>282</v>
      </c>
      <c r="B2" s="363"/>
      <c r="C2" s="363"/>
      <c r="D2" s="363"/>
      <c r="E2" s="363"/>
      <c r="F2" s="363"/>
      <c r="G2" s="363"/>
      <c r="H2" s="363"/>
      <c r="I2" s="363"/>
      <c r="J2" s="363"/>
      <c r="K2" s="363"/>
      <c r="L2" s="363"/>
      <c r="M2" s="363"/>
      <c r="N2" s="363"/>
      <c r="O2" s="363"/>
      <c r="P2" s="363"/>
      <c r="Q2" s="363"/>
      <c r="R2" s="363"/>
      <c r="S2" s="363"/>
      <c r="T2" s="363"/>
      <c r="U2" s="363"/>
      <c r="V2" s="363"/>
    </row>
    <row r="3" spans="1:22" ht="17.25">
      <c r="A3" s="364" t="s">
        <v>247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</row>
    <row r="4" spans="1:22" ht="6" customHeight="1">
      <c r="A4" s="194"/>
      <c r="B4" s="194"/>
      <c r="C4" s="194"/>
      <c r="D4" s="194"/>
      <c r="E4" s="194"/>
      <c r="F4" s="194"/>
      <c r="G4" s="194"/>
      <c r="H4" s="194"/>
      <c r="I4" s="194"/>
      <c r="J4" s="194"/>
      <c r="K4" s="194"/>
      <c r="L4" s="194"/>
      <c r="M4" s="194"/>
      <c r="N4" s="194"/>
      <c r="O4" s="194"/>
      <c r="P4" s="194"/>
      <c r="Q4" s="194"/>
      <c r="R4" s="194"/>
      <c r="S4" s="194"/>
      <c r="T4" s="194"/>
      <c r="U4" s="194"/>
      <c r="V4" s="194"/>
    </row>
    <row r="5" spans="1:22" ht="19.5" customHeight="1">
      <c r="A5" s="366" t="s">
        <v>248</v>
      </c>
      <c r="B5" s="366"/>
      <c r="C5" s="366"/>
      <c r="D5" s="36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368" t="s">
        <v>464</v>
      </c>
      <c r="S5" s="368"/>
      <c r="T5" s="368"/>
      <c r="U5" s="368"/>
      <c r="V5" s="368"/>
    </row>
    <row r="6" spans="1:22" ht="12.95" customHeight="1">
      <c r="A6" s="314" t="s">
        <v>459</v>
      </c>
      <c r="B6" s="314" t="s">
        <v>188</v>
      </c>
      <c r="C6" s="314" t="s">
        <v>237</v>
      </c>
      <c r="D6" s="314" t="s">
        <v>88</v>
      </c>
      <c r="E6" s="314" t="s">
        <v>454</v>
      </c>
      <c r="F6" s="314"/>
      <c r="G6" s="314"/>
      <c r="H6" s="314" t="s">
        <v>453</v>
      </c>
      <c r="I6" s="314"/>
      <c r="J6" s="314" t="s">
        <v>86</v>
      </c>
      <c r="K6" s="314"/>
      <c r="L6" s="314" t="s">
        <v>25</v>
      </c>
      <c r="M6" s="314"/>
      <c r="N6" s="314" t="s">
        <v>87</v>
      </c>
      <c r="O6" s="314" t="s">
        <v>456</v>
      </c>
      <c r="P6" s="314"/>
      <c r="Q6" s="314"/>
      <c r="R6" s="318" t="s">
        <v>458</v>
      </c>
      <c r="S6" s="314" t="s">
        <v>140</v>
      </c>
      <c r="T6" s="314"/>
      <c r="U6" s="314"/>
      <c r="V6" s="314"/>
    </row>
    <row r="7" spans="1:22" ht="12.95" customHeight="1">
      <c r="A7" s="314"/>
      <c r="B7" s="314"/>
      <c r="C7" s="314"/>
      <c r="D7" s="314"/>
      <c r="E7" s="196" t="s">
        <v>189</v>
      </c>
      <c r="F7" s="230" t="s">
        <v>85</v>
      </c>
      <c r="G7" s="230" t="s">
        <v>457</v>
      </c>
      <c r="H7" s="230" t="s">
        <v>453</v>
      </c>
      <c r="I7" s="230" t="s">
        <v>70</v>
      </c>
      <c r="J7" s="230" t="s">
        <v>86</v>
      </c>
      <c r="K7" s="230" t="s">
        <v>70</v>
      </c>
      <c r="L7" s="230" t="s">
        <v>25</v>
      </c>
      <c r="M7" s="230" t="s">
        <v>70</v>
      </c>
      <c r="N7" s="314"/>
      <c r="O7" s="238" t="s">
        <v>85</v>
      </c>
      <c r="P7" s="238" t="s">
        <v>86</v>
      </c>
      <c r="Q7" s="238" t="s">
        <v>25</v>
      </c>
      <c r="R7" s="318"/>
      <c r="S7" s="230" t="s">
        <v>155</v>
      </c>
      <c r="T7" s="230" t="s">
        <v>156</v>
      </c>
      <c r="U7" s="230" t="s">
        <v>141</v>
      </c>
      <c r="V7" s="230" t="s">
        <v>70</v>
      </c>
    </row>
    <row r="8" spans="1:22" ht="12.95" customHeight="1">
      <c r="A8" s="327">
        <v>1</v>
      </c>
      <c r="B8" s="329" t="s">
        <v>227</v>
      </c>
      <c r="C8" s="19" t="s">
        <v>161</v>
      </c>
      <c r="D8" s="19">
        <f>'MSPL-2(LOT)'!E7</f>
        <v>66398</v>
      </c>
      <c r="E8" s="19">
        <f>'MSPL-2(LOT)'!G7</f>
        <v>713778.5</v>
      </c>
      <c r="F8" s="19">
        <f>'MSPL-2(LOT)'!H7</f>
        <v>0</v>
      </c>
      <c r="G8" s="19">
        <f>'MSPL-2(LOT)'!I7</f>
        <v>713778.5</v>
      </c>
      <c r="H8" s="19">
        <f>'MSPL-2(LOT)'!J7</f>
        <v>0</v>
      </c>
      <c r="I8" s="19">
        <f>'MSPL-2(LOT)'!K7</f>
        <v>66398</v>
      </c>
      <c r="J8" s="19">
        <f>'MSPL-2(LOT)'!L7</f>
        <v>0</v>
      </c>
      <c r="K8" s="19">
        <f>'MSPL-2(LOT)'!M7</f>
        <v>66398</v>
      </c>
      <c r="L8" s="19">
        <f>'MSPL-2(LOT)'!N7</f>
        <v>0</v>
      </c>
      <c r="M8" s="19">
        <f>'MSPL-2(LOT)'!O7</f>
        <v>66398</v>
      </c>
      <c r="N8" s="19">
        <f>'MSPL-2(LOT)'!P7</f>
        <v>0</v>
      </c>
      <c r="O8" s="19">
        <f>F8/E8%</f>
        <v>0</v>
      </c>
      <c r="P8" s="19">
        <f>J8/D8%</f>
        <v>0</v>
      </c>
      <c r="Q8" s="19">
        <f>L8/D8%</f>
        <v>0</v>
      </c>
      <c r="R8" s="19"/>
      <c r="S8" s="19">
        <f>'MSPL-2(LOT)'!R7</f>
        <v>1427.557</v>
      </c>
      <c r="T8" s="19">
        <f>'MSPL-2(LOT)'!S7</f>
        <v>28.55114</v>
      </c>
      <c r="U8" s="19">
        <f>'MSPL-2(LOT)'!T7</f>
        <v>0</v>
      </c>
      <c r="V8" s="19">
        <f>'MSPL-2(LOT)'!U7</f>
        <v>28.55114</v>
      </c>
    </row>
    <row r="9" spans="1:22" ht="12.95" customHeight="1">
      <c r="A9" s="328"/>
      <c r="B9" s="330"/>
      <c r="C9" s="19" t="s">
        <v>162</v>
      </c>
      <c r="D9" s="19">
        <f>'MSPL-2(LOT)'!E8</f>
        <v>66398</v>
      </c>
      <c r="E9" s="19">
        <f>'MSPL-2(LOT)'!G8</f>
        <v>564383</v>
      </c>
      <c r="F9" s="19">
        <f>'MSPL-2(LOT)'!H8</f>
        <v>0</v>
      </c>
      <c r="G9" s="19">
        <f>'MSPL-2(LOT)'!I8</f>
        <v>564383</v>
      </c>
      <c r="H9" s="19">
        <f>'MSPL-2(LOT)'!J8</f>
        <v>0</v>
      </c>
      <c r="I9" s="19">
        <f>'MSPL-2(LOT)'!K8</f>
        <v>66398</v>
      </c>
      <c r="J9" s="19">
        <f>'MSPL-2(LOT)'!L8</f>
        <v>0</v>
      </c>
      <c r="K9" s="19">
        <f>'MSPL-2(LOT)'!M8</f>
        <v>66398</v>
      </c>
      <c r="L9" s="19">
        <f>'MSPL-2(LOT)'!N8</f>
        <v>0</v>
      </c>
      <c r="M9" s="19">
        <f>'MSPL-2(LOT)'!O8</f>
        <v>66398</v>
      </c>
      <c r="N9" s="19">
        <f>'MSPL-2(LOT)'!P8</f>
        <v>0</v>
      </c>
      <c r="O9" s="19">
        <f t="shared" ref="O9:O25" si="0">F9/E9%</f>
        <v>0</v>
      </c>
      <c r="P9" s="19">
        <f t="shared" ref="P9:P25" si="1">J9/D9%</f>
        <v>0</v>
      </c>
      <c r="Q9" s="19">
        <f t="shared" ref="Q9:Q25" si="2">L9/D9%</f>
        <v>0</v>
      </c>
      <c r="R9" s="19"/>
      <c r="S9" s="19">
        <f>'MSPL-2(LOT)'!R8</f>
        <v>1128.7660000000001</v>
      </c>
      <c r="T9" s="19">
        <f>'MSPL-2(LOT)'!S8</f>
        <v>17.365630769230769</v>
      </c>
      <c r="U9" s="19">
        <f>'MSPL-2(LOT)'!T8</f>
        <v>0</v>
      </c>
      <c r="V9" s="19">
        <f>'MSPL-2(LOT)'!U8</f>
        <v>17.365630769230769</v>
      </c>
    </row>
    <row r="10" spans="1:22" ht="12.95" customHeight="1">
      <c r="A10" s="327">
        <v>2</v>
      </c>
      <c r="B10" s="327" t="s">
        <v>228</v>
      </c>
      <c r="C10" s="19">
        <v>329</v>
      </c>
      <c r="D10" s="19">
        <f>'MSPL-2(LOT)'!E67</f>
        <v>834870</v>
      </c>
      <c r="E10" s="19">
        <f>'MSPL-2(LOT)'!G67</f>
        <v>6422471</v>
      </c>
      <c r="F10" s="19">
        <f>'MSPL-2(LOT)'!H67</f>
        <v>0</v>
      </c>
      <c r="G10" s="19">
        <f>'MSPL-2(LOT)'!I67</f>
        <v>6422471</v>
      </c>
      <c r="H10" s="19">
        <f>'MSPL-2(LOT)'!J67</f>
        <v>0</v>
      </c>
      <c r="I10" s="19">
        <f>'MSPL-2(LOT)'!K67</f>
        <v>834870</v>
      </c>
      <c r="J10" s="19">
        <f>'MSPL-2(LOT)'!L67</f>
        <v>0</v>
      </c>
      <c r="K10" s="19">
        <f>'MSPL-2(LOT)'!M67</f>
        <v>834870</v>
      </c>
      <c r="L10" s="19">
        <f>'MSPL-2(LOT)'!N67</f>
        <v>0</v>
      </c>
      <c r="M10" s="19">
        <f>'MSPL-2(LOT)'!O67</f>
        <v>834870</v>
      </c>
      <c r="N10" s="19">
        <f>'MSPL-2(LOT)'!P67</f>
        <v>0</v>
      </c>
      <c r="O10" s="19">
        <f t="shared" si="0"/>
        <v>0</v>
      </c>
      <c r="P10" s="19">
        <f t="shared" si="1"/>
        <v>0</v>
      </c>
      <c r="Q10" s="19">
        <f t="shared" si="2"/>
        <v>0</v>
      </c>
      <c r="R10" s="19"/>
      <c r="S10" s="19">
        <f>'MSPL-2(LOT)'!R67</f>
        <v>12844.941999999995</v>
      </c>
      <c r="T10" s="19">
        <f>'MSPL-2(LOT)'!S67</f>
        <v>197.6144923076923</v>
      </c>
      <c r="U10" s="19">
        <f>'MSPL-2(LOT)'!T67</f>
        <v>0</v>
      </c>
      <c r="V10" s="19">
        <f>'MSPL-2(LOT)'!U67</f>
        <v>197.6144923076923</v>
      </c>
    </row>
    <row r="11" spans="1:22" ht="12.95" customHeight="1">
      <c r="A11" s="365"/>
      <c r="B11" s="365"/>
      <c r="C11" s="19">
        <v>338</v>
      </c>
      <c r="D11" s="19">
        <f>'MSPL-2(LOT)'!E104</f>
        <v>806057</v>
      </c>
      <c r="E11" s="19">
        <f>'MSPL-2(LOT)'!G104</f>
        <v>6232721</v>
      </c>
      <c r="F11" s="19">
        <f>'MSPL-2(LOT)'!H104</f>
        <v>0</v>
      </c>
      <c r="G11" s="19">
        <f>'MSPL-2(LOT)'!I104</f>
        <v>6232721</v>
      </c>
      <c r="H11" s="19">
        <f>'MSPL-2(LOT)'!J104</f>
        <v>0</v>
      </c>
      <c r="I11" s="19">
        <f>'MSPL-2(LOT)'!K104</f>
        <v>806057</v>
      </c>
      <c r="J11" s="19">
        <f>'MSPL-2(LOT)'!L104</f>
        <v>0</v>
      </c>
      <c r="K11" s="19">
        <f>'MSPL-2(LOT)'!M104</f>
        <v>806057</v>
      </c>
      <c r="L11" s="19">
        <f>'MSPL-2(LOT)'!N104</f>
        <v>0</v>
      </c>
      <c r="M11" s="19">
        <f>'MSPL-2(LOT)'!O104</f>
        <v>806057</v>
      </c>
      <c r="N11" s="19">
        <f>'MSPL-2(LOT)'!P104</f>
        <v>0</v>
      </c>
      <c r="O11" s="19">
        <f t="shared" si="0"/>
        <v>0</v>
      </c>
      <c r="P11" s="19">
        <f t="shared" si="1"/>
        <v>0</v>
      </c>
      <c r="Q11" s="19">
        <f t="shared" si="2"/>
        <v>0</v>
      </c>
      <c r="R11" s="19"/>
      <c r="S11" s="19">
        <f>'MSPL-2(LOT)'!R104</f>
        <v>12465.441999999999</v>
      </c>
      <c r="T11" s="19">
        <f>'MSPL-2(LOT)'!S104</f>
        <v>191.7760307692308</v>
      </c>
      <c r="U11" s="19">
        <f>'MSPL-2(LOT)'!T104</f>
        <v>0</v>
      </c>
      <c r="V11" s="19">
        <f>'MSPL-2(LOT)'!U104</f>
        <v>191.7760307692308</v>
      </c>
    </row>
    <row r="12" spans="1:22" ht="12.95" customHeight="1">
      <c r="A12" s="365"/>
      <c r="B12" s="365"/>
      <c r="C12" s="19">
        <v>347</v>
      </c>
      <c r="D12" s="19">
        <f>'MSPL-2(LOT)'!E141</f>
        <v>874367</v>
      </c>
      <c r="E12" s="19">
        <f>'MSPL-2(LOT)'!G141</f>
        <v>6737695.25</v>
      </c>
      <c r="F12" s="19">
        <f>'MSPL-2(LOT)'!H141</f>
        <v>0</v>
      </c>
      <c r="G12" s="19">
        <f>'MSPL-2(LOT)'!I141</f>
        <v>6737695.25</v>
      </c>
      <c r="H12" s="19">
        <f>'MSPL-2(LOT)'!J141</f>
        <v>0</v>
      </c>
      <c r="I12" s="19">
        <f>'MSPL-2(LOT)'!K141</f>
        <v>874367</v>
      </c>
      <c r="J12" s="19">
        <f>'MSPL-2(LOT)'!L141</f>
        <v>0</v>
      </c>
      <c r="K12" s="19">
        <f>'MSPL-2(LOT)'!M141</f>
        <v>874367</v>
      </c>
      <c r="L12" s="19">
        <f>'MSPL-2(LOT)'!N141</f>
        <v>0</v>
      </c>
      <c r="M12" s="19">
        <f>'MSPL-2(LOT)'!O141</f>
        <v>874367</v>
      </c>
      <c r="N12" s="19">
        <f>'MSPL-2(LOT)'!P141</f>
        <v>0</v>
      </c>
      <c r="O12" s="19">
        <f t="shared" si="0"/>
        <v>0</v>
      </c>
      <c r="P12" s="19">
        <f t="shared" si="1"/>
        <v>0</v>
      </c>
      <c r="Q12" s="19">
        <f t="shared" si="2"/>
        <v>0</v>
      </c>
      <c r="R12" s="19"/>
      <c r="S12" s="19">
        <f>'MSPL-2(LOT)'!R141</f>
        <v>13475.390500000003</v>
      </c>
      <c r="T12" s="19">
        <f>'MSPL-2(LOT)'!S141</f>
        <v>207.31370000000004</v>
      </c>
      <c r="U12" s="19">
        <f>'MSPL-2(LOT)'!T141</f>
        <v>0</v>
      </c>
      <c r="V12" s="19">
        <f>'MSPL-2(LOT)'!U141</f>
        <v>207.31370000000004</v>
      </c>
    </row>
    <row r="13" spans="1:22" ht="12.95" customHeight="1">
      <c r="A13" s="365"/>
      <c r="B13" s="365"/>
      <c r="C13" s="19">
        <v>375</v>
      </c>
      <c r="D13" s="19">
        <f>'MSPL-2(LOT)'!E178</f>
        <v>888748</v>
      </c>
      <c r="E13" s="19">
        <f>'MSPL-2(LOT)'!G178</f>
        <v>6860589.5</v>
      </c>
      <c r="F13" s="19">
        <f>'MSPL-2(LOT)'!H178</f>
        <v>0</v>
      </c>
      <c r="G13" s="19">
        <f>'MSPL-2(LOT)'!I178</f>
        <v>6860589.5</v>
      </c>
      <c r="H13" s="19">
        <f>'MSPL-2(LOT)'!J178</f>
        <v>0</v>
      </c>
      <c r="I13" s="19">
        <f>'MSPL-2(LOT)'!K178</f>
        <v>888748</v>
      </c>
      <c r="J13" s="19">
        <f>'MSPL-2(LOT)'!L178</f>
        <v>0</v>
      </c>
      <c r="K13" s="19">
        <f>'MSPL-2(LOT)'!M178</f>
        <v>888748</v>
      </c>
      <c r="L13" s="19">
        <f>'MSPL-2(LOT)'!N178</f>
        <v>0</v>
      </c>
      <c r="M13" s="19">
        <f>'MSPL-2(LOT)'!O178</f>
        <v>888748</v>
      </c>
      <c r="N13" s="19">
        <f>'MSPL-2(LOT)'!P178</f>
        <v>0</v>
      </c>
      <c r="O13" s="19">
        <f t="shared" si="0"/>
        <v>0</v>
      </c>
      <c r="P13" s="19">
        <f t="shared" si="1"/>
        <v>0</v>
      </c>
      <c r="Q13" s="19">
        <f t="shared" si="2"/>
        <v>0</v>
      </c>
      <c r="R13" s="19"/>
      <c r="S13" s="19">
        <f>'MSPL-2(LOT)'!R178</f>
        <v>13721.178999999998</v>
      </c>
      <c r="T13" s="19">
        <f>'MSPL-2(LOT)'!S178</f>
        <v>211.09506153846147</v>
      </c>
      <c r="U13" s="19">
        <f>'MSPL-2(LOT)'!T178</f>
        <v>0</v>
      </c>
      <c r="V13" s="19">
        <f>'MSPL-2(LOT)'!U178</f>
        <v>211.09506153846147</v>
      </c>
    </row>
    <row r="14" spans="1:22" ht="12.95" customHeight="1">
      <c r="A14" s="328"/>
      <c r="B14" s="328"/>
      <c r="C14" s="200">
        <v>401</v>
      </c>
      <c r="D14" s="19">
        <f>'MSPL-2(LOT)'!E215</f>
        <v>627854</v>
      </c>
      <c r="E14" s="19">
        <f>'MSPL-2(LOT)'!G215</f>
        <v>4908154</v>
      </c>
      <c r="F14" s="19">
        <f>'MSPL-2(LOT)'!H215</f>
        <v>0</v>
      </c>
      <c r="G14" s="19">
        <f>'MSPL-2(LOT)'!I215</f>
        <v>4908154</v>
      </c>
      <c r="H14" s="19">
        <f>'MSPL-2(LOT)'!J215</f>
        <v>0</v>
      </c>
      <c r="I14" s="19">
        <f>'MSPL-2(LOT)'!K215</f>
        <v>627854</v>
      </c>
      <c r="J14" s="19">
        <f>'MSPL-2(LOT)'!L215</f>
        <v>0</v>
      </c>
      <c r="K14" s="19">
        <f>'MSPL-2(LOT)'!M215</f>
        <v>627854</v>
      </c>
      <c r="L14" s="19">
        <f>'MSPL-2(LOT)'!N215</f>
        <v>0</v>
      </c>
      <c r="M14" s="19">
        <f>'MSPL-2(LOT)'!O215</f>
        <v>627854</v>
      </c>
      <c r="N14" s="19">
        <f>'MSPL-2(LOT)'!P215</f>
        <v>0</v>
      </c>
      <c r="O14" s="19">
        <f t="shared" si="0"/>
        <v>0</v>
      </c>
      <c r="P14" s="19">
        <f t="shared" si="1"/>
        <v>0</v>
      </c>
      <c r="Q14" s="19">
        <f t="shared" si="2"/>
        <v>0</v>
      </c>
      <c r="R14" s="19"/>
      <c r="S14" s="19">
        <f>'MSPL-2(LOT)'!R215</f>
        <v>9816.3079999999991</v>
      </c>
      <c r="T14" s="19">
        <f>'MSPL-2(LOT)'!S215</f>
        <v>151.02012307692308</v>
      </c>
      <c r="U14" s="19">
        <f>'MSPL-2(LOT)'!T215</f>
        <v>0</v>
      </c>
      <c r="V14" s="19">
        <f>'MSPL-2(LOT)'!U215</f>
        <v>151.02012307692308</v>
      </c>
    </row>
    <row r="15" spans="1:22" ht="12.95" customHeight="1">
      <c r="A15" s="327">
        <v>3</v>
      </c>
      <c r="B15" s="327" t="s">
        <v>195</v>
      </c>
      <c r="C15" s="200">
        <v>706</v>
      </c>
      <c r="D15" s="19">
        <f>'MSPL-2(LOT)'!E247</f>
        <v>385310</v>
      </c>
      <c r="E15" s="19">
        <f>'MSPL-2(LOT)'!G247</f>
        <v>1747602.75</v>
      </c>
      <c r="F15" s="19">
        <f>'MSPL-2(LOT)'!H247</f>
        <v>0</v>
      </c>
      <c r="G15" s="19">
        <f>'MSPL-2(LOT)'!I247</f>
        <v>1747602.75</v>
      </c>
      <c r="H15" s="19">
        <f>'MSPL-2(LOT)'!J247</f>
        <v>0</v>
      </c>
      <c r="I15" s="19">
        <f>'MSPL-2(LOT)'!K247</f>
        <v>385310</v>
      </c>
      <c r="J15" s="19">
        <f>'MSPL-2(LOT)'!L247</f>
        <v>0</v>
      </c>
      <c r="K15" s="19">
        <f>'MSPL-2(LOT)'!M247</f>
        <v>385310</v>
      </c>
      <c r="L15" s="19">
        <f>'MSPL-2(LOT)'!N247</f>
        <v>0</v>
      </c>
      <c r="M15" s="19">
        <f>'MSPL-2(LOT)'!O247</f>
        <v>385310</v>
      </c>
      <c r="N15" s="19">
        <f>'MSPL-2(LOT)'!P247</f>
        <v>0</v>
      </c>
      <c r="O15" s="19">
        <f t="shared" si="0"/>
        <v>0</v>
      </c>
      <c r="P15" s="19">
        <f t="shared" si="1"/>
        <v>0</v>
      </c>
      <c r="Q15" s="19">
        <f t="shared" si="2"/>
        <v>0</v>
      </c>
      <c r="R15" s="19"/>
      <c r="S15" s="19">
        <f>'MSPL-2(LOT)'!R247</f>
        <v>6119.5505000000003</v>
      </c>
      <c r="T15" s="19">
        <f>'MSPL-2(LOT)'!S247</f>
        <v>81.594006666666672</v>
      </c>
      <c r="U15" s="19">
        <f>'MSPL-2(LOT)'!T247</f>
        <v>0</v>
      </c>
      <c r="V15" s="19">
        <f>'MSPL-2(LOT)'!U247</f>
        <v>81.594006666666672</v>
      </c>
    </row>
    <row r="16" spans="1:22" ht="12.95" customHeight="1">
      <c r="A16" s="365"/>
      <c r="B16" s="365"/>
      <c r="C16" s="200">
        <v>708</v>
      </c>
      <c r="D16" s="19">
        <f>'MSPL-2(LOT)'!E279</f>
        <v>490170</v>
      </c>
      <c r="E16" s="19">
        <f>'MSPL-2(LOT)'!G279</f>
        <v>2239361.25</v>
      </c>
      <c r="F16" s="19">
        <f>'MSPL-2(LOT)'!H279</f>
        <v>0</v>
      </c>
      <c r="G16" s="19">
        <f>'MSPL-2(LOT)'!I279</f>
        <v>2239361.25</v>
      </c>
      <c r="H16" s="19">
        <f>'MSPL-2(LOT)'!J279</f>
        <v>0</v>
      </c>
      <c r="I16" s="19">
        <f>'MSPL-2(LOT)'!K279</f>
        <v>490170</v>
      </c>
      <c r="J16" s="19">
        <f>'MSPL-2(LOT)'!L279</f>
        <v>0</v>
      </c>
      <c r="K16" s="19">
        <f>'MSPL-2(LOT)'!M279</f>
        <v>490170</v>
      </c>
      <c r="L16" s="19">
        <f>'MSPL-2(LOT)'!N279</f>
        <v>0</v>
      </c>
      <c r="M16" s="19">
        <f>'MSPL-2(LOT)'!O279</f>
        <v>490170</v>
      </c>
      <c r="N16" s="19">
        <f>'MSPL-2(LOT)'!P279</f>
        <v>0</v>
      </c>
      <c r="O16" s="19">
        <f t="shared" si="0"/>
        <v>0</v>
      </c>
      <c r="P16" s="19">
        <f t="shared" si="1"/>
        <v>0</v>
      </c>
      <c r="Q16" s="19">
        <f t="shared" si="2"/>
        <v>0</v>
      </c>
      <c r="R16" s="19"/>
      <c r="S16" s="19">
        <f>'MSPL-2(LOT)'!R279</f>
        <v>7867.1374999999998</v>
      </c>
      <c r="T16" s="19">
        <f>'MSPL-2(LOT)'!S279</f>
        <v>104.89516666666665</v>
      </c>
      <c r="U16" s="19">
        <f>'MSPL-2(LOT)'!T279</f>
        <v>0</v>
      </c>
      <c r="V16" s="19">
        <f>'MSPL-2(LOT)'!U279</f>
        <v>104.89516666666665</v>
      </c>
    </row>
    <row r="17" spans="1:22" ht="12.95" customHeight="1">
      <c r="A17" s="365"/>
      <c r="B17" s="365"/>
      <c r="C17" s="200">
        <v>757</v>
      </c>
      <c r="D17" s="19">
        <f>'MSPL-2(LOT)'!E311</f>
        <v>419685</v>
      </c>
      <c r="E17" s="19">
        <f>'MSPL-2(LOT)'!G311</f>
        <v>1894800</v>
      </c>
      <c r="F17" s="19">
        <f>'MSPL-2(LOT)'!H311</f>
        <v>0</v>
      </c>
      <c r="G17" s="19">
        <f>'MSPL-2(LOT)'!I311</f>
        <v>1894800</v>
      </c>
      <c r="H17" s="19">
        <f>'MSPL-2(LOT)'!J311</f>
        <v>0</v>
      </c>
      <c r="I17" s="19">
        <f>'MSPL-2(LOT)'!K311</f>
        <v>419685</v>
      </c>
      <c r="J17" s="19">
        <f>'MSPL-2(LOT)'!L311</f>
        <v>0</v>
      </c>
      <c r="K17" s="19">
        <f>'MSPL-2(LOT)'!M311</f>
        <v>419685</v>
      </c>
      <c r="L17" s="19">
        <f>'MSPL-2(LOT)'!N311</f>
        <v>0</v>
      </c>
      <c r="M17" s="19">
        <f>'MSPL-2(LOT)'!O311</f>
        <v>419685</v>
      </c>
      <c r="N17" s="19">
        <f>'MSPL-2(LOT)'!P311</f>
        <v>0</v>
      </c>
      <c r="O17" s="19">
        <f t="shared" si="0"/>
        <v>0</v>
      </c>
      <c r="P17" s="19">
        <f t="shared" si="1"/>
        <v>0</v>
      </c>
      <c r="Q17" s="19">
        <f t="shared" si="2"/>
        <v>0</v>
      </c>
      <c r="R17" s="19"/>
      <c r="S17" s="19">
        <f>'MSPL-2(LOT)'!R311</f>
        <v>6638.8450000000003</v>
      </c>
      <c r="T17" s="19">
        <f>'MSPL-2(LOT)'!S311</f>
        <v>88.517933333333318</v>
      </c>
      <c r="U17" s="19">
        <f>'MSPL-2(LOT)'!T311</f>
        <v>0</v>
      </c>
      <c r="V17" s="19">
        <f>'MSPL-2(LOT)'!U311</f>
        <v>88.517933333333318</v>
      </c>
    </row>
    <row r="18" spans="1:22" ht="12.95" customHeight="1">
      <c r="A18" s="365"/>
      <c r="B18" s="365"/>
      <c r="C18" s="200">
        <v>759</v>
      </c>
      <c r="D18" s="19">
        <f>'MSPL-2(LOT)'!E343</f>
        <v>589637</v>
      </c>
      <c r="E18" s="19">
        <f>'MSPL-2(LOT)'!G343</f>
        <v>2669929.5</v>
      </c>
      <c r="F18" s="19">
        <f>'MSPL-2(LOT)'!H343</f>
        <v>0</v>
      </c>
      <c r="G18" s="19">
        <f>'MSPL-2(LOT)'!I343</f>
        <v>2669929.5</v>
      </c>
      <c r="H18" s="19">
        <f>'MSPL-2(LOT)'!J343</f>
        <v>0</v>
      </c>
      <c r="I18" s="19">
        <f>'MSPL-2(LOT)'!K343</f>
        <v>589637</v>
      </c>
      <c r="J18" s="19">
        <f>'MSPL-2(LOT)'!L343</f>
        <v>0</v>
      </c>
      <c r="K18" s="19">
        <f>'MSPL-2(LOT)'!M343</f>
        <v>589637</v>
      </c>
      <c r="L18" s="19">
        <f>'MSPL-2(LOT)'!N343</f>
        <v>0</v>
      </c>
      <c r="M18" s="19">
        <f>'MSPL-2(LOT)'!O343</f>
        <v>589637</v>
      </c>
      <c r="N18" s="19">
        <f>'MSPL-2(LOT)'!P343</f>
        <v>0</v>
      </c>
      <c r="O18" s="19">
        <f t="shared" si="0"/>
        <v>0</v>
      </c>
      <c r="P18" s="19">
        <f t="shared" si="1"/>
        <v>0</v>
      </c>
      <c r="Q18" s="19">
        <f t="shared" si="2"/>
        <v>0</v>
      </c>
      <c r="R18" s="19"/>
      <c r="S18" s="19">
        <f>'MSPL-2(LOT)'!R343</f>
        <v>9367.9794999999976</v>
      </c>
      <c r="T18" s="19">
        <f>'MSPL-2(LOT)'!S343</f>
        <v>124.90639333333333</v>
      </c>
      <c r="U18" s="19">
        <f>'MSPL-2(LOT)'!T343</f>
        <v>0</v>
      </c>
      <c r="V18" s="19">
        <f>'MSPL-2(LOT)'!U343</f>
        <v>124.90639333333333</v>
      </c>
    </row>
    <row r="19" spans="1:22" ht="12.95" customHeight="1">
      <c r="A19" s="328"/>
      <c r="B19" s="328"/>
      <c r="C19" s="200">
        <v>862</v>
      </c>
      <c r="D19" s="19">
        <f>'MSPL-2(LOT)'!E375</f>
        <v>303805</v>
      </c>
      <c r="E19" s="19">
        <f>'MSPL-2(LOT)'!G375</f>
        <v>1376488.75</v>
      </c>
      <c r="F19" s="19">
        <f>'MSPL-2(LOT)'!H375</f>
        <v>0</v>
      </c>
      <c r="G19" s="19">
        <f>'MSPL-2(LOT)'!I375</f>
        <v>1376488.75</v>
      </c>
      <c r="H19" s="19">
        <f>'MSPL-2(LOT)'!J375</f>
        <v>0</v>
      </c>
      <c r="I19" s="19">
        <f>'MSPL-2(LOT)'!K375</f>
        <v>303805</v>
      </c>
      <c r="J19" s="19">
        <f>'MSPL-2(LOT)'!L375</f>
        <v>0</v>
      </c>
      <c r="K19" s="19">
        <f>'MSPL-2(LOT)'!M375</f>
        <v>303805</v>
      </c>
      <c r="L19" s="19">
        <f>'MSPL-2(LOT)'!N375</f>
        <v>0</v>
      </c>
      <c r="M19" s="19">
        <f>'MSPL-2(LOT)'!O375</f>
        <v>303805</v>
      </c>
      <c r="N19" s="19">
        <f>'MSPL-2(LOT)'!P375</f>
        <v>0</v>
      </c>
      <c r="O19" s="19">
        <f t="shared" si="0"/>
        <v>0</v>
      </c>
      <c r="P19" s="19">
        <f t="shared" si="1"/>
        <v>0</v>
      </c>
      <c r="Q19" s="19">
        <f t="shared" si="2"/>
        <v>0</v>
      </c>
      <c r="R19" s="19"/>
      <c r="S19" s="19">
        <f>'MSPL-2(LOT)'!R375</f>
        <v>4840.7349999999997</v>
      </c>
      <c r="T19" s="19">
        <f>'MSPL-2(LOT)'!S375</f>
        <v>64.543133333333344</v>
      </c>
      <c r="U19" s="19">
        <f>'MSPL-2(LOT)'!T375</f>
        <v>0</v>
      </c>
      <c r="V19" s="19">
        <f>'MSPL-2(LOT)'!U375</f>
        <v>64.543133333333344</v>
      </c>
    </row>
    <row r="20" spans="1:22" ht="12.95" customHeight="1">
      <c r="A20" s="327">
        <v>4</v>
      </c>
      <c r="B20" s="327" t="s">
        <v>229</v>
      </c>
      <c r="C20" s="200">
        <v>926</v>
      </c>
      <c r="D20" s="19">
        <f>'MSPL-2(LOT)'!E401</f>
        <v>305465</v>
      </c>
      <c r="E20" s="19">
        <f>'MSPL-2(LOT)'!G401</f>
        <v>2445997.5</v>
      </c>
      <c r="F20" s="19">
        <f>'MSPL-2(LOT)'!H401</f>
        <v>0</v>
      </c>
      <c r="G20" s="19">
        <f>'MSPL-2(LOT)'!I401</f>
        <v>2445997.5</v>
      </c>
      <c r="H20" s="19">
        <f>'MSPL-2(LOT)'!J401</f>
        <v>0</v>
      </c>
      <c r="I20" s="19">
        <f>'MSPL-2(LOT)'!K401</f>
        <v>305465</v>
      </c>
      <c r="J20" s="19">
        <f>'MSPL-2(LOT)'!L401</f>
        <v>0</v>
      </c>
      <c r="K20" s="19">
        <f>'MSPL-2(LOT)'!M401</f>
        <v>305465</v>
      </c>
      <c r="L20" s="19">
        <f>'MSPL-2(LOT)'!N401</f>
        <v>0</v>
      </c>
      <c r="M20" s="19">
        <f>'MSPL-2(LOT)'!O401</f>
        <v>305465</v>
      </c>
      <c r="N20" s="19">
        <f>'MSPL-2(LOT)'!P401</f>
        <v>0</v>
      </c>
      <c r="O20" s="19">
        <f t="shared" si="0"/>
        <v>0</v>
      </c>
      <c r="P20" s="19">
        <f t="shared" si="1"/>
        <v>0</v>
      </c>
      <c r="Q20" s="19">
        <f t="shared" si="2"/>
        <v>0</v>
      </c>
      <c r="R20" s="19"/>
      <c r="S20" s="19">
        <f>'MSPL-2(LOT)'!R401</f>
        <v>9340.8449999999993</v>
      </c>
      <c r="T20" s="19">
        <f>'MSPL-2(LOT)'!S401</f>
        <v>124.54460000000002</v>
      </c>
      <c r="U20" s="19">
        <f>'MSPL-2(LOT)'!T401</f>
        <v>0</v>
      </c>
      <c r="V20" s="19">
        <f>'MSPL-2(LOT)'!U401</f>
        <v>124.54460000000002</v>
      </c>
    </row>
    <row r="21" spans="1:22" ht="12.95" customHeight="1">
      <c r="A21" s="365"/>
      <c r="B21" s="365"/>
      <c r="C21" s="200">
        <v>938</v>
      </c>
      <c r="D21" s="19">
        <f>'MSPL-2(LOT)'!E434</f>
        <v>346380</v>
      </c>
      <c r="E21" s="19">
        <f>'MSPL-2(LOT)'!G434</f>
        <v>2716987.5</v>
      </c>
      <c r="F21" s="19">
        <f>'MSPL-2(LOT)'!H434</f>
        <v>0</v>
      </c>
      <c r="G21" s="19">
        <f>'MSPL-2(LOT)'!I434</f>
        <v>2716987.5</v>
      </c>
      <c r="H21" s="19">
        <f>'MSPL-2(LOT)'!J434</f>
        <v>0</v>
      </c>
      <c r="I21" s="19">
        <f>'MSPL-2(LOT)'!K434</f>
        <v>346380</v>
      </c>
      <c r="J21" s="19">
        <f>'MSPL-2(LOT)'!L434</f>
        <v>0</v>
      </c>
      <c r="K21" s="19">
        <f>'MSPL-2(LOT)'!M434</f>
        <v>346380</v>
      </c>
      <c r="L21" s="19">
        <f>'MSPL-2(LOT)'!N434</f>
        <v>0</v>
      </c>
      <c r="M21" s="19">
        <f>'MSPL-2(LOT)'!O434</f>
        <v>346380</v>
      </c>
      <c r="N21" s="19">
        <f>'MSPL-2(LOT)'!P434</f>
        <v>0</v>
      </c>
      <c r="O21" s="19">
        <f t="shared" si="0"/>
        <v>0</v>
      </c>
      <c r="P21" s="19">
        <f t="shared" si="1"/>
        <v>0</v>
      </c>
      <c r="Q21" s="19">
        <f t="shared" si="2"/>
        <v>0</v>
      </c>
      <c r="R21" s="19"/>
      <c r="S21" s="19">
        <f>'MSPL-2(LOT)'!R434</f>
        <v>10335.755000000001</v>
      </c>
      <c r="T21" s="19">
        <f>'MSPL-2(LOT)'!S434</f>
        <v>137.81006666666667</v>
      </c>
      <c r="U21" s="19">
        <f>'MSPL-2(LOT)'!T434</f>
        <v>0</v>
      </c>
      <c r="V21" s="19">
        <f>'MSPL-2(LOT)'!U434</f>
        <v>137.81006666666667</v>
      </c>
    </row>
    <row r="22" spans="1:22" ht="12.95" customHeight="1">
      <c r="A22" s="365"/>
      <c r="B22" s="365"/>
      <c r="C22" s="200">
        <v>953</v>
      </c>
      <c r="D22" s="19">
        <f>'MSPL-2(LOT)'!E467</f>
        <v>288238</v>
      </c>
      <c r="E22" s="19">
        <f>'MSPL-2(LOT)'!G467</f>
        <v>2210764</v>
      </c>
      <c r="F22" s="19">
        <f>'MSPL-2(LOT)'!H467</f>
        <v>0</v>
      </c>
      <c r="G22" s="19">
        <f>'MSPL-2(LOT)'!I467</f>
        <v>2210764</v>
      </c>
      <c r="H22" s="19">
        <f>'MSPL-2(LOT)'!J467</f>
        <v>0</v>
      </c>
      <c r="I22" s="19">
        <f>'MSPL-2(LOT)'!K467</f>
        <v>288238</v>
      </c>
      <c r="J22" s="19">
        <f>'MSPL-2(LOT)'!L467</f>
        <v>0</v>
      </c>
      <c r="K22" s="19">
        <f>'MSPL-2(LOT)'!M467</f>
        <v>288238</v>
      </c>
      <c r="L22" s="19">
        <f>'MSPL-2(LOT)'!N467</f>
        <v>0</v>
      </c>
      <c r="M22" s="19">
        <f>'MSPL-2(LOT)'!O467</f>
        <v>288238</v>
      </c>
      <c r="N22" s="19">
        <f>'MSPL-2(LOT)'!P467</f>
        <v>0</v>
      </c>
      <c r="O22" s="19">
        <f t="shared" si="0"/>
        <v>0</v>
      </c>
      <c r="P22" s="19">
        <f t="shared" si="1"/>
        <v>0</v>
      </c>
      <c r="Q22" s="19">
        <f t="shared" si="2"/>
        <v>0</v>
      </c>
      <c r="R22" s="19"/>
      <c r="S22" s="19">
        <f>'MSPL-2(LOT)'!R467</f>
        <v>8474.2959999999985</v>
      </c>
      <c r="T22" s="19">
        <f>'MSPL-2(LOT)'!S467</f>
        <v>112.99061333333333</v>
      </c>
      <c r="U22" s="19">
        <f>'MSPL-2(LOT)'!T467</f>
        <v>0</v>
      </c>
      <c r="V22" s="19">
        <f>'MSPL-2(LOT)'!U467</f>
        <v>112.99061333333333</v>
      </c>
    </row>
    <row r="23" spans="1:22" ht="12.95" customHeight="1">
      <c r="A23" s="328"/>
      <c r="B23" s="328"/>
      <c r="C23" s="200">
        <v>963</v>
      </c>
      <c r="D23" s="19">
        <f>'MSPL-2(LOT)'!E498</f>
        <v>306260</v>
      </c>
      <c r="E23" s="19">
        <f>'MSPL-2(LOT)'!G498</f>
        <v>2358035.75</v>
      </c>
      <c r="F23" s="19">
        <f>'MSPL-2(LOT)'!H498</f>
        <v>0</v>
      </c>
      <c r="G23" s="19">
        <f>'MSPL-2(LOT)'!I498</f>
        <v>2358035.75</v>
      </c>
      <c r="H23" s="19">
        <f>'MSPL-2(LOT)'!J498</f>
        <v>0</v>
      </c>
      <c r="I23" s="19">
        <f>'MSPL-2(LOT)'!K498</f>
        <v>306260</v>
      </c>
      <c r="J23" s="19">
        <f>'MSPL-2(LOT)'!L498</f>
        <v>0</v>
      </c>
      <c r="K23" s="19">
        <f>'MSPL-2(LOT)'!M498</f>
        <v>306260</v>
      </c>
      <c r="L23" s="19">
        <f>'MSPL-2(LOT)'!N498</f>
        <v>0</v>
      </c>
      <c r="M23" s="19">
        <f>'MSPL-2(LOT)'!O498</f>
        <v>306260</v>
      </c>
      <c r="N23" s="19">
        <f>'MSPL-2(LOT)'!P498</f>
        <v>0</v>
      </c>
      <c r="O23" s="19">
        <f t="shared" si="0"/>
        <v>0</v>
      </c>
      <c r="P23" s="19">
        <f t="shared" si="1"/>
        <v>0</v>
      </c>
      <c r="Q23" s="19">
        <f t="shared" si="2"/>
        <v>0</v>
      </c>
      <c r="R23" s="19"/>
      <c r="S23" s="19">
        <f>'MSPL-2(LOT)'!R498</f>
        <v>8988.8635000000013</v>
      </c>
      <c r="T23" s="19">
        <f>'MSPL-2(LOT)'!S498</f>
        <v>119.85151333333332</v>
      </c>
      <c r="U23" s="19">
        <f>'MSPL-2(LOT)'!T498</f>
        <v>0</v>
      </c>
      <c r="V23" s="19">
        <f>'MSPL-2(LOT)'!U498</f>
        <v>119.85151333333332</v>
      </c>
    </row>
    <row r="24" spans="1:22" ht="12.95" customHeight="1">
      <c r="A24" s="19">
        <v>5</v>
      </c>
      <c r="B24" s="234" t="s">
        <v>230</v>
      </c>
      <c r="C24" s="19">
        <v>1122</v>
      </c>
      <c r="D24" s="19">
        <f>'MSPL-2(LOT)'!E524</f>
        <v>295274</v>
      </c>
      <c r="E24" s="19">
        <f>'MSPL-2(LOT)'!G524</f>
        <v>4708344.5</v>
      </c>
      <c r="F24" s="19">
        <f>'MSPL-2(LOT)'!H524</f>
        <v>0</v>
      </c>
      <c r="G24" s="19">
        <f>'MSPL-2(LOT)'!I524</f>
        <v>4708344.5</v>
      </c>
      <c r="H24" s="19">
        <f>'MSPL-2(LOT)'!J524</f>
        <v>0</v>
      </c>
      <c r="I24" s="19">
        <f>'MSPL-2(LOT)'!K524</f>
        <v>295274</v>
      </c>
      <c r="J24" s="19">
        <f>'MSPL-2(LOT)'!L524</f>
        <v>0</v>
      </c>
      <c r="K24" s="19">
        <f>'MSPL-2(LOT)'!M524</f>
        <v>295274</v>
      </c>
      <c r="L24" s="19">
        <f>'MSPL-2(LOT)'!N524</f>
        <v>0</v>
      </c>
      <c r="M24" s="19">
        <f>'MSPL-2(LOT)'!O524</f>
        <v>295274</v>
      </c>
      <c r="N24" s="19">
        <f>'MSPL-2(LOT)'!P524</f>
        <v>0</v>
      </c>
      <c r="O24" s="19">
        <f t="shared" si="0"/>
        <v>0</v>
      </c>
      <c r="P24" s="19">
        <f t="shared" si="1"/>
        <v>0</v>
      </c>
      <c r="Q24" s="19">
        <f t="shared" si="2"/>
        <v>0</v>
      </c>
      <c r="R24" s="19"/>
      <c r="S24" s="19">
        <f>'MSPL-2(LOT)'!R524</f>
        <v>9416.6890000000003</v>
      </c>
      <c r="T24" s="19">
        <f>'MSPL-2(LOT)'!S524</f>
        <v>125.55585333333335</v>
      </c>
      <c r="U24" s="19">
        <f>'MSPL-2(LOT)'!T524</f>
        <v>0</v>
      </c>
      <c r="V24" s="19">
        <f>'MSPL-2(LOT)'!U524</f>
        <v>125.55585333333335</v>
      </c>
    </row>
    <row r="25" spans="1:22" ht="12.95" customHeight="1">
      <c r="A25" s="19">
        <v>6</v>
      </c>
      <c r="B25" s="234" t="s">
        <v>231</v>
      </c>
      <c r="C25" s="19">
        <v>1055</v>
      </c>
      <c r="D25" s="19">
        <f>'MSPL-2(LOT)'!E567</f>
        <v>287460</v>
      </c>
      <c r="E25" s="19">
        <f>'MSPL-2(LOT)'!G567</f>
        <v>2363805</v>
      </c>
      <c r="F25" s="19">
        <f>'MSPL-2(LOT)'!H567</f>
        <v>0</v>
      </c>
      <c r="G25" s="19">
        <f>'MSPL-2(LOT)'!I567</f>
        <v>2363805</v>
      </c>
      <c r="H25" s="19">
        <f>'MSPL-2(LOT)'!J567</f>
        <v>0</v>
      </c>
      <c r="I25" s="19">
        <f>'MSPL-2(LOT)'!K567</f>
        <v>287460</v>
      </c>
      <c r="J25" s="19">
        <f>'MSPL-2(LOT)'!L567</f>
        <v>0</v>
      </c>
      <c r="K25" s="19">
        <f>'MSPL-2(LOT)'!M567</f>
        <v>287460</v>
      </c>
      <c r="L25" s="19">
        <f>'MSPL-2(LOT)'!N567</f>
        <v>0</v>
      </c>
      <c r="M25" s="19">
        <f>'MSPL-2(LOT)'!O567</f>
        <v>287460</v>
      </c>
      <c r="N25" s="19">
        <f>'MSPL-2(LOT)'!P567</f>
        <v>0</v>
      </c>
      <c r="O25" s="19">
        <f t="shared" si="0"/>
        <v>0</v>
      </c>
      <c r="P25" s="19">
        <f t="shared" si="1"/>
        <v>0</v>
      </c>
      <c r="Q25" s="19">
        <f t="shared" si="2"/>
        <v>0</v>
      </c>
      <c r="R25" s="19"/>
      <c r="S25" s="19">
        <f>'MSPL-2(LOT)'!R567</f>
        <v>8915.7299999999977</v>
      </c>
      <c r="T25" s="19">
        <f>'MSPL-2(LOT)'!S567</f>
        <v>118.87640000000002</v>
      </c>
      <c r="U25" s="19">
        <f>'MSPL-2(LOT)'!T567</f>
        <v>0</v>
      </c>
      <c r="V25" s="19">
        <f>'MSPL-2(LOT)'!U567</f>
        <v>118.87640000000002</v>
      </c>
    </row>
    <row r="26" spans="1:22" ht="12.95" customHeight="1">
      <c r="A26" s="322" t="s">
        <v>67</v>
      </c>
      <c r="B26" s="324"/>
      <c r="C26" s="197"/>
      <c r="D26" s="237">
        <f>SUM(D8:D25)</f>
        <v>8182376</v>
      </c>
      <c r="E26" s="237">
        <f t="shared" ref="E26:R26" si="3">SUM(E8:E25)</f>
        <v>59171908.75</v>
      </c>
      <c r="F26" s="197">
        <f t="shared" si="3"/>
        <v>0</v>
      </c>
      <c r="G26" s="237">
        <f t="shared" si="3"/>
        <v>59171908.75</v>
      </c>
      <c r="H26" s="197">
        <f t="shared" si="3"/>
        <v>0</v>
      </c>
      <c r="I26" s="197">
        <f t="shared" si="3"/>
        <v>8182376</v>
      </c>
      <c r="J26" s="197">
        <f t="shared" si="3"/>
        <v>0</v>
      </c>
      <c r="K26" s="197">
        <f t="shared" si="3"/>
        <v>8182376</v>
      </c>
      <c r="L26" s="197">
        <f t="shared" si="3"/>
        <v>0</v>
      </c>
      <c r="M26" s="197">
        <f t="shared" si="3"/>
        <v>8182376</v>
      </c>
      <c r="N26" s="197">
        <f t="shared" si="3"/>
        <v>0</v>
      </c>
      <c r="O26" s="197">
        <f>F26/E26%</f>
        <v>0</v>
      </c>
      <c r="P26" s="197">
        <f>J26/D26%</f>
        <v>0</v>
      </c>
      <c r="Q26" s="197">
        <f>L26/D26%</f>
        <v>0</v>
      </c>
      <c r="R26" s="197">
        <f t="shared" si="3"/>
        <v>0</v>
      </c>
      <c r="S26" s="197">
        <f t="shared" ref="S26:V26" si="4">SUM(S8:S25)</f>
        <v>155186.01050000003</v>
      </c>
      <c r="T26" s="197">
        <f t="shared" si="4"/>
        <v>2208.8218584615388</v>
      </c>
      <c r="U26" s="197">
        <f t="shared" si="4"/>
        <v>0</v>
      </c>
      <c r="V26" s="197">
        <f t="shared" si="4"/>
        <v>2208.8218584615388</v>
      </c>
    </row>
    <row r="27" spans="1:22" ht="3.75" customHeight="1">
      <c r="A27" s="198"/>
      <c r="B27" s="198"/>
      <c r="C27" s="201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8"/>
    </row>
    <row r="28" spans="1:22" ht="12.95" customHeight="1">
      <c r="A28" s="367" t="s">
        <v>249</v>
      </c>
      <c r="B28" s="367"/>
      <c r="C28" s="367"/>
      <c r="D28" s="367"/>
      <c r="E28" s="198"/>
      <c r="F28" s="198"/>
      <c r="G28" s="198"/>
      <c r="H28" s="198"/>
      <c r="I28" s="198"/>
      <c r="J28" s="198"/>
      <c r="K28" s="198"/>
      <c r="L28" s="198"/>
      <c r="M28" s="198"/>
      <c r="N28" s="198"/>
      <c r="O28" s="198"/>
      <c r="P28" s="198"/>
      <c r="Q28" s="198"/>
      <c r="R28" s="198"/>
      <c r="S28" s="198"/>
      <c r="T28" s="198"/>
      <c r="U28" s="198"/>
      <c r="V28" s="198"/>
    </row>
    <row r="29" spans="1:22" ht="12.95" customHeight="1">
      <c r="A29" s="314" t="s">
        <v>459</v>
      </c>
      <c r="B29" s="314" t="s">
        <v>188</v>
      </c>
      <c r="C29" s="314" t="s">
        <v>237</v>
      </c>
      <c r="D29" s="314" t="s">
        <v>88</v>
      </c>
      <c r="E29" s="314" t="s">
        <v>454</v>
      </c>
      <c r="F29" s="314"/>
      <c r="G29" s="314"/>
      <c r="H29" s="314" t="s">
        <v>453</v>
      </c>
      <c r="I29" s="314"/>
      <c r="J29" s="314" t="s">
        <v>86</v>
      </c>
      <c r="K29" s="314"/>
      <c r="L29" s="314" t="s">
        <v>25</v>
      </c>
      <c r="M29" s="314"/>
      <c r="N29" s="314" t="s">
        <v>87</v>
      </c>
      <c r="O29" s="314" t="s">
        <v>456</v>
      </c>
      <c r="P29" s="314"/>
      <c r="Q29" s="314"/>
      <c r="R29" s="318" t="s">
        <v>458</v>
      </c>
      <c r="S29" s="314" t="s">
        <v>140</v>
      </c>
      <c r="T29" s="314"/>
      <c r="U29" s="314"/>
      <c r="V29" s="314"/>
    </row>
    <row r="30" spans="1:22" ht="12.95" customHeight="1">
      <c r="A30" s="314"/>
      <c r="B30" s="314"/>
      <c r="C30" s="314"/>
      <c r="D30" s="314"/>
      <c r="E30" s="196" t="s">
        <v>189</v>
      </c>
      <c r="F30" s="230" t="s">
        <v>85</v>
      </c>
      <c r="G30" s="230" t="s">
        <v>457</v>
      </c>
      <c r="H30" s="230" t="s">
        <v>453</v>
      </c>
      <c r="I30" s="230" t="s">
        <v>70</v>
      </c>
      <c r="J30" s="230" t="s">
        <v>86</v>
      </c>
      <c r="K30" s="230" t="s">
        <v>70</v>
      </c>
      <c r="L30" s="230" t="s">
        <v>25</v>
      </c>
      <c r="M30" s="230" t="s">
        <v>70</v>
      </c>
      <c r="N30" s="314"/>
      <c r="O30" s="230" t="s">
        <v>85</v>
      </c>
      <c r="P30" s="230" t="s">
        <v>86</v>
      </c>
      <c r="Q30" s="230" t="s">
        <v>25</v>
      </c>
      <c r="R30" s="318"/>
      <c r="S30" s="230" t="s">
        <v>155</v>
      </c>
      <c r="T30" s="230" t="s">
        <v>156</v>
      </c>
      <c r="U30" s="230" t="s">
        <v>141</v>
      </c>
      <c r="V30" s="230" t="s">
        <v>70</v>
      </c>
    </row>
    <row r="31" spans="1:22" ht="12.95" customHeight="1">
      <c r="A31" s="359">
        <v>1</v>
      </c>
      <c r="B31" s="359" t="s">
        <v>228</v>
      </c>
      <c r="C31" s="235">
        <v>376</v>
      </c>
      <c r="D31" s="236">
        <f>'MSPL-3(Lot)'!F34</f>
        <v>801962</v>
      </c>
      <c r="E31" s="236">
        <f>'MSPL-3(Lot)'!H34</f>
        <v>6178376.25</v>
      </c>
      <c r="F31" s="236">
        <f>'MSPL-3(Lot)'!I34</f>
        <v>0</v>
      </c>
      <c r="G31" s="236">
        <f>'MSPL-3(Lot)'!J34</f>
        <v>6178376.25</v>
      </c>
      <c r="H31" s="236">
        <f>'MSPL-3(Lot)'!K34</f>
        <v>0</v>
      </c>
      <c r="I31" s="236">
        <f>'MSPL-3(Lot)'!L34</f>
        <v>801962</v>
      </c>
      <c r="J31" s="236">
        <f>'MSPL-3(Lot)'!M34</f>
        <v>0</v>
      </c>
      <c r="K31" s="236">
        <f>'MSPL-3(Lot)'!N34</f>
        <v>801962</v>
      </c>
      <c r="L31" s="236">
        <f>'MSPL-3(Lot)'!O34</f>
        <v>0</v>
      </c>
      <c r="M31" s="236">
        <f>'MSPL-3(Lot)'!P34</f>
        <v>801962</v>
      </c>
      <c r="N31" s="236">
        <f>'MSPL-3(Lot)'!Q34</f>
        <v>0</v>
      </c>
      <c r="O31" s="236">
        <f>F31/E31%</f>
        <v>0</v>
      </c>
      <c r="P31" s="236">
        <f>J31/D31%</f>
        <v>0</v>
      </c>
      <c r="Q31" s="236">
        <f>L31/D31%</f>
        <v>0</v>
      </c>
      <c r="R31" s="236"/>
      <c r="S31" s="236">
        <f>'MSPL-3(Lot)'!S34</f>
        <v>12356.752499999999</v>
      </c>
      <c r="T31" s="236">
        <f>'MSPL-3(Lot)'!T34</f>
        <v>190.10388461538457</v>
      </c>
      <c r="U31" s="236">
        <f>'MSPL-3(Lot)'!U34</f>
        <v>0</v>
      </c>
      <c r="V31" s="236">
        <f>'MSPL-3(Lot)'!V34</f>
        <v>190.10388461538457</v>
      </c>
    </row>
    <row r="32" spans="1:22" ht="12.95" customHeight="1">
      <c r="A32" s="360"/>
      <c r="B32" s="360"/>
      <c r="C32" s="235">
        <v>379</v>
      </c>
      <c r="D32" s="236">
        <f>'MSPL-3(Lot)'!F70</f>
        <v>594871</v>
      </c>
      <c r="E32" s="236">
        <f>'MSPL-3(Lot)'!H70</f>
        <v>4575704.75</v>
      </c>
      <c r="F32" s="236">
        <f>'MSPL-3(Lot)'!I70</f>
        <v>0</v>
      </c>
      <c r="G32" s="236">
        <f>'MSPL-3(Lot)'!J70</f>
        <v>4575704.75</v>
      </c>
      <c r="H32" s="236">
        <f>'MSPL-3(Lot)'!K70</f>
        <v>0</v>
      </c>
      <c r="I32" s="236">
        <f>'MSPL-3(Lot)'!L70</f>
        <v>594871</v>
      </c>
      <c r="J32" s="236">
        <f>'MSPL-3(Lot)'!M70</f>
        <v>0</v>
      </c>
      <c r="K32" s="236">
        <f>'MSPL-3(Lot)'!N70</f>
        <v>594871</v>
      </c>
      <c r="L32" s="236">
        <f>'MSPL-3(Lot)'!O70</f>
        <v>0</v>
      </c>
      <c r="M32" s="236">
        <f>'MSPL-3(Lot)'!P70</f>
        <v>594871</v>
      </c>
      <c r="N32" s="236">
        <f>'MSPL-3(Lot)'!Q70</f>
        <v>0</v>
      </c>
      <c r="O32" s="236">
        <f t="shared" ref="O32:O41" si="5">F32/E32%</f>
        <v>0</v>
      </c>
      <c r="P32" s="236">
        <f t="shared" ref="P32:P41" si="6">J32/D32%</f>
        <v>0</v>
      </c>
      <c r="Q32" s="236">
        <f t="shared" ref="Q32:Q41" si="7">L32/D32%</f>
        <v>0</v>
      </c>
      <c r="R32" s="236"/>
      <c r="S32" s="236">
        <f>'MSPL-3(Lot)'!S70</f>
        <v>9151.4094999999998</v>
      </c>
      <c r="T32" s="236">
        <f>'MSPL-3(Lot)'!T70</f>
        <v>140.79091538461535</v>
      </c>
      <c r="U32" s="236">
        <f>'MSPL-3(Lot)'!U70</f>
        <v>0</v>
      </c>
      <c r="V32" s="236">
        <f>'MSPL-3(Lot)'!V70</f>
        <v>140.79091538461535</v>
      </c>
    </row>
    <row r="33" spans="1:22" ht="12.95" customHeight="1">
      <c r="A33" s="10">
        <v>2</v>
      </c>
      <c r="B33" s="236" t="s">
        <v>232</v>
      </c>
      <c r="C33" s="10">
        <v>2022</v>
      </c>
      <c r="D33" s="236">
        <f>'MSPL-3(Lot)'!F99</f>
        <v>862368</v>
      </c>
      <c r="E33" s="236">
        <f>'MSPL-3(Lot)'!H99</f>
        <v>4873221.75</v>
      </c>
      <c r="F33" s="236">
        <f>'MSPL-3(Lot)'!I99</f>
        <v>0</v>
      </c>
      <c r="G33" s="236">
        <f>'MSPL-3(Lot)'!J99</f>
        <v>4873221.75</v>
      </c>
      <c r="H33" s="236">
        <f>'MSPL-3(Lot)'!K99</f>
        <v>0</v>
      </c>
      <c r="I33" s="236">
        <f>'MSPL-3(Lot)'!L99</f>
        <v>862368</v>
      </c>
      <c r="J33" s="236">
        <f>'MSPL-3(Lot)'!M99</f>
        <v>0</v>
      </c>
      <c r="K33" s="236">
        <f>'MSPL-3(Lot)'!N99</f>
        <v>862368</v>
      </c>
      <c r="L33" s="236">
        <f>'MSPL-3(Lot)'!O99</f>
        <v>0</v>
      </c>
      <c r="M33" s="236">
        <f>'MSPL-3(Lot)'!P99</f>
        <v>862368</v>
      </c>
      <c r="N33" s="236">
        <f>'MSPL-3(Lot)'!Q99</f>
        <v>0</v>
      </c>
      <c r="O33" s="236">
        <f t="shared" si="5"/>
        <v>0</v>
      </c>
      <c r="P33" s="236">
        <f t="shared" si="6"/>
        <v>0</v>
      </c>
      <c r="Q33" s="236">
        <f t="shared" si="7"/>
        <v>0</v>
      </c>
      <c r="R33" s="236"/>
      <c r="S33" s="236">
        <f>'MSPL-3(Lot)'!S99</f>
        <v>9746.4435000000012</v>
      </c>
      <c r="T33" s="236">
        <f>'MSPL-3(Lot)'!T99</f>
        <v>149.94528461538459</v>
      </c>
      <c r="U33" s="236">
        <f>'MSPL-3(Lot)'!U99</f>
        <v>0</v>
      </c>
      <c r="V33" s="236">
        <f>'MSPL-3(Lot)'!V99</f>
        <v>149.94528461538459</v>
      </c>
    </row>
    <row r="34" spans="1:22" ht="12.95" customHeight="1">
      <c r="A34" s="10">
        <v>3</v>
      </c>
      <c r="B34" s="236" t="s">
        <v>283</v>
      </c>
      <c r="C34" s="10">
        <v>646</v>
      </c>
      <c r="D34" s="236">
        <f>'MSPL-3(Lot)'!F136</f>
        <v>407322</v>
      </c>
      <c r="E34" s="236">
        <f>'MSPL-3(Lot)'!H136</f>
        <v>1567424.75</v>
      </c>
      <c r="F34" s="236">
        <f>'MSPL-3(Lot)'!I136</f>
        <v>0</v>
      </c>
      <c r="G34" s="236">
        <f>'MSPL-3(Lot)'!J136</f>
        <v>1567424.75</v>
      </c>
      <c r="H34" s="236">
        <f>'MSPL-3(Lot)'!K136</f>
        <v>0</v>
      </c>
      <c r="I34" s="236">
        <f>'MSPL-3(Lot)'!L136</f>
        <v>407322</v>
      </c>
      <c r="J34" s="236">
        <f>'MSPL-3(Lot)'!M136</f>
        <v>0</v>
      </c>
      <c r="K34" s="236">
        <f>'MSPL-3(Lot)'!N136</f>
        <v>407322</v>
      </c>
      <c r="L34" s="236">
        <f>'MSPL-3(Lot)'!O136</f>
        <v>0</v>
      </c>
      <c r="M34" s="236">
        <f>'MSPL-3(Lot)'!P136</f>
        <v>407322</v>
      </c>
      <c r="N34" s="236">
        <f>'MSPL-3(Lot)'!Q136</f>
        <v>0</v>
      </c>
      <c r="O34" s="236">
        <f t="shared" si="5"/>
        <v>0</v>
      </c>
      <c r="P34" s="236">
        <f t="shared" si="6"/>
        <v>0</v>
      </c>
      <c r="Q34" s="236">
        <f t="shared" si="7"/>
        <v>0</v>
      </c>
      <c r="R34" s="236"/>
      <c r="S34" s="236">
        <f>'MSPL-3(Lot)'!S136</f>
        <v>5418.2295000000004</v>
      </c>
      <c r="T34" s="236">
        <f>'MSPL-3(Lot)'!T136</f>
        <v>72.243060000000014</v>
      </c>
      <c r="U34" s="236">
        <f>'MSPL-3(Lot)'!U136</f>
        <v>0</v>
      </c>
      <c r="V34" s="236">
        <f>'MSPL-3(Lot)'!V136</f>
        <v>72.243060000000014</v>
      </c>
    </row>
    <row r="35" spans="1:22" ht="12.95" customHeight="1">
      <c r="A35" s="10">
        <v>4</v>
      </c>
      <c r="B35" s="236" t="s">
        <v>233</v>
      </c>
      <c r="C35" s="10">
        <v>667</v>
      </c>
      <c r="D35" s="236">
        <f>'MSPL-3(Lot)'!F166</f>
        <v>693254</v>
      </c>
      <c r="E35" s="236">
        <f>'MSPL-3(Lot)'!H166</f>
        <v>2768978.5</v>
      </c>
      <c r="F35" s="236">
        <f>'MSPL-3(Lot)'!I166</f>
        <v>0</v>
      </c>
      <c r="G35" s="236">
        <f>'MSPL-3(Lot)'!J166</f>
        <v>2768978.5</v>
      </c>
      <c r="H35" s="236">
        <f>'MSPL-3(Lot)'!K166</f>
        <v>0</v>
      </c>
      <c r="I35" s="236">
        <f>'MSPL-3(Lot)'!L166</f>
        <v>693254</v>
      </c>
      <c r="J35" s="236">
        <f>'MSPL-3(Lot)'!M166</f>
        <v>0</v>
      </c>
      <c r="K35" s="236">
        <f>'MSPL-3(Lot)'!N166</f>
        <v>693254</v>
      </c>
      <c r="L35" s="236">
        <f>'MSPL-3(Lot)'!O166</f>
        <v>0</v>
      </c>
      <c r="M35" s="236">
        <f>'MSPL-3(Lot)'!P166</f>
        <v>693254</v>
      </c>
      <c r="N35" s="236">
        <f>'MSPL-3(Lot)'!Q166</f>
        <v>0</v>
      </c>
      <c r="O35" s="236">
        <f t="shared" si="5"/>
        <v>0</v>
      </c>
      <c r="P35" s="236">
        <f t="shared" si="6"/>
        <v>0</v>
      </c>
      <c r="Q35" s="236">
        <f t="shared" si="7"/>
        <v>0</v>
      </c>
      <c r="R35" s="236"/>
      <c r="S35" s="236">
        <f>'MSPL-3(Lot)'!S166</f>
        <v>10012.572999999997</v>
      </c>
      <c r="T35" s="236">
        <f>'MSPL-3(Lot)'!T166</f>
        <v>133.50097333333332</v>
      </c>
      <c r="U35" s="236">
        <f>'MSPL-3(Lot)'!U166</f>
        <v>0</v>
      </c>
      <c r="V35" s="236">
        <f>'MSPL-3(Lot)'!V166</f>
        <v>133.50097333333332</v>
      </c>
    </row>
    <row r="36" spans="1:22" ht="12.95" customHeight="1">
      <c r="A36" s="359">
        <v>5</v>
      </c>
      <c r="B36" s="359" t="s">
        <v>284</v>
      </c>
      <c r="C36" s="10">
        <v>834</v>
      </c>
      <c r="D36" s="236">
        <f>'MSPL-3(Lot)'!F209</f>
        <v>472937</v>
      </c>
      <c r="E36" s="236">
        <f>'MSPL-3(Lot)'!H209</f>
        <v>2312999</v>
      </c>
      <c r="F36" s="236">
        <f>'MSPL-3(Lot)'!I209</f>
        <v>0</v>
      </c>
      <c r="G36" s="236">
        <f>'MSPL-3(Lot)'!J209</f>
        <v>2312999</v>
      </c>
      <c r="H36" s="236">
        <f>'MSPL-3(Lot)'!K209</f>
        <v>0</v>
      </c>
      <c r="I36" s="236">
        <f>'MSPL-3(Lot)'!L209</f>
        <v>472937</v>
      </c>
      <c r="J36" s="236">
        <f>'MSPL-3(Lot)'!M209</f>
        <v>0</v>
      </c>
      <c r="K36" s="236">
        <f>'MSPL-3(Lot)'!N209</f>
        <v>472937</v>
      </c>
      <c r="L36" s="236">
        <f>'MSPL-3(Lot)'!O209</f>
        <v>0</v>
      </c>
      <c r="M36" s="236">
        <f>'MSPL-3(Lot)'!P209</f>
        <v>472937</v>
      </c>
      <c r="N36" s="236">
        <f>'MSPL-3(Lot)'!Q209</f>
        <v>0</v>
      </c>
      <c r="O36" s="236">
        <f t="shared" si="5"/>
        <v>0</v>
      </c>
      <c r="P36" s="236">
        <f t="shared" si="6"/>
        <v>0</v>
      </c>
      <c r="Q36" s="236">
        <f t="shared" si="7"/>
        <v>0</v>
      </c>
      <c r="R36" s="236"/>
      <c r="S36" s="236">
        <f>'MSPL-3(Lot)'!S209</f>
        <v>8532.764000000001</v>
      </c>
      <c r="T36" s="236">
        <f>'MSPL-3(Lot)'!T209</f>
        <v>113.77018666666669</v>
      </c>
      <c r="U36" s="236">
        <f>'MSPL-3(Lot)'!U209</f>
        <v>0</v>
      </c>
      <c r="V36" s="236">
        <f>'MSPL-3(Lot)'!V209</f>
        <v>113.77018666666669</v>
      </c>
    </row>
    <row r="37" spans="1:22" ht="12.95" customHeight="1">
      <c r="A37" s="361"/>
      <c r="B37" s="361"/>
      <c r="C37" s="10">
        <v>843</v>
      </c>
      <c r="D37" s="236">
        <f>'MSPL-3(Lot)'!F246</f>
        <v>464240</v>
      </c>
      <c r="E37" s="236">
        <f>'MSPL-3(Lot)'!H246</f>
        <v>2283330</v>
      </c>
      <c r="F37" s="236">
        <f>'MSPL-3(Lot)'!I246</f>
        <v>0</v>
      </c>
      <c r="G37" s="236">
        <f>'MSPL-3(Lot)'!J246</f>
        <v>2283330</v>
      </c>
      <c r="H37" s="236">
        <f>'MSPL-3(Lot)'!K246</f>
        <v>0</v>
      </c>
      <c r="I37" s="236">
        <f>'MSPL-3(Lot)'!L246</f>
        <v>464240</v>
      </c>
      <c r="J37" s="236">
        <f>'MSPL-3(Lot)'!M246</f>
        <v>0</v>
      </c>
      <c r="K37" s="236">
        <f>'MSPL-3(Lot)'!N246</f>
        <v>464240</v>
      </c>
      <c r="L37" s="236">
        <f>'MSPL-3(Lot)'!O246</f>
        <v>0</v>
      </c>
      <c r="M37" s="236">
        <f>'MSPL-3(Lot)'!P246</f>
        <v>464240</v>
      </c>
      <c r="N37" s="236">
        <f>'MSPL-3(Lot)'!Q246</f>
        <v>0</v>
      </c>
      <c r="O37" s="236">
        <f t="shared" si="5"/>
        <v>0</v>
      </c>
      <c r="P37" s="236">
        <f t="shared" si="6"/>
        <v>0</v>
      </c>
      <c r="Q37" s="236">
        <f t="shared" si="7"/>
        <v>0</v>
      </c>
      <c r="R37" s="236"/>
      <c r="S37" s="236">
        <f>'MSPL-3(Lot)'!S246</f>
        <v>8432.5899999999983</v>
      </c>
      <c r="T37" s="236">
        <f>'MSPL-3(Lot)'!T246</f>
        <v>112.43453333333332</v>
      </c>
      <c r="U37" s="236">
        <f>'MSPL-3(Lot)'!U246</f>
        <v>0</v>
      </c>
      <c r="V37" s="236">
        <f>'MSPL-3(Lot)'!V246</f>
        <v>112.43453333333332</v>
      </c>
    </row>
    <row r="38" spans="1:22" ht="12.95" customHeight="1">
      <c r="A38" s="361"/>
      <c r="B38" s="361"/>
      <c r="C38" s="10">
        <v>854</v>
      </c>
      <c r="D38" s="236">
        <f>'MSPL-3(Lot)'!F284</f>
        <v>428175</v>
      </c>
      <c r="E38" s="236">
        <f>'MSPL-3(Lot)'!H284</f>
        <v>2104866</v>
      </c>
      <c r="F38" s="236">
        <f>'MSPL-3(Lot)'!I284</f>
        <v>0</v>
      </c>
      <c r="G38" s="236">
        <f>'MSPL-3(Lot)'!J284</f>
        <v>2104866</v>
      </c>
      <c r="H38" s="236">
        <f>'MSPL-3(Lot)'!K284</f>
        <v>0</v>
      </c>
      <c r="I38" s="236">
        <f>'MSPL-3(Lot)'!L284</f>
        <v>428175</v>
      </c>
      <c r="J38" s="236">
        <f>'MSPL-3(Lot)'!M284</f>
        <v>0</v>
      </c>
      <c r="K38" s="236">
        <f>'MSPL-3(Lot)'!N284</f>
        <v>428175</v>
      </c>
      <c r="L38" s="236">
        <f>'MSPL-3(Lot)'!O284</f>
        <v>0</v>
      </c>
      <c r="M38" s="236">
        <f>'MSPL-3(Lot)'!P284</f>
        <v>428175</v>
      </c>
      <c r="N38" s="236">
        <f>'MSPL-3(Lot)'!Q284</f>
        <v>0</v>
      </c>
      <c r="O38" s="236">
        <f t="shared" si="5"/>
        <v>0</v>
      </c>
      <c r="P38" s="236">
        <f t="shared" si="6"/>
        <v>0</v>
      </c>
      <c r="Q38" s="236">
        <f t="shared" si="7"/>
        <v>0</v>
      </c>
      <c r="R38" s="236"/>
      <c r="S38" s="236">
        <f>'MSPL-3(Lot)'!S284</f>
        <v>7765.5080000000007</v>
      </c>
      <c r="T38" s="236">
        <f>'MSPL-3(Lot)'!T284</f>
        <v>103.54010666666669</v>
      </c>
      <c r="U38" s="236">
        <f>'MSPL-3(Lot)'!U284</f>
        <v>0</v>
      </c>
      <c r="V38" s="236">
        <f>'MSPL-3(Lot)'!V284</f>
        <v>103.54010666666669</v>
      </c>
    </row>
    <row r="39" spans="1:22" ht="12.95" customHeight="1">
      <c r="A39" s="361"/>
      <c r="B39" s="361"/>
      <c r="C39" s="10">
        <v>865</v>
      </c>
      <c r="D39" s="236">
        <f>'MSPL-3(Lot)'!F321</f>
        <v>605335</v>
      </c>
      <c r="E39" s="236">
        <f>'MSPL-3(Lot)'!H321</f>
        <v>2976051.5</v>
      </c>
      <c r="F39" s="236">
        <f>'MSPL-3(Lot)'!I321</f>
        <v>0</v>
      </c>
      <c r="G39" s="236">
        <f>'MSPL-3(Lot)'!J321</f>
        <v>2976051.5</v>
      </c>
      <c r="H39" s="236">
        <f>'MSPL-3(Lot)'!K321</f>
        <v>0</v>
      </c>
      <c r="I39" s="236">
        <f>'MSPL-3(Lot)'!L321</f>
        <v>605335</v>
      </c>
      <c r="J39" s="236">
        <f>'MSPL-3(Lot)'!M321</f>
        <v>0</v>
      </c>
      <c r="K39" s="236">
        <f>'MSPL-3(Lot)'!N321</f>
        <v>605335</v>
      </c>
      <c r="L39" s="236">
        <f>'MSPL-3(Lot)'!O321</f>
        <v>0</v>
      </c>
      <c r="M39" s="236">
        <f>'MSPL-3(Lot)'!P321</f>
        <v>605335</v>
      </c>
      <c r="N39" s="236">
        <f>'MSPL-3(Lot)'!Q321</f>
        <v>0</v>
      </c>
      <c r="O39" s="236">
        <f t="shared" si="5"/>
        <v>0</v>
      </c>
      <c r="P39" s="236">
        <f t="shared" si="6"/>
        <v>0</v>
      </c>
      <c r="Q39" s="236">
        <f t="shared" si="7"/>
        <v>0</v>
      </c>
      <c r="R39" s="236"/>
      <c r="S39" s="236">
        <f>'MSPL-3(Lot)'!S321</f>
        <v>10986.893000000002</v>
      </c>
      <c r="T39" s="236">
        <f>'MSPL-3(Lot)'!T321</f>
        <v>146.49190666666667</v>
      </c>
      <c r="U39" s="236">
        <f>'MSPL-3(Lot)'!U321</f>
        <v>0</v>
      </c>
      <c r="V39" s="236">
        <f>'MSPL-3(Lot)'!V321</f>
        <v>146.49190666666667</v>
      </c>
    </row>
    <row r="40" spans="1:22" ht="12.95" customHeight="1">
      <c r="A40" s="361"/>
      <c r="B40" s="361"/>
      <c r="C40" s="10">
        <v>872</v>
      </c>
      <c r="D40" s="236">
        <f>'MSPL-3(Lot)'!F357</f>
        <v>521500</v>
      </c>
      <c r="E40" s="236">
        <f>'MSPL-3(Lot)'!H357</f>
        <v>2556333.25</v>
      </c>
      <c r="F40" s="236">
        <f>'MSPL-3(Lot)'!I357</f>
        <v>0</v>
      </c>
      <c r="G40" s="236">
        <f>'MSPL-3(Lot)'!J357</f>
        <v>2556333.25</v>
      </c>
      <c r="H40" s="236">
        <f>'MSPL-3(Lot)'!K357</f>
        <v>0</v>
      </c>
      <c r="I40" s="236">
        <f>'MSPL-3(Lot)'!L357</f>
        <v>521500</v>
      </c>
      <c r="J40" s="236">
        <f>'MSPL-3(Lot)'!M357</f>
        <v>0</v>
      </c>
      <c r="K40" s="236">
        <f>'MSPL-3(Lot)'!N357</f>
        <v>521500</v>
      </c>
      <c r="L40" s="236">
        <f>'MSPL-3(Lot)'!O357</f>
        <v>0</v>
      </c>
      <c r="M40" s="236">
        <f>'MSPL-3(Lot)'!P357</f>
        <v>521500</v>
      </c>
      <c r="N40" s="236">
        <f>'MSPL-3(Lot)'!Q357</f>
        <v>0</v>
      </c>
      <c r="O40" s="236">
        <f t="shared" si="5"/>
        <v>0</v>
      </c>
      <c r="P40" s="236">
        <f t="shared" si="6"/>
        <v>0</v>
      </c>
      <c r="Q40" s="236">
        <f t="shared" si="7"/>
        <v>0</v>
      </c>
      <c r="R40" s="236"/>
      <c r="S40" s="236">
        <f>'MSPL-3(Lot)'!S357</f>
        <v>9429.9565000000002</v>
      </c>
      <c r="T40" s="236">
        <f>'MSPL-3(Lot)'!T357</f>
        <v>125.73275333333335</v>
      </c>
      <c r="U40" s="236">
        <f>'MSPL-3(Lot)'!U357</f>
        <v>0</v>
      </c>
      <c r="V40" s="236">
        <f>'MSPL-3(Lot)'!V357</f>
        <v>125.73275333333335</v>
      </c>
    </row>
    <row r="41" spans="1:22" ht="12.95" customHeight="1">
      <c r="A41" s="360"/>
      <c r="B41" s="360"/>
      <c r="C41" s="235">
        <v>877</v>
      </c>
      <c r="D41" s="236">
        <f>'MSPL-3(Lot)'!F394</f>
        <v>441582</v>
      </c>
      <c r="E41" s="236">
        <f>'MSPL-3(Lot)'!H394</f>
        <v>2172001.25</v>
      </c>
      <c r="F41" s="236">
        <f>'MSPL-3(Lot)'!I394</f>
        <v>0</v>
      </c>
      <c r="G41" s="236">
        <f>'MSPL-3(Lot)'!J394</f>
        <v>2172001.25</v>
      </c>
      <c r="H41" s="236">
        <f>'MSPL-3(Lot)'!K394</f>
        <v>0</v>
      </c>
      <c r="I41" s="236">
        <f>'MSPL-3(Lot)'!L394</f>
        <v>441582</v>
      </c>
      <c r="J41" s="236">
        <f>'MSPL-3(Lot)'!M394</f>
        <v>0</v>
      </c>
      <c r="K41" s="236">
        <f>'MSPL-3(Lot)'!N394</f>
        <v>441582</v>
      </c>
      <c r="L41" s="236">
        <f>'MSPL-3(Lot)'!O394</f>
        <v>0</v>
      </c>
      <c r="M41" s="236">
        <f>'MSPL-3(Lot)'!P394</f>
        <v>441582</v>
      </c>
      <c r="N41" s="236">
        <f>'MSPL-3(Lot)'!Q394</f>
        <v>0</v>
      </c>
      <c r="O41" s="236">
        <f t="shared" si="5"/>
        <v>0</v>
      </c>
      <c r="P41" s="236">
        <f t="shared" si="6"/>
        <v>0</v>
      </c>
      <c r="Q41" s="236">
        <f t="shared" si="7"/>
        <v>0</v>
      </c>
      <c r="R41" s="236"/>
      <c r="S41" s="236">
        <f>'MSPL-3(Lot)'!S394</f>
        <v>8022.6045000000004</v>
      </c>
      <c r="T41" s="236">
        <f>'MSPL-3(Lot)'!T394</f>
        <v>106.96805999999999</v>
      </c>
      <c r="U41" s="236">
        <f>'MSPL-3(Lot)'!U394</f>
        <v>0</v>
      </c>
      <c r="V41" s="236">
        <f>'MSPL-3(Lot)'!V394</f>
        <v>106.96805999999999</v>
      </c>
    </row>
    <row r="42" spans="1:22" ht="12.95" customHeight="1">
      <c r="A42" s="319" t="s">
        <v>67</v>
      </c>
      <c r="B42" s="319"/>
      <c r="C42" s="231"/>
      <c r="D42" s="199">
        <f>SUM(D31:D41)</f>
        <v>6293546</v>
      </c>
      <c r="E42" s="199">
        <f t="shared" ref="E42:V42" si="8">SUM(E31:E41)</f>
        <v>34369287</v>
      </c>
      <c r="F42" s="199">
        <f t="shared" si="8"/>
        <v>0</v>
      </c>
      <c r="G42" s="199">
        <f t="shared" si="8"/>
        <v>34369287</v>
      </c>
      <c r="H42" s="199">
        <f t="shared" si="8"/>
        <v>0</v>
      </c>
      <c r="I42" s="199">
        <f t="shared" si="8"/>
        <v>6293546</v>
      </c>
      <c r="J42" s="199">
        <f t="shared" si="8"/>
        <v>0</v>
      </c>
      <c r="K42" s="199">
        <f t="shared" si="8"/>
        <v>6293546</v>
      </c>
      <c r="L42" s="199">
        <f t="shared" si="8"/>
        <v>0</v>
      </c>
      <c r="M42" s="199">
        <f t="shared" si="8"/>
        <v>6293546</v>
      </c>
      <c r="N42" s="199">
        <f t="shared" si="8"/>
        <v>0</v>
      </c>
      <c r="O42" s="199">
        <f>F42/E42%</f>
        <v>0</v>
      </c>
      <c r="P42" s="199">
        <f>J42/D42%</f>
        <v>0</v>
      </c>
      <c r="Q42" s="199">
        <f>L42/D42%</f>
        <v>0</v>
      </c>
      <c r="R42" s="199">
        <f t="shared" si="8"/>
        <v>0</v>
      </c>
      <c r="S42" s="199">
        <f t="shared" si="8"/>
        <v>99855.723999999987</v>
      </c>
      <c r="T42" s="199">
        <f t="shared" si="8"/>
        <v>1395.5216646153847</v>
      </c>
      <c r="U42" s="199">
        <f t="shared" si="8"/>
        <v>0</v>
      </c>
      <c r="V42" s="199">
        <f t="shared" si="8"/>
        <v>1395.5216646153847</v>
      </c>
    </row>
    <row r="43" spans="1:22" ht="6" customHeight="1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</row>
    <row r="44" spans="1:22" ht="12.95" customHeight="1">
      <c r="A44" s="358" t="s">
        <v>246</v>
      </c>
      <c r="B44" s="358"/>
      <c r="C44" s="289" t="s">
        <v>245</v>
      </c>
      <c r="D44" s="290">
        <f>D42+D26</f>
        <v>14475922</v>
      </c>
      <c r="E44" s="290">
        <f t="shared" ref="E44:V44" si="9">E42+E26</f>
        <v>93541195.75</v>
      </c>
      <c r="F44" s="290">
        <f t="shared" si="9"/>
        <v>0</v>
      </c>
      <c r="G44" s="290">
        <f t="shared" si="9"/>
        <v>93541195.75</v>
      </c>
      <c r="H44" s="290">
        <f t="shared" si="9"/>
        <v>0</v>
      </c>
      <c r="I44" s="290">
        <f t="shared" si="9"/>
        <v>14475922</v>
      </c>
      <c r="J44" s="290">
        <f t="shared" si="9"/>
        <v>0</v>
      </c>
      <c r="K44" s="290">
        <f t="shared" si="9"/>
        <v>14475922</v>
      </c>
      <c r="L44" s="290">
        <f t="shared" si="9"/>
        <v>0</v>
      </c>
      <c r="M44" s="290">
        <f t="shared" si="9"/>
        <v>14475922</v>
      </c>
      <c r="N44" s="290">
        <f t="shared" si="9"/>
        <v>0</v>
      </c>
      <c r="O44" s="290">
        <f>F44/E44%</f>
        <v>0</v>
      </c>
      <c r="P44" s="290">
        <f>J44/D44%</f>
        <v>0</v>
      </c>
      <c r="Q44" s="290">
        <f>L44/D44%</f>
        <v>0</v>
      </c>
      <c r="R44" s="290">
        <f t="shared" si="9"/>
        <v>0</v>
      </c>
      <c r="S44" s="290">
        <f t="shared" si="9"/>
        <v>255041.73450000002</v>
      </c>
      <c r="T44" s="290">
        <f t="shared" si="9"/>
        <v>3604.3435230769237</v>
      </c>
      <c r="U44" s="290">
        <f t="shared" si="9"/>
        <v>0</v>
      </c>
      <c r="V44" s="290">
        <f t="shared" si="9"/>
        <v>3604.3435230769237</v>
      </c>
    </row>
    <row r="45" spans="1:22" ht="6.75" customHeight="1">
      <c r="A45" s="241"/>
      <c r="B45" s="241"/>
      <c r="C45" s="241"/>
      <c r="D45" s="242"/>
      <c r="E45" s="243"/>
      <c r="F45" s="242"/>
      <c r="G45" s="242"/>
      <c r="H45" s="242"/>
      <c r="I45" s="242"/>
      <c r="J45" s="242"/>
      <c r="K45" s="242"/>
      <c r="L45" s="242"/>
      <c r="M45" s="242"/>
      <c r="N45" s="242"/>
      <c r="O45" s="242"/>
      <c r="P45" s="242"/>
      <c r="Q45" s="242"/>
      <c r="R45" s="242"/>
      <c r="S45" s="242"/>
      <c r="T45" s="242"/>
      <c r="U45" s="242"/>
      <c r="V45" s="242"/>
    </row>
    <row r="46" spans="1:22">
      <c r="A46" s="355" t="s">
        <v>468</v>
      </c>
      <c r="B46" s="356"/>
      <c r="C46" s="356"/>
      <c r="D46" s="356"/>
      <c r="E46" s="357"/>
      <c r="F46" s="9"/>
      <c r="G46" s="244" t="s">
        <v>470</v>
      </c>
      <c r="H46" s="244" t="s">
        <v>471</v>
      </c>
      <c r="I46" s="352" t="s">
        <v>473</v>
      </c>
      <c r="J46" s="352"/>
      <c r="K46" s="352" t="s">
        <v>474</v>
      </c>
      <c r="L46" s="352"/>
      <c r="M46" s="352" t="s">
        <v>475</v>
      </c>
      <c r="N46" s="352"/>
      <c r="O46" s="244" t="s">
        <v>472</v>
      </c>
      <c r="P46" s="9"/>
      <c r="V46" s="9"/>
    </row>
    <row r="47" spans="1:22">
      <c r="A47" s="239">
        <v>1</v>
      </c>
      <c r="B47" s="239" t="s">
        <v>465</v>
      </c>
      <c r="C47" s="239"/>
      <c r="D47" s="2" t="s">
        <v>155</v>
      </c>
      <c r="E47" s="2">
        <f>'MSPL-2 (Class)'!AB9+'MSPL-2 (Class)'!AB70+'MSPL-2 (Class)'!AB102+'MSPL-2 (Class)'!AB131+'MSPL-2 (Class)'!AB159+'MSPL-2 (Class)'!AB206</f>
        <v>0</v>
      </c>
      <c r="F47" s="9"/>
      <c r="G47" s="232">
        <v>29.25</v>
      </c>
      <c r="H47" s="232">
        <v>70</v>
      </c>
      <c r="I47" s="350">
        <v>10</v>
      </c>
      <c r="J47" s="351"/>
      <c r="K47" s="350">
        <f>'Top Sheet-(Class)'!W11+'Top Sheet-(Class)'!W12+'Top Sheet-(Class)'!W13+'Top Sheet-(Class)'!W14</f>
        <v>0</v>
      </c>
      <c r="L47" s="351"/>
      <c r="M47" s="350">
        <f>I47-K47</f>
        <v>10</v>
      </c>
      <c r="N47" s="351"/>
      <c r="O47" s="2">
        <f>K47/I47%</f>
        <v>0</v>
      </c>
      <c r="P47" s="9"/>
      <c r="V47" s="9"/>
    </row>
    <row r="48" spans="1:22">
      <c r="A48" s="240">
        <v>2</v>
      </c>
      <c r="B48" s="353" t="s">
        <v>466</v>
      </c>
      <c r="C48" s="354"/>
      <c r="D48" s="2" t="s">
        <v>467</v>
      </c>
      <c r="E48" s="2">
        <v>10</v>
      </c>
      <c r="F48" s="9"/>
      <c r="G48" s="232">
        <v>29.25</v>
      </c>
      <c r="H48" s="232">
        <v>80</v>
      </c>
      <c r="I48" s="350">
        <v>10</v>
      </c>
      <c r="J48" s="351"/>
      <c r="K48" s="350">
        <f>'Top Sheet-(Class)'!W10+'Top Sheet-(Class)'!W9</f>
        <v>0</v>
      </c>
      <c r="L48" s="351"/>
      <c r="M48" s="350">
        <f t="shared" ref="M48:M49" si="10">I48-K48</f>
        <v>10</v>
      </c>
      <c r="N48" s="351"/>
      <c r="O48" s="2">
        <f t="shared" ref="O48:O50" si="11">K48/I48%</f>
        <v>0</v>
      </c>
      <c r="P48" s="9"/>
      <c r="V48" s="9"/>
    </row>
    <row r="49" spans="1:22">
      <c r="A49" s="2">
        <v>3</v>
      </c>
      <c r="B49" s="353" t="s">
        <v>469</v>
      </c>
      <c r="C49" s="354"/>
      <c r="D49" s="2" t="s">
        <v>155</v>
      </c>
      <c r="E49" s="2">
        <f>E47/E48</f>
        <v>0</v>
      </c>
      <c r="F49" s="9"/>
      <c r="G49" s="232">
        <v>33.5</v>
      </c>
      <c r="H49" s="232">
        <v>80</v>
      </c>
      <c r="I49" s="350">
        <v>10</v>
      </c>
      <c r="J49" s="351"/>
      <c r="K49" s="350">
        <f>'Top Sheet-(Class)'!W8</f>
        <v>0</v>
      </c>
      <c r="L49" s="351"/>
      <c r="M49" s="350">
        <f t="shared" si="10"/>
        <v>10</v>
      </c>
      <c r="N49" s="351"/>
      <c r="O49" s="2">
        <f t="shared" si="11"/>
        <v>0</v>
      </c>
      <c r="P49" s="9"/>
      <c r="V49" s="9"/>
    </row>
    <row r="50" spans="1:22">
      <c r="G50" s="347" t="s">
        <v>67</v>
      </c>
      <c r="H50" s="348"/>
      <c r="I50" s="350">
        <f>SUM(I47:I49)</f>
        <v>30</v>
      </c>
      <c r="J50" s="351"/>
      <c r="K50" s="350">
        <f>SUM(K47:K49)</f>
        <v>0</v>
      </c>
      <c r="L50" s="351"/>
      <c r="M50" s="350">
        <f>SUM(M47:M49)</f>
        <v>30</v>
      </c>
      <c r="N50" s="351"/>
      <c r="O50" s="2">
        <f t="shared" si="11"/>
        <v>0</v>
      </c>
      <c r="Q50" s="349"/>
      <c r="R50" s="349"/>
    </row>
  </sheetData>
  <mergeCells count="65">
    <mergeCell ref="O29:Q29"/>
    <mergeCell ref="R29:R30"/>
    <mergeCell ref="S6:V6"/>
    <mergeCell ref="S29:V29"/>
    <mergeCell ref="A5:D5"/>
    <mergeCell ref="A28:D28"/>
    <mergeCell ref="A26:B26"/>
    <mergeCell ref="R5:V5"/>
    <mergeCell ref="H29:I29"/>
    <mergeCell ref="J29:K29"/>
    <mergeCell ref="L29:M29"/>
    <mergeCell ref="N29:N30"/>
    <mergeCell ref="B10:B14"/>
    <mergeCell ref="B15:B19"/>
    <mergeCell ref="B20:B23"/>
    <mergeCell ref="A10:A14"/>
    <mergeCell ref="A15:A19"/>
    <mergeCell ref="A20:A23"/>
    <mergeCell ref="A6:A7"/>
    <mergeCell ref="B6:B7"/>
    <mergeCell ref="C6:C7"/>
    <mergeCell ref="A8:A9"/>
    <mergeCell ref="B8:B9"/>
    <mergeCell ref="D6:D7"/>
    <mergeCell ref="A1:V1"/>
    <mergeCell ref="A2:V2"/>
    <mergeCell ref="A3:V3"/>
    <mergeCell ref="O6:Q6"/>
    <mergeCell ref="R6:R7"/>
    <mergeCell ref="E6:G6"/>
    <mergeCell ref="H6:I6"/>
    <mergeCell ref="J6:K6"/>
    <mergeCell ref="L6:M6"/>
    <mergeCell ref="N6:N7"/>
    <mergeCell ref="E29:G29"/>
    <mergeCell ref="B48:C48"/>
    <mergeCell ref="B49:C49"/>
    <mergeCell ref="A46:E46"/>
    <mergeCell ref="D29:D30"/>
    <mergeCell ref="A42:B42"/>
    <mergeCell ref="A44:B44"/>
    <mergeCell ref="A29:A30"/>
    <mergeCell ref="B29:B30"/>
    <mergeCell ref="C29:C30"/>
    <mergeCell ref="B31:B32"/>
    <mergeCell ref="A31:A32"/>
    <mergeCell ref="A36:A41"/>
    <mergeCell ref="B36:B41"/>
    <mergeCell ref="I46:J46"/>
    <mergeCell ref="K46:L46"/>
    <mergeCell ref="M46:N46"/>
    <mergeCell ref="I47:J47"/>
    <mergeCell ref="I48:J48"/>
    <mergeCell ref="M47:N47"/>
    <mergeCell ref="M48:N48"/>
    <mergeCell ref="G50:H50"/>
    <mergeCell ref="Q50:R50"/>
    <mergeCell ref="I49:J49"/>
    <mergeCell ref="I50:J50"/>
    <mergeCell ref="K47:L47"/>
    <mergeCell ref="K48:L48"/>
    <mergeCell ref="K49:L49"/>
    <mergeCell ref="K50:L50"/>
    <mergeCell ref="M49:N49"/>
    <mergeCell ref="M50:N50"/>
  </mergeCells>
  <pageMargins left="0.25" right="0.25" top="0.25" bottom="0.25" header="0.3" footer="0.3"/>
  <pageSetup paperSize="9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>
    <tabColor rgb="FF00B0F0"/>
  </sheetPr>
  <dimension ref="A1:AH209"/>
  <sheetViews>
    <sheetView topLeftCell="A142" zoomScale="115" zoomScaleNormal="115" workbookViewId="0">
      <selection activeCell="AB186" sqref="AB186:AB187"/>
    </sheetView>
  </sheetViews>
  <sheetFormatPr defaultRowHeight="15"/>
  <cols>
    <col min="1" max="1" width="2.85546875" style="24" customWidth="1"/>
    <col min="2" max="2" width="7.28515625" style="29" customWidth="1"/>
    <col min="3" max="3" width="3.85546875" style="24" customWidth="1"/>
    <col min="4" max="4" width="6" style="31" customWidth="1"/>
    <col min="5" max="5" width="0.140625" style="31" customWidth="1"/>
    <col min="6" max="10" width="7" style="24" hidden="1" customWidth="1"/>
    <col min="11" max="11" width="7.7109375" style="24" customWidth="1"/>
    <col min="12" max="12" width="0.140625" style="24" customWidth="1"/>
    <col min="13" max="13" width="4.5703125" style="24" customWidth="1"/>
    <col min="14" max="14" width="6" style="24" customWidth="1"/>
    <col min="15" max="15" width="6.5703125" style="24" customWidth="1"/>
    <col min="16" max="16" width="8" style="24" bestFit="1" customWidth="1"/>
    <col min="17" max="17" width="7.85546875" style="24" customWidth="1"/>
    <col min="18" max="18" width="8.85546875" style="24" customWidth="1"/>
    <col min="19" max="19" width="6.7109375" style="24" customWidth="1"/>
    <col min="20" max="20" width="8.140625" style="24" customWidth="1"/>
    <col min="21" max="21" width="6.28515625" style="24" customWidth="1"/>
    <col min="22" max="22" width="7.7109375" style="24" customWidth="1"/>
    <col min="23" max="23" width="6" style="24" customWidth="1"/>
    <col min="24" max="24" width="7.28515625" style="24" customWidth="1"/>
    <col min="25" max="25" width="6.85546875" style="24" customWidth="1"/>
    <col min="26" max="26" width="7.7109375" style="24" customWidth="1"/>
    <col min="27" max="27" width="6.7109375" style="24" customWidth="1"/>
    <col min="28" max="29" width="6.42578125" style="24" customWidth="1"/>
    <col min="30" max="30" width="6.140625" style="24" customWidth="1"/>
    <col min="31" max="31" width="5" style="24" customWidth="1"/>
    <col min="32" max="32" width="5.5703125" style="24" customWidth="1"/>
    <col min="33" max="33" width="4.85546875" style="24" customWidth="1"/>
    <col min="35" max="35" width="6.5703125" customWidth="1"/>
    <col min="36" max="36" width="3.7109375" customWidth="1"/>
  </cols>
  <sheetData>
    <row r="1" spans="1:34" s="1" customFormat="1" ht="24" customHeight="1">
      <c r="A1" s="388" t="s">
        <v>178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  <c r="AD1" s="388"/>
      <c r="AE1" s="388"/>
      <c r="AF1" s="388"/>
      <c r="AG1" s="388"/>
    </row>
    <row r="2" spans="1:34" s="1" customFormat="1" ht="17.25" customHeight="1">
      <c r="A2" s="379" t="s">
        <v>253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  <c r="AD2" s="379"/>
      <c r="AE2" s="379"/>
      <c r="AF2" s="379"/>
      <c r="AG2" s="379"/>
    </row>
    <row r="3" spans="1:34" s="1" customFormat="1" ht="15.75" customHeight="1">
      <c r="A3" s="364" t="s">
        <v>274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  <c r="V3" s="364"/>
      <c r="W3" s="364"/>
      <c r="X3" s="364"/>
      <c r="Y3" s="364"/>
      <c r="Z3" s="364"/>
      <c r="AA3" s="364"/>
      <c r="AB3" s="364"/>
      <c r="AC3" s="364"/>
      <c r="AD3" s="364"/>
      <c r="AE3" s="364"/>
      <c r="AF3" s="364"/>
      <c r="AG3" s="364"/>
    </row>
    <row r="4" spans="1:34" s="1" customFormat="1" ht="20.25">
      <c r="A4" s="399" t="s">
        <v>273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399"/>
      <c r="S4" s="399"/>
      <c r="T4" s="399"/>
      <c r="U4" s="399"/>
      <c r="V4" s="399"/>
      <c r="W4" s="399"/>
      <c r="X4" s="399"/>
      <c r="Y4" s="399"/>
      <c r="Z4" s="399"/>
      <c r="AA4" s="399"/>
      <c r="AB4" s="399"/>
      <c r="AC4" s="228"/>
      <c r="AD4" s="404" t="s">
        <v>429</v>
      </c>
      <c r="AE4" s="404"/>
      <c r="AF4" s="404"/>
      <c r="AG4" s="404"/>
    </row>
    <row r="5" spans="1:34" ht="18.600000000000001" customHeight="1">
      <c r="A5" s="405" t="s">
        <v>0</v>
      </c>
      <c r="B5" s="405" t="s">
        <v>10</v>
      </c>
      <c r="C5" s="405" t="s">
        <v>1</v>
      </c>
      <c r="D5" s="411" t="s">
        <v>11</v>
      </c>
      <c r="E5" s="151"/>
      <c r="F5" s="398" t="s">
        <v>222</v>
      </c>
      <c r="G5" s="398"/>
      <c r="H5" s="398"/>
      <c r="I5" s="398"/>
      <c r="J5" s="398"/>
      <c r="K5" s="398" t="s">
        <v>223</v>
      </c>
      <c r="L5" s="149" t="s">
        <v>11</v>
      </c>
      <c r="M5" s="398" t="s">
        <v>324</v>
      </c>
      <c r="N5" s="398"/>
      <c r="O5" s="398"/>
      <c r="P5" s="398" t="s">
        <v>39</v>
      </c>
      <c r="Q5" s="398"/>
      <c r="R5" s="371" t="s">
        <v>113</v>
      </c>
      <c r="S5" s="372"/>
      <c r="T5" s="373"/>
      <c r="U5" s="397" t="s">
        <v>115</v>
      </c>
      <c r="V5" s="397"/>
      <c r="W5" s="401" t="s">
        <v>83</v>
      </c>
      <c r="X5" s="402"/>
      <c r="Y5" s="398" t="s">
        <v>3</v>
      </c>
      <c r="Z5" s="398"/>
      <c r="AA5" s="398" t="s">
        <v>89</v>
      </c>
      <c r="AB5" s="398" t="s">
        <v>145</v>
      </c>
      <c r="AC5" s="405" t="s">
        <v>463</v>
      </c>
      <c r="AD5" s="397" t="s">
        <v>134</v>
      </c>
      <c r="AE5" s="397"/>
      <c r="AF5" s="397"/>
      <c r="AG5" s="397"/>
      <c r="AH5" s="370" t="s">
        <v>136</v>
      </c>
    </row>
    <row r="6" spans="1:34" ht="18.600000000000001" customHeight="1">
      <c r="A6" s="406"/>
      <c r="B6" s="406"/>
      <c r="C6" s="406"/>
      <c r="D6" s="412"/>
      <c r="E6" s="152"/>
      <c r="F6" s="144" t="s">
        <v>272</v>
      </c>
      <c r="G6" s="144"/>
      <c r="H6" s="144"/>
      <c r="I6" s="144"/>
      <c r="J6" s="144"/>
      <c r="K6" s="398"/>
      <c r="L6" s="150"/>
      <c r="M6" s="138" t="s">
        <v>426</v>
      </c>
      <c r="N6" s="144" t="s">
        <v>427</v>
      </c>
      <c r="O6" s="144" t="s">
        <v>38</v>
      </c>
      <c r="P6" s="144" t="s">
        <v>451</v>
      </c>
      <c r="Q6" s="144" t="s">
        <v>38</v>
      </c>
      <c r="R6" s="138" t="s">
        <v>426</v>
      </c>
      <c r="S6" s="144" t="s">
        <v>82</v>
      </c>
      <c r="T6" s="144" t="s">
        <v>38</v>
      </c>
      <c r="U6" s="183" t="s">
        <v>82</v>
      </c>
      <c r="V6" s="183" t="s">
        <v>38</v>
      </c>
      <c r="W6" s="144" t="s">
        <v>83</v>
      </c>
      <c r="X6" s="144" t="s">
        <v>38</v>
      </c>
      <c r="Y6" s="144" t="s">
        <v>3</v>
      </c>
      <c r="Z6" s="144" t="s">
        <v>38</v>
      </c>
      <c r="AA6" s="398"/>
      <c r="AB6" s="398"/>
      <c r="AC6" s="406"/>
      <c r="AD6" s="183" t="s">
        <v>90</v>
      </c>
      <c r="AE6" s="183" t="s">
        <v>154</v>
      </c>
      <c r="AF6" s="183" t="s">
        <v>135</v>
      </c>
      <c r="AG6" s="183" t="s">
        <v>38</v>
      </c>
      <c r="AH6" s="370"/>
    </row>
    <row r="7" spans="1:34" ht="15.75" customHeight="1">
      <c r="A7" s="162">
        <v>1</v>
      </c>
      <c r="B7" s="163" t="s">
        <v>54</v>
      </c>
      <c r="C7" s="409" t="s">
        <v>77</v>
      </c>
      <c r="D7" s="164">
        <v>21.5</v>
      </c>
      <c r="E7" s="164"/>
      <c r="F7" s="162">
        <v>66398</v>
      </c>
      <c r="G7" s="162"/>
      <c r="H7" s="162"/>
      <c r="I7" s="162"/>
      <c r="J7" s="162"/>
      <c r="K7" s="162">
        <f>F7</f>
        <v>66398</v>
      </c>
      <c r="L7" s="162">
        <v>2</v>
      </c>
      <c r="M7" s="162">
        <v>192</v>
      </c>
      <c r="N7" s="13"/>
      <c r="O7" s="162">
        <f>M7-N7</f>
        <v>192</v>
      </c>
      <c r="P7" s="13"/>
      <c r="Q7" s="162">
        <f>K7-P7</f>
        <v>66398</v>
      </c>
      <c r="R7" s="162">
        <f>D7/L7*K7</f>
        <v>713778.5</v>
      </c>
      <c r="S7" s="162">
        <f>'MSPL-2(LOT)'!H7</f>
        <v>0</v>
      </c>
      <c r="T7" s="162">
        <f>R7-S7</f>
        <v>713778.5</v>
      </c>
      <c r="U7" s="162">
        <f>S7/D7*2</f>
        <v>0</v>
      </c>
      <c r="V7" s="162">
        <f>K7-U7</f>
        <v>66398</v>
      </c>
      <c r="W7" s="162">
        <f>'MSPL-2(LOT)'!L7</f>
        <v>0</v>
      </c>
      <c r="X7" s="162">
        <f>F7-W7</f>
        <v>66398</v>
      </c>
      <c r="Y7" s="162">
        <f>'MSPL-2(LOT)'!N7</f>
        <v>0</v>
      </c>
      <c r="Z7" s="162">
        <f>K7-Y7</f>
        <v>66398</v>
      </c>
      <c r="AA7" s="162">
        <f>W7-Y7</f>
        <v>0</v>
      </c>
      <c r="AB7" s="162">
        <f>D7*W7/1000</f>
        <v>0</v>
      </c>
      <c r="AC7" s="162">
        <f>U7-W7</f>
        <v>0</v>
      </c>
      <c r="AD7" s="162">
        <f>D7*K7/1000</f>
        <v>1427.557</v>
      </c>
      <c r="AE7" s="162">
        <f>AD7/50</f>
        <v>28.55114</v>
      </c>
      <c r="AF7" s="162">
        <f>D7*U7/1000/50</f>
        <v>0</v>
      </c>
      <c r="AG7" s="162">
        <f>AE7-AF7</f>
        <v>28.55114</v>
      </c>
      <c r="AH7" s="184"/>
    </row>
    <row r="8" spans="1:34">
      <c r="A8" s="162">
        <v>2</v>
      </c>
      <c r="B8" s="163" t="s">
        <v>55</v>
      </c>
      <c r="C8" s="410"/>
      <c r="D8" s="164">
        <v>17</v>
      </c>
      <c r="E8" s="164"/>
      <c r="F8" s="162">
        <v>66398</v>
      </c>
      <c r="G8" s="162"/>
      <c r="H8" s="162"/>
      <c r="I8" s="162"/>
      <c r="J8" s="162"/>
      <c r="K8" s="162">
        <f>F8</f>
        <v>66398</v>
      </c>
      <c r="L8" s="162">
        <v>2</v>
      </c>
      <c r="M8" s="162">
        <v>18</v>
      </c>
      <c r="N8" s="13"/>
      <c r="O8" s="162">
        <f>M8-N8</f>
        <v>18</v>
      </c>
      <c r="P8" s="13"/>
      <c r="Q8" s="162">
        <f>K8-P8</f>
        <v>66398</v>
      </c>
      <c r="R8" s="162">
        <f>D8/L8*K8</f>
        <v>564383</v>
      </c>
      <c r="S8" s="162">
        <f>'MSPL-2(LOT)'!H8</f>
        <v>0</v>
      </c>
      <c r="T8" s="162">
        <f>R8-S8</f>
        <v>564383</v>
      </c>
      <c r="U8" s="162">
        <f>S8/D8*2</f>
        <v>0</v>
      </c>
      <c r="V8" s="162">
        <f>K8-U8</f>
        <v>66398</v>
      </c>
      <c r="W8" s="162">
        <f>'MSPL-2(LOT)'!L8</f>
        <v>0</v>
      </c>
      <c r="X8" s="162">
        <f>F8-W8</f>
        <v>66398</v>
      </c>
      <c r="Y8" s="162">
        <f>'MSPL-2(LOT)'!N8</f>
        <v>0</v>
      </c>
      <c r="Z8" s="162">
        <f>K8-Y8</f>
        <v>66398</v>
      </c>
      <c r="AA8" s="162">
        <f>W8-Y8</f>
        <v>0</v>
      </c>
      <c r="AB8" s="162">
        <f>D8*W8/1000</f>
        <v>0</v>
      </c>
      <c r="AC8" s="162">
        <f>U8-W8</f>
        <v>0</v>
      </c>
      <c r="AD8" s="162">
        <f>D8*K8/1000</f>
        <v>1128.7660000000001</v>
      </c>
      <c r="AE8" s="162">
        <f>AD8/65</f>
        <v>17.365630769230769</v>
      </c>
      <c r="AF8" s="162">
        <f>D8*U8/1000/65</f>
        <v>0</v>
      </c>
      <c r="AG8" s="162">
        <f>AE8-AF8</f>
        <v>17.365630769230769</v>
      </c>
      <c r="AH8" s="184"/>
    </row>
    <row r="9" spans="1:34">
      <c r="A9" s="403" t="s">
        <v>79</v>
      </c>
      <c r="B9" s="403"/>
      <c r="C9" s="403"/>
      <c r="D9" s="403"/>
      <c r="E9" s="73"/>
      <c r="F9" s="42">
        <f>SUM(F7:F8)</f>
        <v>132796</v>
      </c>
      <c r="G9" s="42">
        <f t="shared" ref="G9:AH9" si="0">SUM(G7:G8)</f>
        <v>0</v>
      </c>
      <c r="H9" s="42">
        <f t="shared" si="0"/>
        <v>0</v>
      </c>
      <c r="I9" s="42">
        <f t="shared" si="0"/>
        <v>0</v>
      </c>
      <c r="J9" s="42">
        <f t="shared" si="0"/>
        <v>0</v>
      </c>
      <c r="K9" s="42">
        <f t="shared" si="0"/>
        <v>132796</v>
      </c>
      <c r="L9" s="42">
        <f t="shared" si="0"/>
        <v>4</v>
      </c>
      <c r="M9" s="42">
        <f t="shared" ref="M9:Q9" si="1">SUM(M7:M8)</f>
        <v>210</v>
      </c>
      <c r="N9" s="42">
        <f t="shared" si="1"/>
        <v>0</v>
      </c>
      <c r="O9" s="42">
        <f t="shared" si="1"/>
        <v>210</v>
      </c>
      <c r="P9" s="42">
        <f t="shared" si="1"/>
        <v>0</v>
      </c>
      <c r="Q9" s="42">
        <f t="shared" si="1"/>
        <v>132796</v>
      </c>
      <c r="R9" s="42">
        <f t="shared" si="0"/>
        <v>1278161.5</v>
      </c>
      <c r="S9" s="42">
        <f t="shared" si="0"/>
        <v>0</v>
      </c>
      <c r="T9" s="42">
        <f t="shared" si="0"/>
        <v>1278161.5</v>
      </c>
      <c r="U9" s="42">
        <f t="shared" si="0"/>
        <v>0</v>
      </c>
      <c r="V9" s="42">
        <f t="shared" si="0"/>
        <v>132796</v>
      </c>
      <c r="W9" s="42">
        <f t="shared" si="0"/>
        <v>0</v>
      </c>
      <c r="X9" s="42">
        <f t="shared" si="0"/>
        <v>132796</v>
      </c>
      <c r="Y9" s="42">
        <f t="shared" si="0"/>
        <v>0</v>
      </c>
      <c r="Z9" s="42">
        <f t="shared" si="0"/>
        <v>132796</v>
      </c>
      <c r="AA9" s="42">
        <f t="shared" si="0"/>
        <v>0</v>
      </c>
      <c r="AB9" s="42">
        <f t="shared" si="0"/>
        <v>0</v>
      </c>
      <c r="AC9" s="42"/>
      <c r="AD9" s="42">
        <f t="shared" si="0"/>
        <v>2556.3230000000003</v>
      </c>
      <c r="AE9" s="42">
        <f t="shared" si="0"/>
        <v>45.916770769230766</v>
      </c>
      <c r="AF9" s="42">
        <f t="shared" si="0"/>
        <v>0</v>
      </c>
      <c r="AG9" s="42">
        <f t="shared" si="0"/>
        <v>45.916770769230766</v>
      </c>
      <c r="AH9" s="42">
        <f t="shared" si="0"/>
        <v>0</v>
      </c>
    </row>
    <row r="10" spans="1:34" s="43" customFormat="1">
      <c r="A10" s="30"/>
      <c r="B10" s="28"/>
      <c r="C10" s="30"/>
      <c r="D10" s="31"/>
      <c r="E10" s="3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</row>
    <row r="11" spans="1:34" s="43" customFormat="1">
      <c r="A11" s="30"/>
      <c r="B11" s="28"/>
      <c r="C11" s="30"/>
      <c r="D11" s="31"/>
      <c r="E11" s="31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122"/>
      <c r="Y11" s="122"/>
      <c r="Z11" s="122"/>
      <c r="AA11" s="122"/>
      <c r="AB11" s="67"/>
      <c r="AC11" s="67"/>
      <c r="AD11" s="67"/>
      <c r="AE11" s="67"/>
      <c r="AF11" s="67"/>
      <c r="AG11" s="67"/>
    </row>
    <row r="12" spans="1:34" s="63" customFormat="1" ht="15.75">
      <c r="A12" s="61"/>
      <c r="B12" s="61"/>
      <c r="C12" s="61"/>
      <c r="D12" s="61"/>
      <c r="E12" s="61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AB12" s="387" t="s">
        <v>254</v>
      </c>
      <c r="AC12" s="387"/>
      <c r="AD12" s="387"/>
      <c r="AE12" s="387"/>
      <c r="AF12" s="387"/>
      <c r="AG12" s="387"/>
    </row>
    <row r="13" spans="1:34" s="63" customFormat="1">
      <c r="A13" s="61"/>
      <c r="B13" s="61"/>
      <c r="C13" s="61"/>
      <c r="D13" s="61"/>
      <c r="E13" s="61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</row>
    <row r="14" spans="1:34" s="63" customFormat="1">
      <c r="A14" s="61"/>
      <c r="B14" s="61"/>
      <c r="C14" s="61"/>
      <c r="D14" s="61"/>
      <c r="E14" s="61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</row>
    <row r="15" spans="1:34" s="63" customFormat="1">
      <c r="A15" s="61"/>
      <c r="B15" s="61"/>
      <c r="C15" s="61"/>
      <c r="D15" s="61"/>
      <c r="E15" s="61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</row>
    <row r="16" spans="1:34" s="63" customFormat="1">
      <c r="A16" s="61"/>
      <c r="B16" s="61"/>
      <c r="C16" s="61"/>
      <c r="D16" s="61"/>
      <c r="E16" s="61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</row>
    <row r="17" spans="1:33" s="63" customFormat="1">
      <c r="A17" s="61"/>
      <c r="B17" s="61"/>
      <c r="C17" s="61"/>
      <c r="D17" s="61"/>
      <c r="E17" s="61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</row>
    <row r="18" spans="1:33" s="63" customFormat="1">
      <c r="A18" s="61"/>
      <c r="B18" s="61"/>
      <c r="C18" s="61"/>
      <c r="D18" s="61"/>
      <c r="E18" s="61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</row>
    <row r="19" spans="1:33" s="63" customFormat="1">
      <c r="A19" s="61"/>
      <c r="B19" s="61"/>
      <c r="C19" s="61"/>
      <c r="D19" s="61"/>
      <c r="E19" s="61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</row>
    <row r="20" spans="1:33" s="63" customFormat="1">
      <c r="A20" s="61"/>
      <c r="B20" s="61"/>
      <c r="C20" s="61"/>
      <c r="D20" s="61"/>
      <c r="E20" s="61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</row>
    <row r="21" spans="1:33" s="63" customFormat="1">
      <c r="A21" s="61"/>
      <c r="B21" s="61"/>
      <c r="C21" s="61"/>
      <c r="D21" s="61"/>
      <c r="E21" s="61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</row>
    <row r="22" spans="1:33" s="63" customFormat="1">
      <c r="A22" s="61"/>
      <c r="B22" s="61"/>
      <c r="C22" s="61"/>
      <c r="D22" s="61"/>
      <c r="E22" s="61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</row>
    <row r="23" spans="1:33" s="63" customFormat="1">
      <c r="A23" s="61"/>
      <c r="B23" s="61"/>
      <c r="C23" s="61"/>
      <c r="D23" s="61"/>
      <c r="E23" s="61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</row>
    <row r="24" spans="1:33" s="63" customFormat="1">
      <c r="A24" s="61"/>
      <c r="B24" s="61"/>
      <c r="C24" s="61"/>
      <c r="D24" s="61"/>
      <c r="E24" s="61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</row>
    <row r="25" spans="1:33" s="63" customFormat="1">
      <c r="A25" s="61"/>
      <c r="B25" s="61"/>
      <c r="C25" s="61"/>
      <c r="D25" s="61"/>
      <c r="E25" s="61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</row>
    <row r="26" spans="1:33" s="63" customFormat="1">
      <c r="A26" s="61"/>
      <c r="B26" s="61"/>
      <c r="C26" s="61"/>
      <c r="D26" s="61"/>
      <c r="E26" s="61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</row>
    <row r="27" spans="1:33" s="63" customFormat="1">
      <c r="A27" s="61"/>
      <c r="B27" s="61"/>
      <c r="C27" s="61"/>
      <c r="D27" s="61"/>
      <c r="E27" s="61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  <c r="AA27" s="62"/>
      <c r="AB27" s="62"/>
      <c r="AC27" s="62"/>
      <c r="AD27" s="62"/>
      <c r="AE27" s="62"/>
      <c r="AF27" s="62"/>
      <c r="AG27" s="62"/>
    </row>
    <row r="28" spans="1:33" s="63" customFormat="1">
      <c r="A28" s="61"/>
      <c r="B28" s="61"/>
      <c r="C28" s="61"/>
      <c r="D28" s="61"/>
      <c r="E28" s="61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</row>
    <row r="29" spans="1:33" s="63" customFormat="1">
      <c r="A29" s="61"/>
      <c r="B29" s="61"/>
      <c r="C29" s="61"/>
      <c r="D29" s="61"/>
      <c r="E29" s="61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</row>
    <row r="30" spans="1:33" s="63" customFormat="1">
      <c r="A30" s="61"/>
      <c r="B30" s="61"/>
      <c r="C30" s="61"/>
      <c r="D30" s="61"/>
      <c r="E30" s="61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</row>
    <row r="31" spans="1:33" s="63" customFormat="1">
      <c r="A31" s="61"/>
      <c r="B31" s="61"/>
      <c r="C31" s="61"/>
      <c r="D31" s="61"/>
      <c r="E31" s="61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</row>
    <row r="32" spans="1:33" s="63" customFormat="1">
      <c r="A32" s="61"/>
      <c r="B32" s="61"/>
      <c r="C32" s="61"/>
      <c r="D32" s="61"/>
      <c r="E32" s="61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</row>
    <row r="33" spans="1:34" s="63" customFormat="1">
      <c r="A33" s="61"/>
      <c r="B33" s="61"/>
      <c r="C33" s="61"/>
      <c r="D33" s="61"/>
      <c r="E33" s="61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</row>
    <row r="34" spans="1:34" s="63" customFormat="1">
      <c r="A34" s="61"/>
      <c r="B34" s="61"/>
      <c r="C34" s="61"/>
      <c r="D34" s="61"/>
      <c r="E34" s="61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</row>
    <row r="35" spans="1:34" s="63" customFormat="1">
      <c r="A35" s="61"/>
      <c r="B35" s="61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</row>
    <row r="36" spans="1:34" s="63" customFormat="1">
      <c r="A36" s="61"/>
      <c r="B36" s="61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</row>
    <row r="37" spans="1:34" s="1" customFormat="1" ht="24" customHeight="1">
      <c r="A37" s="388" t="s">
        <v>178</v>
      </c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  <c r="W37" s="388"/>
      <c r="X37" s="388"/>
      <c r="Y37" s="388"/>
      <c r="Z37" s="388"/>
      <c r="AA37" s="388"/>
      <c r="AB37" s="388"/>
      <c r="AC37" s="388"/>
      <c r="AD37" s="388"/>
      <c r="AE37" s="388"/>
      <c r="AF37" s="388"/>
      <c r="AG37" s="388"/>
    </row>
    <row r="38" spans="1:34" s="1" customFormat="1" ht="17.25" customHeight="1">
      <c r="A38" s="379" t="s">
        <v>253</v>
      </c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  <c r="W38" s="379"/>
      <c r="X38" s="379"/>
      <c r="Y38" s="379"/>
      <c r="Z38" s="379"/>
      <c r="AA38" s="379"/>
      <c r="AB38" s="379"/>
      <c r="AC38" s="379"/>
      <c r="AD38" s="379"/>
      <c r="AE38" s="379"/>
      <c r="AF38" s="379"/>
      <c r="AG38" s="379"/>
    </row>
    <row r="39" spans="1:34" s="1" customFormat="1" ht="15.75" customHeight="1">
      <c r="A39" s="364" t="s">
        <v>274</v>
      </c>
      <c r="B39" s="364"/>
      <c r="C39" s="364"/>
      <c r="D39" s="364"/>
      <c r="E39" s="364"/>
      <c r="F39" s="364"/>
      <c r="G39" s="364"/>
      <c r="H39" s="364"/>
      <c r="I39" s="364"/>
      <c r="J39" s="364"/>
      <c r="K39" s="364"/>
      <c r="L39" s="364"/>
      <c r="M39" s="364"/>
      <c r="N39" s="364"/>
      <c r="O39" s="364"/>
      <c r="P39" s="364"/>
      <c r="Q39" s="364"/>
      <c r="R39" s="364"/>
      <c r="S39" s="364"/>
      <c r="T39" s="364"/>
      <c r="U39" s="364"/>
      <c r="V39" s="364"/>
      <c r="W39" s="364"/>
      <c r="X39" s="364"/>
      <c r="Y39" s="364"/>
      <c r="Z39" s="364"/>
      <c r="AA39" s="364"/>
      <c r="AB39" s="364"/>
      <c r="AC39" s="364"/>
      <c r="AD39" s="364"/>
      <c r="AE39" s="364"/>
      <c r="AF39" s="364"/>
      <c r="AG39" s="364"/>
    </row>
    <row r="40" spans="1:34" s="1" customFormat="1" ht="20.25">
      <c r="A40" s="400" t="s">
        <v>275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00"/>
      <c r="Q40" s="400"/>
      <c r="R40" s="400"/>
      <c r="S40" s="400"/>
      <c r="T40" s="400"/>
      <c r="U40" s="400"/>
      <c r="V40" s="400"/>
      <c r="W40" s="400"/>
      <c r="X40" s="400"/>
      <c r="Y40" s="400"/>
      <c r="Z40" s="400"/>
      <c r="AA40" s="400"/>
      <c r="AB40" s="400"/>
      <c r="AC40" s="229"/>
      <c r="AD40" s="378" t="str">
        <f>AD4</f>
        <v>ZvwiLt-02/08/26</v>
      </c>
      <c r="AE40" s="378"/>
      <c r="AF40" s="378"/>
      <c r="AG40" s="378"/>
    </row>
    <row r="41" spans="1:34" ht="15" customHeight="1">
      <c r="A41" s="405" t="s">
        <v>0</v>
      </c>
      <c r="B41" s="405" t="s">
        <v>10</v>
      </c>
      <c r="C41" s="405" t="s">
        <v>1</v>
      </c>
      <c r="D41" s="411" t="s">
        <v>11</v>
      </c>
      <c r="E41" s="151"/>
      <c r="F41" s="398" t="s">
        <v>222</v>
      </c>
      <c r="G41" s="398"/>
      <c r="H41" s="398"/>
      <c r="I41" s="398"/>
      <c r="J41" s="398"/>
      <c r="K41" s="405" t="s">
        <v>223</v>
      </c>
      <c r="L41" s="149" t="s">
        <v>11</v>
      </c>
      <c r="M41" s="398" t="s">
        <v>324</v>
      </c>
      <c r="N41" s="398"/>
      <c r="O41" s="398"/>
      <c r="P41" s="398" t="s">
        <v>39</v>
      </c>
      <c r="Q41" s="398"/>
      <c r="R41" s="371" t="s">
        <v>113</v>
      </c>
      <c r="S41" s="372"/>
      <c r="T41" s="373"/>
      <c r="U41" s="397" t="s">
        <v>115</v>
      </c>
      <c r="V41" s="397"/>
      <c r="W41" s="401" t="s">
        <v>83</v>
      </c>
      <c r="X41" s="402"/>
      <c r="Y41" s="398" t="s">
        <v>3</v>
      </c>
      <c r="Z41" s="398"/>
      <c r="AA41" s="398" t="s">
        <v>89</v>
      </c>
      <c r="AB41" s="398" t="s">
        <v>145</v>
      </c>
      <c r="AC41" s="413" t="s">
        <v>463</v>
      </c>
      <c r="AD41" s="397" t="s">
        <v>134</v>
      </c>
      <c r="AE41" s="397"/>
      <c r="AF41" s="397"/>
      <c r="AG41" s="397"/>
      <c r="AH41" s="370" t="s">
        <v>136</v>
      </c>
    </row>
    <row r="42" spans="1:34" ht="15" customHeight="1">
      <c r="A42" s="406"/>
      <c r="B42" s="406"/>
      <c r="C42" s="406"/>
      <c r="D42" s="412"/>
      <c r="E42" s="152"/>
      <c r="F42" s="144" t="s">
        <v>268</v>
      </c>
      <c r="G42" s="144" t="s">
        <v>267</v>
      </c>
      <c r="H42" s="144" t="s">
        <v>269</v>
      </c>
      <c r="I42" s="144" t="s">
        <v>270</v>
      </c>
      <c r="J42" s="144" t="s">
        <v>271</v>
      </c>
      <c r="K42" s="406"/>
      <c r="L42" s="150"/>
      <c r="M42" s="138" t="s">
        <v>426</v>
      </c>
      <c r="N42" s="144" t="s">
        <v>427</v>
      </c>
      <c r="O42" s="144" t="s">
        <v>38</v>
      </c>
      <c r="P42" s="144" t="s">
        <v>451</v>
      </c>
      <c r="Q42" s="144" t="s">
        <v>38</v>
      </c>
      <c r="R42" s="138" t="s">
        <v>426</v>
      </c>
      <c r="S42" s="144" t="s">
        <v>82</v>
      </c>
      <c r="T42" s="144" t="s">
        <v>38</v>
      </c>
      <c r="U42" s="183" t="s">
        <v>82</v>
      </c>
      <c r="V42" s="183" t="s">
        <v>38</v>
      </c>
      <c r="W42" s="144" t="s">
        <v>83</v>
      </c>
      <c r="X42" s="144" t="s">
        <v>38</v>
      </c>
      <c r="Y42" s="144" t="s">
        <v>3</v>
      </c>
      <c r="Z42" s="144" t="s">
        <v>38</v>
      </c>
      <c r="AA42" s="398"/>
      <c r="AB42" s="398"/>
      <c r="AC42" s="414"/>
      <c r="AD42" s="183" t="s">
        <v>90</v>
      </c>
      <c r="AE42" s="183" t="s">
        <v>154</v>
      </c>
      <c r="AF42" s="183" t="s">
        <v>135</v>
      </c>
      <c r="AG42" s="183" t="s">
        <v>38</v>
      </c>
      <c r="AH42" s="370"/>
    </row>
    <row r="43" spans="1:34" s="11" customFormat="1" ht="15" customHeight="1">
      <c r="A43" s="162">
        <v>1</v>
      </c>
      <c r="B43" s="163" t="s">
        <v>4</v>
      </c>
      <c r="C43" s="394" t="s">
        <v>12</v>
      </c>
      <c r="D43" s="164">
        <v>11</v>
      </c>
      <c r="E43" s="164"/>
      <c r="F43" s="185">
        <v>37420</v>
      </c>
      <c r="G43" s="186">
        <v>34712</v>
      </c>
      <c r="H43" s="186">
        <v>39266</v>
      </c>
      <c r="I43" s="186">
        <v>39879</v>
      </c>
      <c r="J43" s="186">
        <v>22797</v>
      </c>
      <c r="K43" s="186">
        <f>SUM(F43:J43)</f>
        <v>174074</v>
      </c>
      <c r="L43" s="187">
        <v>2</v>
      </c>
      <c r="M43" s="186">
        <v>144</v>
      </c>
      <c r="N43" s="189"/>
      <c r="O43" s="186">
        <f>M43-N43</f>
        <v>144</v>
      </c>
      <c r="P43" s="189"/>
      <c r="Q43" s="186">
        <f>K43-P43</f>
        <v>174074</v>
      </c>
      <c r="R43" s="187">
        <f t="shared" ref="R43:R69" si="2">D43/L43*K43</f>
        <v>957407</v>
      </c>
      <c r="S43" s="187">
        <f>'MSPL-2(LOT)'!H40+'MSPL-2(LOT)'!H77+'MSPL-2(LOT)'!H114+'MSPL-2(LOT)'!H151+'MSPL-2(LOT)'!H188</f>
        <v>0</v>
      </c>
      <c r="T43" s="187">
        <f t="shared" ref="T43:T69" si="3">R43-S43</f>
        <v>957407</v>
      </c>
      <c r="U43" s="162">
        <f t="shared" ref="U43:U69" si="4">S43/D43*2</f>
        <v>0</v>
      </c>
      <c r="V43" s="162">
        <f t="shared" ref="V43:V69" si="5">K43-U43</f>
        <v>174074</v>
      </c>
      <c r="W43" s="162">
        <f>'MSPL-2(LOT)'!L40+'MSPL-2(LOT)'!L77+'MSPL-2(LOT)'!L114+'MSPL-2(LOT)'!L151+'MSPL-2(LOT)'!L188</f>
        <v>0</v>
      </c>
      <c r="X43" s="162">
        <f t="shared" ref="X43:X69" si="6">K43-W43</f>
        <v>174074</v>
      </c>
      <c r="Y43" s="162">
        <f>'MSPL-2(LOT)'!N40+'MSPL-2(LOT)'!N77+'MSPL-2(LOT)'!N114+'MSPL-2(LOT)'!N151+'MSPL-2(LOT)'!N188</f>
        <v>0</v>
      </c>
      <c r="Z43" s="162">
        <f t="shared" ref="Z43:Z69" si="7">K43-Y43</f>
        <v>174074</v>
      </c>
      <c r="AA43" s="162">
        <f>W43-Y43</f>
        <v>0</v>
      </c>
      <c r="AB43" s="162">
        <f t="shared" ref="AB43:AB69" si="8">D43*W43/1000</f>
        <v>0</v>
      </c>
      <c r="AC43" s="162">
        <f>U43-W43</f>
        <v>0</v>
      </c>
      <c r="AD43" s="162">
        <f t="shared" ref="AD43:AD69" si="9">D43*K43/1000</f>
        <v>1914.8140000000001</v>
      </c>
      <c r="AE43" s="162">
        <f>AD43/65</f>
        <v>29.458676923076926</v>
      </c>
      <c r="AF43" s="162">
        <f t="shared" ref="AF43:AF69" si="10">D43*U43/1000/65</f>
        <v>0</v>
      </c>
      <c r="AG43" s="162">
        <f>AE43-AF43</f>
        <v>29.458676923076926</v>
      </c>
      <c r="AH43" s="155"/>
    </row>
    <row r="44" spans="1:34" s="11" customFormat="1" ht="15" customHeight="1">
      <c r="A44" s="162">
        <v>2</v>
      </c>
      <c r="B44" s="163" t="s">
        <v>5</v>
      </c>
      <c r="C44" s="395"/>
      <c r="D44" s="164">
        <v>12</v>
      </c>
      <c r="E44" s="164"/>
      <c r="F44" s="185">
        <v>37420</v>
      </c>
      <c r="G44" s="186">
        <v>34712</v>
      </c>
      <c r="H44" s="186">
        <v>39266</v>
      </c>
      <c r="I44" s="186">
        <v>39879</v>
      </c>
      <c r="J44" s="186">
        <v>22797</v>
      </c>
      <c r="K44" s="186">
        <f t="shared" ref="K44:K69" si="11">SUM(F44:J44)</f>
        <v>174074</v>
      </c>
      <c r="L44" s="187">
        <v>2</v>
      </c>
      <c r="M44" s="186">
        <v>144</v>
      </c>
      <c r="N44" s="189"/>
      <c r="O44" s="186">
        <f t="shared" ref="O44:O68" si="12">M44-N44</f>
        <v>144</v>
      </c>
      <c r="P44" s="189"/>
      <c r="Q44" s="186">
        <f t="shared" ref="Q44:Q69" si="13">K44-P44</f>
        <v>174074</v>
      </c>
      <c r="R44" s="187">
        <f t="shared" si="2"/>
        <v>1044444</v>
      </c>
      <c r="S44" s="187">
        <f>'MSPL-2(LOT)'!H41+'MSPL-2(LOT)'!H78+'MSPL-2(LOT)'!H115+'MSPL-2(LOT)'!H152+'MSPL-2(LOT)'!H189</f>
        <v>0</v>
      </c>
      <c r="T44" s="187">
        <f t="shared" si="3"/>
        <v>1044444</v>
      </c>
      <c r="U44" s="162">
        <f t="shared" si="4"/>
        <v>0</v>
      </c>
      <c r="V44" s="162">
        <f t="shared" si="5"/>
        <v>174074</v>
      </c>
      <c r="W44" s="162">
        <f>'MSPL-2(LOT)'!L41+'MSPL-2(LOT)'!L78+'MSPL-2(LOT)'!L115+'MSPL-2(LOT)'!L152+'MSPL-2(LOT)'!L189</f>
        <v>0</v>
      </c>
      <c r="X44" s="162">
        <f t="shared" si="6"/>
        <v>174074</v>
      </c>
      <c r="Y44" s="162">
        <f>'MSPL-2(LOT)'!N41+'MSPL-2(LOT)'!N78+'MSPL-2(LOT)'!N115+'MSPL-2(LOT)'!N152+'MSPL-2(LOT)'!N189</f>
        <v>0</v>
      </c>
      <c r="Z44" s="162">
        <f t="shared" si="7"/>
        <v>174074</v>
      </c>
      <c r="AA44" s="162">
        <f t="shared" ref="AA44:AA69" si="14">W44-Y44</f>
        <v>0</v>
      </c>
      <c r="AB44" s="162">
        <f t="shared" si="8"/>
        <v>0</v>
      </c>
      <c r="AC44" s="162">
        <f t="shared" ref="AC44:AC69" si="15">U44-W44</f>
        <v>0</v>
      </c>
      <c r="AD44" s="162">
        <f t="shared" si="9"/>
        <v>2088.8879999999999</v>
      </c>
      <c r="AE44" s="162">
        <f t="shared" ref="AE44:AE69" si="16">AD44/65</f>
        <v>32.136738461538464</v>
      </c>
      <c r="AF44" s="162">
        <f t="shared" si="10"/>
        <v>0</v>
      </c>
      <c r="AG44" s="162">
        <f t="shared" ref="AG44:AG69" si="17">AE44-AF44</f>
        <v>32.136738461538464</v>
      </c>
      <c r="AH44" s="155"/>
    </row>
    <row r="45" spans="1:34" s="11" customFormat="1" ht="15" customHeight="1">
      <c r="A45" s="162">
        <v>3</v>
      </c>
      <c r="B45" s="163" t="s">
        <v>6</v>
      </c>
      <c r="C45" s="396"/>
      <c r="D45" s="164">
        <v>15</v>
      </c>
      <c r="E45" s="164"/>
      <c r="F45" s="185">
        <v>37420</v>
      </c>
      <c r="G45" s="186">
        <v>34712</v>
      </c>
      <c r="H45" s="186">
        <v>39266</v>
      </c>
      <c r="I45" s="186">
        <v>39879</v>
      </c>
      <c r="J45" s="186">
        <v>22797</v>
      </c>
      <c r="K45" s="186">
        <f t="shared" si="11"/>
        <v>174074</v>
      </c>
      <c r="L45" s="187">
        <v>2</v>
      </c>
      <c r="M45" s="186">
        <v>192</v>
      </c>
      <c r="N45" s="189"/>
      <c r="O45" s="186">
        <f t="shared" si="12"/>
        <v>192</v>
      </c>
      <c r="P45" s="189"/>
      <c r="Q45" s="186">
        <f t="shared" si="13"/>
        <v>174074</v>
      </c>
      <c r="R45" s="187">
        <f t="shared" si="2"/>
        <v>1305555</v>
      </c>
      <c r="S45" s="187">
        <f>'MSPL-2(LOT)'!H42+'MSPL-2(LOT)'!H79+'MSPL-2(LOT)'!H116+'MSPL-2(LOT)'!H153+'MSPL-2(LOT)'!H190</f>
        <v>0</v>
      </c>
      <c r="T45" s="187">
        <f t="shared" si="3"/>
        <v>1305555</v>
      </c>
      <c r="U45" s="162">
        <f t="shared" si="4"/>
        <v>0</v>
      </c>
      <c r="V45" s="162">
        <f t="shared" si="5"/>
        <v>174074</v>
      </c>
      <c r="W45" s="162">
        <f>'MSPL-2(LOT)'!L42+'MSPL-2(LOT)'!L79+'MSPL-2(LOT)'!L116+'MSPL-2(LOT)'!L153+'MSPL-2(LOT)'!L190</f>
        <v>0</v>
      </c>
      <c r="X45" s="162">
        <f t="shared" si="6"/>
        <v>174074</v>
      </c>
      <c r="Y45" s="162">
        <f>'MSPL-2(LOT)'!N42+'MSPL-2(LOT)'!N79+'MSPL-2(LOT)'!N116+'MSPL-2(LOT)'!N153+'MSPL-2(LOT)'!N190</f>
        <v>0</v>
      </c>
      <c r="Z45" s="162">
        <f t="shared" si="7"/>
        <v>174074</v>
      </c>
      <c r="AA45" s="162">
        <f t="shared" si="14"/>
        <v>0</v>
      </c>
      <c r="AB45" s="162">
        <f t="shared" si="8"/>
        <v>0</v>
      </c>
      <c r="AC45" s="162">
        <f t="shared" si="15"/>
        <v>0</v>
      </c>
      <c r="AD45" s="162">
        <f t="shared" si="9"/>
        <v>2611.11</v>
      </c>
      <c r="AE45" s="162">
        <f t="shared" si="16"/>
        <v>40.170923076923081</v>
      </c>
      <c r="AF45" s="162">
        <f t="shared" si="10"/>
        <v>0</v>
      </c>
      <c r="AG45" s="162">
        <f t="shared" si="17"/>
        <v>40.170923076923081</v>
      </c>
      <c r="AH45" s="155"/>
    </row>
    <row r="46" spans="1:34" s="11" customFormat="1" ht="15" customHeight="1">
      <c r="A46" s="162">
        <v>4</v>
      </c>
      <c r="B46" s="163" t="s">
        <v>4</v>
      </c>
      <c r="C46" s="394" t="s">
        <v>13</v>
      </c>
      <c r="D46" s="164">
        <v>9</v>
      </c>
      <c r="E46" s="164"/>
      <c r="F46" s="185">
        <v>37362</v>
      </c>
      <c r="G46" s="186">
        <v>34222</v>
      </c>
      <c r="H46" s="186">
        <v>37948</v>
      </c>
      <c r="I46" s="186">
        <v>37815</v>
      </c>
      <c r="J46" s="186">
        <v>23865</v>
      </c>
      <c r="K46" s="186">
        <f t="shared" si="11"/>
        <v>171212</v>
      </c>
      <c r="L46" s="187">
        <v>2</v>
      </c>
      <c r="M46" s="186">
        <v>120</v>
      </c>
      <c r="N46" s="189"/>
      <c r="O46" s="186">
        <f t="shared" si="12"/>
        <v>120</v>
      </c>
      <c r="P46" s="189"/>
      <c r="Q46" s="186">
        <f t="shared" si="13"/>
        <v>171212</v>
      </c>
      <c r="R46" s="187">
        <f t="shared" si="2"/>
        <v>770454</v>
      </c>
      <c r="S46" s="187">
        <f>'MSPL-2(LOT)'!H43+'MSPL-2(LOT)'!H80+'MSPL-2(LOT)'!H117+'MSPL-2(LOT)'!H154+'MSPL-2(LOT)'!H191</f>
        <v>0</v>
      </c>
      <c r="T46" s="187">
        <f t="shared" si="3"/>
        <v>770454</v>
      </c>
      <c r="U46" s="162">
        <f t="shared" si="4"/>
        <v>0</v>
      </c>
      <c r="V46" s="162">
        <f t="shared" si="5"/>
        <v>171212</v>
      </c>
      <c r="W46" s="162">
        <f>'MSPL-2(LOT)'!L43+'MSPL-2(LOT)'!L80+'MSPL-2(LOT)'!L117+'MSPL-2(LOT)'!L154+'MSPL-2(LOT)'!L191</f>
        <v>0</v>
      </c>
      <c r="X46" s="162">
        <f t="shared" si="6"/>
        <v>171212</v>
      </c>
      <c r="Y46" s="162">
        <f>'MSPL-2(LOT)'!N43+'MSPL-2(LOT)'!N80+'MSPL-2(LOT)'!N117+'MSPL-2(LOT)'!N154+'MSPL-2(LOT)'!N191</f>
        <v>0</v>
      </c>
      <c r="Z46" s="162">
        <f t="shared" si="7"/>
        <v>171212</v>
      </c>
      <c r="AA46" s="162">
        <f t="shared" si="14"/>
        <v>0</v>
      </c>
      <c r="AB46" s="162">
        <f t="shared" si="8"/>
        <v>0</v>
      </c>
      <c r="AC46" s="162">
        <f t="shared" si="15"/>
        <v>0</v>
      </c>
      <c r="AD46" s="162">
        <f t="shared" si="9"/>
        <v>1540.9079999999999</v>
      </c>
      <c r="AE46" s="162">
        <f t="shared" si="16"/>
        <v>23.706276923076921</v>
      </c>
      <c r="AF46" s="162">
        <f t="shared" si="10"/>
        <v>0</v>
      </c>
      <c r="AG46" s="162">
        <f t="shared" si="17"/>
        <v>23.706276923076921</v>
      </c>
      <c r="AH46" s="155"/>
    </row>
    <row r="47" spans="1:34" s="11" customFormat="1" ht="15" customHeight="1">
      <c r="A47" s="162">
        <v>5</v>
      </c>
      <c r="B47" s="163" t="s">
        <v>5</v>
      </c>
      <c r="C47" s="395"/>
      <c r="D47" s="164">
        <v>13</v>
      </c>
      <c r="E47" s="164"/>
      <c r="F47" s="185">
        <v>37362</v>
      </c>
      <c r="G47" s="186">
        <v>34222</v>
      </c>
      <c r="H47" s="186">
        <v>37948</v>
      </c>
      <c r="I47" s="186">
        <v>37815</v>
      </c>
      <c r="J47" s="186">
        <v>23865</v>
      </c>
      <c r="K47" s="186">
        <f t="shared" si="11"/>
        <v>171212</v>
      </c>
      <c r="L47" s="187">
        <v>2</v>
      </c>
      <c r="M47" s="186">
        <v>168</v>
      </c>
      <c r="N47" s="189"/>
      <c r="O47" s="186">
        <f t="shared" si="12"/>
        <v>168</v>
      </c>
      <c r="P47" s="189"/>
      <c r="Q47" s="186">
        <f t="shared" si="13"/>
        <v>171212</v>
      </c>
      <c r="R47" s="187">
        <f t="shared" si="2"/>
        <v>1112878</v>
      </c>
      <c r="S47" s="187">
        <f>'MSPL-2(LOT)'!H44+'MSPL-2(LOT)'!H81+'MSPL-2(LOT)'!H118+'MSPL-2(LOT)'!H155+'MSPL-2(LOT)'!H192</f>
        <v>0</v>
      </c>
      <c r="T47" s="187">
        <f t="shared" si="3"/>
        <v>1112878</v>
      </c>
      <c r="U47" s="162">
        <f t="shared" si="4"/>
        <v>0</v>
      </c>
      <c r="V47" s="162">
        <f t="shared" si="5"/>
        <v>171212</v>
      </c>
      <c r="W47" s="162">
        <f>'MSPL-2(LOT)'!L44+'MSPL-2(LOT)'!L81+'MSPL-2(LOT)'!L118+'MSPL-2(LOT)'!L155+'MSPL-2(LOT)'!L192</f>
        <v>0</v>
      </c>
      <c r="X47" s="162">
        <f t="shared" si="6"/>
        <v>171212</v>
      </c>
      <c r="Y47" s="162">
        <f>'MSPL-2(LOT)'!N44+'MSPL-2(LOT)'!N81+'MSPL-2(LOT)'!N118+'MSPL-2(LOT)'!N155+'MSPL-2(LOT)'!N192</f>
        <v>0</v>
      </c>
      <c r="Z47" s="162">
        <f t="shared" si="7"/>
        <v>171212</v>
      </c>
      <c r="AA47" s="162">
        <f t="shared" si="14"/>
        <v>0</v>
      </c>
      <c r="AB47" s="162">
        <f t="shared" si="8"/>
        <v>0</v>
      </c>
      <c r="AC47" s="162">
        <f t="shared" si="15"/>
        <v>0</v>
      </c>
      <c r="AD47" s="162">
        <f t="shared" si="9"/>
        <v>2225.7559999999999</v>
      </c>
      <c r="AE47" s="162">
        <f t="shared" si="16"/>
        <v>34.242399999999996</v>
      </c>
      <c r="AF47" s="162">
        <f t="shared" si="10"/>
        <v>0</v>
      </c>
      <c r="AG47" s="162">
        <f t="shared" si="17"/>
        <v>34.242399999999996</v>
      </c>
      <c r="AH47" s="155"/>
    </row>
    <row r="48" spans="1:34" s="11" customFormat="1" ht="15" customHeight="1">
      <c r="A48" s="162">
        <v>6</v>
      </c>
      <c r="B48" s="163" t="s">
        <v>6</v>
      </c>
      <c r="C48" s="396"/>
      <c r="D48" s="164">
        <v>17</v>
      </c>
      <c r="E48" s="164"/>
      <c r="F48" s="185">
        <v>37362</v>
      </c>
      <c r="G48" s="186">
        <v>34222</v>
      </c>
      <c r="H48" s="186">
        <v>37948</v>
      </c>
      <c r="I48" s="186">
        <v>37815</v>
      </c>
      <c r="J48" s="186">
        <v>23865</v>
      </c>
      <c r="K48" s="186">
        <f t="shared" si="11"/>
        <v>171212</v>
      </c>
      <c r="L48" s="187">
        <v>2</v>
      </c>
      <c r="M48" s="186">
        <v>216</v>
      </c>
      <c r="N48" s="189"/>
      <c r="O48" s="186">
        <f t="shared" si="12"/>
        <v>216</v>
      </c>
      <c r="P48" s="189"/>
      <c r="Q48" s="186">
        <f t="shared" si="13"/>
        <v>171212</v>
      </c>
      <c r="R48" s="187">
        <f t="shared" si="2"/>
        <v>1455302</v>
      </c>
      <c r="S48" s="187">
        <f>'MSPL-2(LOT)'!H45+'MSPL-2(LOT)'!H82+'MSPL-2(LOT)'!H119+'MSPL-2(LOT)'!H156+'MSPL-2(LOT)'!H193</f>
        <v>0</v>
      </c>
      <c r="T48" s="187">
        <f t="shared" si="3"/>
        <v>1455302</v>
      </c>
      <c r="U48" s="162">
        <f t="shared" si="4"/>
        <v>0</v>
      </c>
      <c r="V48" s="162">
        <f t="shared" si="5"/>
        <v>171212</v>
      </c>
      <c r="W48" s="162">
        <f>'MSPL-2(LOT)'!L45+'MSPL-2(LOT)'!L82+'MSPL-2(LOT)'!L119+'MSPL-2(LOT)'!L156+'MSPL-2(LOT)'!L193</f>
        <v>0</v>
      </c>
      <c r="X48" s="162">
        <f t="shared" si="6"/>
        <v>171212</v>
      </c>
      <c r="Y48" s="162">
        <f>'MSPL-2(LOT)'!N45+'MSPL-2(LOT)'!N82+'MSPL-2(LOT)'!N119+'MSPL-2(LOT)'!N156+'MSPL-2(LOT)'!N193</f>
        <v>0</v>
      </c>
      <c r="Z48" s="162">
        <f t="shared" si="7"/>
        <v>171212</v>
      </c>
      <c r="AA48" s="162">
        <f t="shared" si="14"/>
        <v>0</v>
      </c>
      <c r="AB48" s="162">
        <f t="shared" si="8"/>
        <v>0</v>
      </c>
      <c r="AC48" s="162">
        <f t="shared" si="15"/>
        <v>0</v>
      </c>
      <c r="AD48" s="162">
        <f t="shared" si="9"/>
        <v>2910.6039999999998</v>
      </c>
      <c r="AE48" s="162">
        <f t="shared" si="16"/>
        <v>44.778523076923072</v>
      </c>
      <c r="AF48" s="162">
        <f t="shared" si="10"/>
        <v>0</v>
      </c>
      <c r="AG48" s="162">
        <f t="shared" si="17"/>
        <v>44.778523076923072</v>
      </c>
      <c r="AH48" s="155"/>
    </row>
    <row r="49" spans="1:34" s="11" customFormat="1" ht="15" customHeight="1">
      <c r="A49" s="162">
        <v>7</v>
      </c>
      <c r="B49" s="163" t="s">
        <v>4</v>
      </c>
      <c r="C49" s="394" t="s">
        <v>14</v>
      </c>
      <c r="D49" s="188">
        <v>13.5</v>
      </c>
      <c r="E49" s="164"/>
      <c r="F49" s="185">
        <v>36610</v>
      </c>
      <c r="G49" s="186">
        <v>34662</v>
      </c>
      <c r="H49" s="186">
        <v>38282</v>
      </c>
      <c r="I49" s="186">
        <v>37390</v>
      </c>
      <c r="J49" s="186">
        <v>25868</v>
      </c>
      <c r="K49" s="186">
        <f t="shared" si="11"/>
        <v>172812</v>
      </c>
      <c r="L49" s="187">
        <v>2</v>
      </c>
      <c r="M49" s="186">
        <v>168</v>
      </c>
      <c r="N49" s="189"/>
      <c r="O49" s="186">
        <f t="shared" si="12"/>
        <v>168</v>
      </c>
      <c r="P49" s="189"/>
      <c r="Q49" s="186">
        <f t="shared" si="13"/>
        <v>172812</v>
      </c>
      <c r="R49" s="187">
        <f t="shared" si="2"/>
        <v>1166481</v>
      </c>
      <c r="S49" s="187">
        <f>'MSPL-2(LOT)'!H46+'MSPL-2(LOT)'!H83+'MSPL-2(LOT)'!H120+'MSPL-2(LOT)'!H157+'MSPL-2(LOT)'!H194</f>
        <v>0</v>
      </c>
      <c r="T49" s="187">
        <f t="shared" si="3"/>
        <v>1166481</v>
      </c>
      <c r="U49" s="162">
        <f t="shared" si="4"/>
        <v>0</v>
      </c>
      <c r="V49" s="162">
        <f t="shared" si="5"/>
        <v>172812</v>
      </c>
      <c r="W49" s="162">
        <f>'MSPL-2(LOT)'!L46+'MSPL-2(LOT)'!L83+'MSPL-2(LOT)'!L120+'MSPL-2(LOT)'!L157+'MSPL-2(LOT)'!L194</f>
        <v>0</v>
      </c>
      <c r="X49" s="162">
        <f t="shared" si="6"/>
        <v>172812</v>
      </c>
      <c r="Y49" s="162">
        <f>'MSPL-2(LOT)'!N46+'MSPL-2(LOT)'!N83+'MSPL-2(LOT)'!N120+'MSPL-2(LOT)'!N157+'MSPL-2(LOT)'!N194</f>
        <v>0</v>
      </c>
      <c r="Z49" s="162">
        <f t="shared" si="7"/>
        <v>172812</v>
      </c>
      <c r="AA49" s="162">
        <f t="shared" si="14"/>
        <v>0</v>
      </c>
      <c r="AB49" s="162">
        <f t="shared" si="8"/>
        <v>0</v>
      </c>
      <c r="AC49" s="162">
        <f t="shared" si="15"/>
        <v>0</v>
      </c>
      <c r="AD49" s="162">
        <f t="shared" si="9"/>
        <v>2332.962</v>
      </c>
      <c r="AE49" s="162">
        <f t="shared" si="16"/>
        <v>35.891723076923078</v>
      </c>
      <c r="AF49" s="162">
        <f t="shared" si="10"/>
        <v>0</v>
      </c>
      <c r="AG49" s="162">
        <f t="shared" si="17"/>
        <v>35.891723076923078</v>
      </c>
      <c r="AH49" s="155"/>
    </row>
    <row r="50" spans="1:34" s="11" customFormat="1" ht="15" customHeight="1">
      <c r="A50" s="162">
        <v>8</v>
      </c>
      <c r="B50" s="163" t="s">
        <v>5</v>
      </c>
      <c r="C50" s="395"/>
      <c r="D50" s="164">
        <v>16</v>
      </c>
      <c r="E50" s="164"/>
      <c r="F50" s="185">
        <v>36610</v>
      </c>
      <c r="G50" s="186">
        <v>34662</v>
      </c>
      <c r="H50" s="186">
        <v>38282</v>
      </c>
      <c r="I50" s="186">
        <v>37390</v>
      </c>
      <c r="J50" s="186">
        <v>25868</v>
      </c>
      <c r="K50" s="186">
        <f t="shared" si="11"/>
        <v>172812</v>
      </c>
      <c r="L50" s="187">
        <v>2</v>
      </c>
      <c r="M50" s="186">
        <v>192</v>
      </c>
      <c r="N50" s="189"/>
      <c r="O50" s="186">
        <f t="shared" si="12"/>
        <v>192</v>
      </c>
      <c r="P50" s="189"/>
      <c r="Q50" s="186">
        <f t="shared" si="13"/>
        <v>172812</v>
      </c>
      <c r="R50" s="187">
        <f t="shared" si="2"/>
        <v>1382496</v>
      </c>
      <c r="S50" s="187">
        <f>'MSPL-2(LOT)'!H47+'MSPL-2(LOT)'!H84+'MSPL-2(LOT)'!H121+'MSPL-2(LOT)'!H158+'MSPL-2(LOT)'!H195</f>
        <v>0</v>
      </c>
      <c r="T50" s="187">
        <f t="shared" si="3"/>
        <v>1382496</v>
      </c>
      <c r="U50" s="162">
        <f t="shared" si="4"/>
        <v>0</v>
      </c>
      <c r="V50" s="162">
        <f t="shared" si="5"/>
        <v>172812</v>
      </c>
      <c r="W50" s="162">
        <f>'MSPL-2(LOT)'!L47+'MSPL-2(LOT)'!L84+'MSPL-2(LOT)'!L121+'MSPL-2(LOT)'!L158+'MSPL-2(LOT)'!L195</f>
        <v>0</v>
      </c>
      <c r="X50" s="162">
        <f t="shared" si="6"/>
        <v>172812</v>
      </c>
      <c r="Y50" s="162">
        <f>'MSPL-2(LOT)'!N47+'MSPL-2(LOT)'!N84+'MSPL-2(LOT)'!N121+'MSPL-2(LOT)'!N158+'MSPL-2(LOT)'!N195</f>
        <v>0</v>
      </c>
      <c r="Z50" s="162">
        <f t="shared" si="7"/>
        <v>172812</v>
      </c>
      <c r="AA50" s="162">
        <f t="shared" si="14"/>
        <v>0</v>
      </c>
      <c r="AB50" s="162">
        <f t="shared" si="8"/>
        <v>0</v>
      </c>
      <c r="AC50" s="162">
        <f t="shared" si="15"/>
        <v>0</v>
      </c>
      <c r="AD50" s="162">
        <f t="shared" si="9"/>
        <v>2764.9920000000002</v>
      </c>
      <c r="AE50" s="162">
        <f t="shared" si="16"/>
        <v>42.538338461538466</v>
      </c>
      <c r="AF50" s="162">
        <f t="shared" si="10"/>
        <v>0</v>
      </c>
      <c r="AG50" s="162">
        <f t="shared" si="17"/>
        <v>42.538338461538466</v>
      </c>
      <c r="AH50" s="155"/>
    </row>
    <row r="51" spans="1:34" s="11" customFormat="1" ht="15" customHeight="1">
      <c r="A51" s="162">
        <v>9</v>
      </c>
      <c r="B51" s="163" t="s">
        <v>6</v>
      </c>
      <c r="C51" s="395"/>
      <c r="D51" s="164">
        <v>20</v>
      </c>
      <c r="E51" s="164"/>
      <c r="F51" s="185">
        <v>36610</v>
      </c>
      <c r="G51" s="186">
        <v>34662</v>
      </c>
      <c r="H51" s="186">
        <v>38282</v>
      </c>
      <c r="I51" s="186">
        <v>37390</v>
      </c>
      <c r="J51" s="186">
        <v>25868</v>
      </c>
      <c r="K51" s="186">
        <f t="shared" si="11"/>
        <v>172812</v>
      </c>
      <c r="L51" s="187">
        <v>2</v>
      </c>
      <c r="M51" s="186">
        <v>240</v>
      </c>
      <c r="N51" s="189"/>
      <c r="O51" s="186">
        <f t="shared" si="12"/>
        <v>240</v>
      </c>
      <c r="P51" s="189"/>
      <c r="Q51" s="186">
        <f t="shared" si="13"/>
        <v>172812</v>
      </c>
      <c r="R51" s="187">
        <f t="shared" si="2"/>
        <v>1728120</v>
      </c>
      <c r="S51" s="187">
        <f>'MSPL-2(LOT)'!H48+'MSPL-2(LOT)'!H85+'MSPL-2(LOT)'!H122+'MSPL-2(LOT)'!H159+'MSPL-2(LOT)'!H196</f>
        <v>0</v>
      </c>
      <c r="T51" s="187">
        <f t="shared" si="3"/>
        <v>1728120</v>
      </c>
      <c r="U51" s="162">
        <f t="shared" si="4"/>
        <v>0</v>
      </c>
      <c r="V51" s="162">
        <f t="shared" si="5"/>
        <v>172812</v>
      </c>
      <c r="W51" s="162">
        <f>'MSPL-2(LOT)'!L48+'MSPL-2(LOT)'!L85+'MSPL-2(LOT)'!L122+'MSPL-2(LOT)'!L159+'MSPL-2(LOT)'!L196</f>
        <v>0</v>
      </c>
      <c r="X51" s="162">
        <f t="shared" si="6"/>
        <v>172812</v>
      </c>
      <c r="Y51" s="162">
        <f>'MSPL-2(LOT)'!N48+'MSPL-2(LOT)'!N85+'MSPL-2(LOT)'!N122+'MSPL-2(LOT)'!N159+'MSPL-2(LOT)'!N196</f>
        <v>0</v>
      </c>
      <c r="Z51" s="162">
        <f t="shared" si="7"/>
        <v>172812</v>
      </c>
      <c r="AA51" s="162">
        <f t="shared" si="14"/>
        <v>0</v>
      </c>
      <c r="AB51" s="162">
        <f t="shared" si="8"/>
        <v>0</v>
      </c>
      <c r="AC51" s="162">
        <f t="shared" si="15"/>
        <v>0</v>
      </c>
      <c r="AD51" s="162">
        <f t="shared" si="9"/>
        <v>3456.24</v>
      </c>
      <c r="AE51" s="162">
        <f t="shared" si="16"/>
        <v>53.172923076923077</v>
      </c>
      <c r="AF51" s="162">
        <f t="shared" si="10"/>
        <v>0</v>
      </c>
      <c r="AG51" s="162">
        <f t="shared" si="17"/>
        <v>53.172923076923077</v>
      </c>
      <c r="AH51" s="155"/>
    </row>
    <row r="52" spans="1:34" s="11" customFormat="1" ht="15" customHeight="1">
      <c r="A52" s="162">
        <v>10</v>
      </c>
      <c r="B52" s="163" t="s">
        <v>204</v>
      </c>
      <c r="C52" s="395"/>
      <c r="D52" s="188">
        <v>14.5</v>
      </c>
      <c r="E52" s="164"/>
      <c r="F52" s="185">
        <v>36610</v>
      </c>
      <c r="G52" s="186">
        <v>34662</v>
      </c>
      <c r="H52" s="186">
        <v>38282</v>
      </c>
      <c r="I52" s="186">
        <v>37390</v>
      </c>
      <c r="J52" s="186">
        <v>25868</v>
      </c>
      <c r="K52" s="186">
        <f t="shared" si="11"/>
        <v>172812</v>
      </c>
      <c r="L52" s="187">
        <v>2</v>
      </c>
      <c r="M52" s="186">
        <v>168</v>
      </c>
      <c r="N52" s="189"/>
      <c r="O52" s="186">
        <f t="shared" si="12"/>
        <v>168</v>
      </c>
      <c r="P52" s="189"/>
      <c r="Q52" s="186">
        <f t="shared" si="13"/>
        <v>172812</v>
      </c>
      <c r="R52" s="187">
        <f t="shared" si="2"/>
        <v>1252887</v>
      </c>
      <c r="S52" s="187">
        <f>'MSPL-2(LOT)'!H49+'MSPL-2(LOT)'!H86+'MSPL-2(LOT)'!H123+'MSPL-2(LOT)'!H160+'MSPL-2(LOT)'!H197</f>
        <v>0</v>
      </c>
      <c r="T52" s="187">
        <f t="shared" si="3"/>
        <v>1252887</v>
      </c>
      <c r="U52" s="162">
        <f t="shared" si="4"/>
        <v>0</v>
      </c>
      <c r="V52" s="162">
        <f t="shared" si="5"/>
        <v>172812</v>
      </c>
      <c r="W52" s="162">
        <f>'MSPL-2(LOT)'!L49+'MSPL-2(LOT)'!L86+'MSPL-2(LOT)'!L123+'MSPL-2(LOT)'!L160+'MSPL-2(LOT)'!L197</f>
        <v>0</v>
      </c>
      <c r="X52" s="162">
        <f t="shared" si="6"/>
        <v>172812</v>
      </c>
      <c r="Y52" s="162">
        <f>'MSPL-2(LOT)'!N49+'MSPL-2(LOT)'!N86+'MSPL-2(LOT)'!N123+'MSPL-2(LOT)'!N160+'MSPL-2(LOT)'!N197</f>
        <v>0</v>
      </c>
      <c r="Z52" s="162">
        <f t="shared" si="7"/>
        <v>172812</v>
      </c>
      <c r="AA52" s="162">
        <f t="shared" si="14"/>
        <v>0</v>
      </c>
      <c r="AB52" s="162">
        <f t="shared" si="8"/>
        <v>0</v>
      </c>
      <c r="AC52" s="162">
        <f t="shared" si="15"/>
        <v>0</v>
      </c>
      <c r="AD52" s="162">
        <f t="shared" si="9"/>
        <v>2505.7739999999999</v>
      </c>
      <c r="AE52" s="162">
        <f t="shared" si="16"/>
        <v>38.550369230769228</v>
      </c>
      <c r="AF52" s="162">
        <f t="shared" si="10"/>
        <v>0</v>
      </c>
      <c r="AG52" s="162">
        <f t="shared" si="17"/>
        <v>38.550369230769228</v>
      </c>
      <c r="AH52" s="155"/>
    </row>
    <row r="53" spans="1:34" s="11" customFormat="1" ht="15" customHeight="1">
      <c r="A53" s="162">
        <v>11</v>
      </c>
      <c r="B53" s="163" t="s">
        <v>7</v>
      </c>
      <c r="C53" s="395"/>
      <c r="D53" s="164">
        <v>19</v>
      </c>
      <c r="E53" s="164"/>
      <c r="F53" s="185">
        <v>36610</v>
      </c>
      <c r="G53" s="186">
        <v>34662</v>
      </c>
      <c r="H53" s="186">
        <v>38282</v>
      </c>
      <c r="I53" s="186">
        <v>37390</v>
      </c>
      <c r="J53" s="186">
        <v>25868</v>
      </c>
      <c r="K53" s="186">
        <f t="shared" si="11"/>
        <v>172812</v>
      </c>
      <c r="L53" s="187">
        <v>2</v>
      </c>
      <c r="M53" s="186">
        <v>240</v>
      </c>
      <c r="N53" s="189"/>
      <c r="O53" s="186">
        <f t="shared" si="12"/>
        <v>240</v>
      </c>
      <c r="P53" s="189"/>
      <c r="Q53" s="186">
        <f t="shared" si="13"/>
        <v>172812</v>
      </c>
      <c r="R53" s="187">
        <f t="shared" si="2"/>
        <v>1641714</v>
      </c>
      <c r="S53" s="187">
        <f>'MSPL-2(LOT)'!H50+'MSPL-2(LOT)'!H87+'MSPL-2(LOT)'!H124+'MSPL-2(LOT)'!H161+'MSPL-2(LOT)'!H198</f>
        <v>0</v>
      </c>
      <c r="T53" s="187">
        <f t="shared" si="3"/>
        <v>1641714</v>
      </c>
      <c r="U53" s="162">
        <f t="shared" si="4"/>
        <v>0</v>
      </c>
      <c r="V53" s="162">
        <f t="shared" si="5"/>
        <v>172812</v>
      </c>
      <c r="W53" s="162">
        <f>'MSPL-2(LOT)'!L50+'MSPL-2(LOT)'!L87+'MSPL-2(LOT)'!L124+'MSPL-2(LOT)'!L161+'MSPL-2(LOT)'!L198</f>
        <v>0</v>
      </c>
      <c r="X53" s="162">
        <f t="shared" si="6"/>
        <v>172812</v>
      </c>
      <c r="Y53" s="162">
        <f>'MSPL-2(LOT)'!N50+'MSPL-2(LOT)'!N87+'MSPL-2(LOT)'!N124+'MSPL-2(LOT)'!N161+'MSPL-2(LOT)'!N198</f>
        <v>0</v>
      </c>
      <c r="Z53" s="162">
        <f t="shared" si="7"/>
        <v>172812</v>
      </c>
      <c r="AA53" s="162">
        <f t="shared" si="14"/>
        <v>0</v>
      </c>
      <c r="AB53" s="162">
        <f t="shared" si="8"/>
        <v>0</v>
      </c>
      <c r="AC53" s="162">
        <f t="shared" si="15"/>
        <v>0</v>
      </c>
      <c r="AD53" s="162">
        <f t="shared" si="9"/>
        <v>3283.4279999999999</v>
      </c>
      <c r="AE53" s="162">
        <f t="shared" si="16"/>
        <v>50.51427692307692</v>
      </c>
      <c r="AF53" s="162">
        <f t="shared" si="10"/>
        <v>0</v>
      </c>
      <c r="AG53" s="162">
        <f t="shared" si="17"/>
        <v>50.51427692307692</v>
      </c>
      <c r="AH53" s="155"/>
    </row>
    <row r="54" spans="1:34" s="11" customFormat="1" ht="15" customHeight="1">
      <c r="A54" s="162">
        <v>12</v>
      </c>
      <c r="B54" s="163" t="s">
        <v>8</v>
      </c>
      <c r="C54" s="395"/>
      <c r="D54" s="164">
        <v>9</v>
      </c>
      <c r="E54" s="164"/>
      <c r="F54" s="185">
        <v>33535</v>
      </c>
      <c r="G54" s="186">
        <v>30510</v>
      </c>
      <c r="H54" s="186">
        <v>34143</v>
      </c>
      <c r="I54" s="186">
        <v>36004</v>
      </c>
      <c r="J54" s="186">
        <v>22405</v>
      </c>
      <c r="K54" s="186">
        <f t="shared" si="11"/>
        <v>156597</v>
      </c>
      <c r="L54" s="187">
        <v>2</v>
      </c>
      <c r="M54" s="186">
        <v>120</v>
      </c>
      <c r="N54" s="189"/>
      <c r="O54" s="186">
        <f t="shared" si="12"/>
        <v>120</v>
      </c>
      <c r="P54" s="189"/>
      <c r="Q54" s="186">
        <f t="shared" si="13"/>
        <v>156597</v>
      </c>
      <c r="R54" s="187">
        <f t="shared" si="2"/>
        <v>704686.5</v>
      </c>
      <c r="S54" s="187">
        <f>'MSPL-2(LOT)'!H51+'MSPL-2(LOT)'!H88+'MSPL-2(LOT)'!H125+'MSPL-2(LOT)'!H162+'MSPL-2(LOT)'!H199</f>
        <v>0</v>
      </c>
      <c r="T54" s="187">
        <f t="shared" si="3"/>
        <v>704686.5</v>
      </c>
      <c r="U54" s="162">
        <f t="shared" si="4"/>
        <v>0</v>
      </c>
      <c r="V54" s="162">
        <f t="shared" si="5"/>
        <v>156597</v>
      </c>
      <c r="W54" s="162">
        <f>'MSPL-2(LOT)'!L51+'MSPL-2(LOT)'!L88+'MSPL-2(LOT)'!L125+'MSPL-2(LOT)'!L162+'MSPL-2(LOT)'!L199</f>
        <v>0</v>
      </c>
      <c r="X54" s="162">
        <f t="shared" si="6"/>
        <v>156597</v>
      </c>
      <c r="Y54" s="162">
        <f>'MSPL-2(LOT)'!N51+'MSPL-2(LOT)'!N88+'MSPL-2(LOT)'!N125+'MSPL-2(LOT)'!N162+'MSPL-2(LOT)'!N199</f>
        <v>0</v>
      </c>
      <c r="Z54" s="162">
        <f t="shared" si="7"/>
        <v>156597</v>
      </c>
      <c r="AA54" s="162">
        <f t="shared" si="14"/>
        <v>0</v>
      </c>
      <c r="AB54" s="162">
        <f t="shared" si="8"/>
        <v>0</v>
      </c>
      <c r="AC54" s="162">
        <f t="shared" si="15"/>
        <v>0</v>
      </c>
      <c r="AD54" s="162">
        <f t="shared" si="9"/>
        <v>1409.373</v>
      </c>
      <c r="AE54" s="162">
        <f t="shared" si="16"/>
        <v>21.682661538461538</v>
      </c>
      <c r="AF54" s="162">
        <f t="shared" si="10"/>
        <v>0</v>
      </c>
      <c r="AG54" s="162">
        <f t="shared" si="17"/>
        <v>21.682661538461538</v>
      </c>
      <c r="AH54" s="155"/>
    </row>
    <row r="55" spans="1:34" s="11" customFormat="1" ht="15" customHeight="1">
      <c r="A55" s="162">
        <v>13</v>
      </c>
      <c r="B55" s="163" t="s">
        <v>9</v>
      </c>
      <c r="C55" s="396"/>
      <c r="D55" s="164">
        <v>11.5</v>
      </c>
      <c r="E55" s="164"/>
      <c r="F55" s="185">
        <v>3067</v>
      </c>
      <c r="G55" s="186">
        <v>4011</v>
      </c>
      <c r="H55" s="186">
        <v>4089</v>
      </c>
      <c r="I55" s="186">
        <v>1132</v>
      </c>
      <c r="J55" s="186">
        <v>3332</v>
      </c>
      <c r="K55" s="186">
        <f t="shared" si="11"/>
        <v>15631</v>
      </c>
      <c r="L55" s="187">
        <v>2</v>
      </c>
      <c r="M55" s="186">
        <v>56</v>
      </c>
      <c r="N55" s="189"/>
      <c r="O55" s="186">
        <f t="shared" si="12"/>
        <v>56</v>
      </c>
      <c r="P55" s="189"/>
      <c r="Q55" s="186">
        <f t="shared" si="13"/>
        <v>15631</v>
      </c>
      <c r="R55" s="187">
        <f t="shared" si="2"/>
        <v>89878.25</v>
      </c>
      <c r="S55" s="187">
        <f>'MSPL-2(LOT)'!H52+'MSPL-2(LOT)'!H89+'MSPL-2(LOT)'!H126+'MSPL-2(LOT)'!H163+'MSPL-2(LOT)'!H200</f>
        <v>0</v>
      </c>
      <c r="T55" s="187">
        <f t="shared" si="3"/>
        <v>89878.25</v>
      </c>
      <c r="U55" s="162">
        <f t="shared" si="4"/>
        <v>0</v>
      </c>
      <c r="V55" s="162">
        <f t="shared" si="5"/>
        <v>15631</v>
      </c>
      <c r="W55" s="162">
        <f>'MSPL-2(LOT)'!L52+'MSPL-2(LOT)'!L89+'MSPL-2(LOT)'!L126+'MSPL-2(LOT)'!L163+'MSPL-2(LOT)'!L200</f>
        <v>0</v>
      </c>
      <c r="X55" s="162">
        <f t="shared" si="6"/>
        <v>15631</v>
      </c>
      <c r="Y55" s="162">
        <f>'MSPL-2(LOT)'!N52+'MSPL-2(LOT)'!N89+'MSPL-2(LOT)'!N126+'MSPL-2(LOT)'!N163+'MSPL-2(LOT)'!N200</f>
        <v>0</v>
      </c>
      <c r="Z55" s="162">
        <f t="shared" si="7"/>
        <v>15631</v>
      </c>
      <c r="AA55" s="162">
        <f t="shared" si="14"/>
        <v>0</v>
      </c>
      <c r="AB55" s="162">
        <f t="shared" si="8"/>
        <v>0</v>
      </c>
      <c r="AC55" s="162">
        <f t="shared" si="15"/>
        <v>0</v>
      </c>
      <c r="AD55" s="162">
        <f t="shared" si="9"/>
        <v>179.75649999999999</v>
      </c>
      <c r="AE55" s="162">
        <f t="shared" si="16"/>
        <v>2.7654846153846151</v>
      </c>
      <c r="AF55" s="162">
        <f t="shared" si="10"/>
        <v>0</v>
      </c>
      <c r="AG55" s="162">
        <f t="shared" si="17"/>
        <v>2.7654846153846151</v>
      </c>
      <c r="AH55" s="155"/>
    </row>
    <row r="56" spans="1:34" s="11" customFormat="1" ht="15" customHeight="1">
      <c r="A56" s="162">
        <v>14</v>
      </c>
      <c r="B56" s="163" t="s">
        <v>4</v>
      </c>
      <c r="C56" s="394" t="s">
        <v>52</v>
      </c>
      <c r="D56" s="164">
        <v>16.5</v>
      </c>
      <c r="E56" s="164"/>
      <c r="F56" s="185">
        <v>34384</v>
      </c>
      <c r="G56" s="186">
        <v>33805</v>
      </c>
      <c r="H56" s="186">
        <v>36268</v>
      </c>
      <c r="I56" s="186">
        <v>36127</v>
      </c>
      <c r="J56" s="186">
        <v>28087</v>
      </c>
      <c r="K56" s="186">
        <f t="shared" si="11"/>
        <v>168671</v>
      </c>
      <c r="L56" s="187">
        <v>2</v>
      </c>
      <c r="M56" s="186">
        <v>216</v>
      </c>
      <c r="N56" s="189"/>
      <c r="O56" s="186">
        <f t="shared" si="12"/>
        <v>216</v>
      </c>
      <c r="P56" s="189"/>
      <c r="Q56" s="186">
        <f t="shared" si="13"/>
        <v>168671</v>
      </c>
      <c r="R56" s="187">
        <f t="shared" si="2"/>
        <v>1391535.75</v>
      </c>
      <c r="S56" s="187">
        <f>'MSPL-2(LOT)'!H53+'MSPL-2(LOT)'!H90+'MSPL-2(LOT)'!H127+'MSPL-2(LOT)'!H164+'MSPL-2(LOT)'!H201</f>
        <v>0</v>
      </c>
      <c r="T56" s="187">
        <f t="shared" si="3"/>
        <v>1391535.75</v>
      </c>
      <c r="U56" s="162">
        <f t="shared" si="4"/>
        <v>0</v>
      </c>
      <c r="V56" s="162">
        <f t="shared" si="5"/>
        <v>168671</v>
      </c>
      <c r="W56" s="162">
        <f>'MSPL-2(LOT)'!L53+'MSPL-2(LOT)'!L90+'MSPL-2(LOT)'!L127+'MSPL-2(LOT)'!L164+'MSPL-2(LOT)'!L201</f>
        <v>0</v>
      </c>
      <c r="X56" s="162">
        <f t="shared" si="6"/>
        <v>168671</v>
      </c>
      <c r="Y56" s="162">
        <f>'MSPL-2(LOT)'!N53+'MSPL-2(LOT)'!N90+'MSPL-2(LOT)'!N127+'MSPL-2(LOT)'!N164+'MSPL-2(LOT)'!N201</f>
        <v>0</v>
      </c>
      <c r="Z56" s="162">
        <f t="shared" si="7"/>
        <v>168671</v>
      </c>
      <c r="AA56" s="162">
        <f t="shared" si="14"/>
        <v>0</v>
      </c>
      <c r="AB56" s="162">
        <f t="shared" si="8"/>
        <v>0</v>
      </c>
      <c r="AC56" s="162">
        <f t="shared" si="15"/>
        <v>0</v>
      </c>
      <c r="AD56" s="162">
        <f t="shared" si="9"/>
        <v>2783.0715</v>
      </c>
      <c r="AE56" s="162">
        <f t="shared" si="16"/>
        <v>42.816484615384617</v>
      </c>
      <c r="AF56" s="162">
        <f t="shared" si="10"/>
        <v>0</v>
      </c>
      <c r="AG56" s="162">
        <f t="shared" si="17"/>
        <v>42.816484615384617</v>
      </c>
      <c r="AH56" s="155"/>
    </row>
    <row r="57" spans="1:34" s="11" customFormat="1" ht="15" customHeight="1">
      <c r="A57" s="162">
        <v>15</v>
      </c>
      <c r="B57" s="163" t="s">
        <v>5</v>
      </c>
      <c r="C57" s="395"/>
      <c r="D57" s="164">
        <v>12</v>
      </c>
      <c r="E57" s="164"/>
      <c r="F57" s="185">
        <v>34384</v>
      </c>
      <c r="G57" s="186">
        <v>33805</v>
      </c>
      <c r="H57" s="186">
        <v>36268</v>
      </c>
      <c r="I57" s="186">
        <v>36127</v>
      </c>
      <c r="J57" s="186">
        <v>28087</v>
      </c>
      <c r="K57" s="186">
        <f t="shared" si="11"/>
        <v>168671</v>
      </c>
      <c r="L57" s="187">
        <v>2</v>
      </c>
      <c r="M57" s="186">
        <v>144</v>
      </c>
      <c r="N57" s="189"/>
      <c r="O57" s="186">
        <f t="shared" si="12"/>
        <v>144</v>
      </c>
      <c r="P57" s="189"/>
      <c r="Q57" s="186">
        <f t="shared" si="13"/>
        <v>168671</v>
      </c>
      <c r="R57" s="187">
        <f t="shared" si="2"/>
        <v>1012026</v>
      </c>
      <c r="S57" s="187">
        <f>'MSPL-2(LOT)'!H54+'MSPL-2(LOT)'!H91+'MSPL-2(LOT)'!H128+'MSPL-2(LOT)'!H165+'MSPL-2(LOT)'!H202</f>
        <v>0</v>
      </c>
      <c r="T57" s="187">
        <f t="shared" si="3"/>
        <v>1012026</v>
      </c>
      <c r="U57" s="162">
        <f t="shared" si="4"/>
        <v>0</v>
      </c>
      <c r="V57" s="162">
        <f t="shared" si="5"/>
        <v>168671</v>
      </c>
      <c r="W57" s="162">
        <f>'MSPL-2(LOT)'!L54+'MSPL-2(LOT)'!L91+'MSPL-2(LOT)'!L128+'MSPL-2(LOT)'!L165+'MSPL-2(LOT)'!L202</f>
        <v>0</v>
      </c>
      <c r="X57" s="162">
        <f t="shared" si="6"/>
        <v>168671</v>
      </c>
      <c r="Y57" s="162">
        <f>'MSPL-2(LOT)'!N54+'MSPL-2(LOT)'!N91+'MSPL-2(LOT)'!N128+'MSPL-2(LOT)'!N165+'MSPL-2(LOT)'!N202</f>
        <v>0</v>
      </c>
      <c r="Z57" s="162">
        <f t="shared" si="7"/>
        <v>168671</v>
      </c>
      <c r="AA57" s="162">
        <f t="shared" si="14"/>
        <v>0</v>
      </c>
      <c r="AB57" s="162">
        <f t="shared" si="8"/>
        <v>0</v>
      </c>
      <c r="AC57" s="162">
        <f t="shared" si="15"/>
        <v>0</v>
      </c>
      <c r="AD57" s="162">
        <f t="shared" si="9"/>
        <v>2024.0519999999999</v>
      </c>
      <c r="AE57" s="162">
        <f t="shared" si="16"/>
        <v>31.139261538461536</v>
      </c>
      <c r="AF57" s="162">
        <f t="shared" si="10"/>
        <v>0</v>
      </c>
      <c r="AG57" s="162">
        <f t="shared" si="17"/>
        <v>31.139261538461536</v>
      </c>
      <c r="AH57" s="155"/>
    </row>
    <row r="58" spans="1:34" s="11" customFormat="1" ht="15" customHeight="1">
      <c r="A58" s="162">
        <v>16</v>
      </c>
      <c r="B58" s="163" t="s">
        <v>6</v>
      </c>
      <c r="C58" s="395"/>
      <c r="D58" s="164">
        <v>22.5</v>
      </c>
      <c r="E58" s="164"/>
      <c r="F58" s="185">
        <v>34384</v>
      </c>
      <c r="G58" s="186">
        <v>33805</v>
      </c>
      <c r="H58" s="186">
        <v>36268</v>
      </c>
      <c r="I58" s="186">
        <v>36127</v>
      </c>
      <c r="J58" s="186">
        <v>28087</v>
      </c>
      <c r="K58" s="186">
        <f t="shared" si="11"/>
        <v>168671</v>
      </c>
      <c r="L58" s="187">
        <v>2</v>
      </c>
      <c r="M58" s="186">
        <v>288</v>
      </c>
      <c r="N58" s="189"/>
      <c r="O58" s="186">
        <f t="shared" si="12"/>
        <v>288</v>
      </c>
      <c r="P58" s="189"/>
      <c r="Q58" s="186">
        <f t="shared" si="13"/>
        <v>168671</v>
      </c>
      <c r="R58" s="187">
        <f t="shared" si="2"/>
        <v>1897548.75</v>
      </c>
      <c r="S58" s="187">
        <f>'MSPL-2(LOT)'!H55+'MSPL-2(LOT)'!H92+'MSPL-2(LOT)'!H129+'MSPL-2(LOT)'!H166+'MSPL-2(LOT)'!H203</f>
        <v>0</v>
      </c>
      <c r="T58" s="187">
        <f t="shared" si="3"/>
        <v>1897548.75</v>
      </c>
      <c r="U58" s="162">
        <f t="shared" si="4"/>
        <v>0</v>
      </c>
      <c r="V58" s="162">
        <f t="shared" si="5"/>
        <v>168671</v>
      </c>
      <c r="W58" s="162">
        <f>'MSPL-2(LOT)'!L55+'MSPL-2(LOT)'!L92+'MSPL-2(LOT)'!L129+'MSPL-2(LOT)'!L166+'MSPL-2(LOT)'!L203</f>
        <v>0</v>
      </c>
      <c r="X58" s="162">
        <f t="shared" si="6"/>
        <v>168671</v>
      </c>
      <c r="Y58" s="162">
        <f>'MSPL-2(LOT)'!N55+'MSPL-2(LOT)'!N92+'MSPL-2(LOT)'!N129+'MSPL-2(LOT)'!N166+'MSPL-2(LOT)'!N203</f>
        <v>0</v>
      </c>
      <c r="Z58" s="162">
        <f t="shared" si="7"/>
        <v>168671</v>
      </c>
      <c r="AA58" s="162">
        <f t="shared" si="14"/>
        <v>0</v>
      </c>
      <c r="AB58" s="162">
        <f t="shared" si="8"/>
        <v>0</v>
      </c>
      <c r="AC58" s="162">
        <f t="shared" si="15"/>
        <v>0</v>
      </c>
      <c r="AD58" s="162">
        <f t="shared" si="9"/>
        <v>3795.0974999999999</v>
      </c>
      <c r="AE58" s="162">
        <f t="shared" si="16"/>
        <v>58.38611538461538</v>
      </c>
      <c r="AF58" s="162">
        <f t="shared" si="10"/>
        <v>0</v>
      </c>
      <c r="AG58" s="162">
        <f t="shared" si="17"/>
        <v>58.38611538461538</v>
      </c>
      <c r="AH58" s="155"/>
    </row>
    <row r="59" spans="1:34" s="11" customFormat="1" ht="15" customHeight="1">
      <c r="A59" s="162">
        <v>17</v>
      </c>
      <c r="B59" s="163" t="s">
        <v>204</v>
      </c>
      <c r="C59" s="395"/>
      <c r="D59" s="164">
        <v>15</v>
      </c>
      <c r="E59" s="164"/>
      <c r="F59" s="185">
        <v>34384</v>
      </c>
      <c r="G59" s="186">
        <v>33805</v>
      </c>
      <c r="H59" s="186">
        <v>36268</v>
      </c>
      <c r="I59" s="186">
        <v>36127</v>
      </c>
      <c r="J59" s="186">
        <v>28087</v>
      </c>
      <c r="K59" s="186">
        <f t="shared" si="11"/>
        <v>168671</v>
      </c>
      <c r="L59" s="187">
        <v>2</v>
      </c>
      <c r="M59" s="186">
        <v>192</v>
      </c>
      <c r="N59" s="189"/>
      <c r="O59" s="186">
        <f t="shared" si="12"/>
        <v>192</v>
      </c>
      <c r="P59" s="189"/>
      <c r="Q59" s="186">
        <f t="shared" si="13"/>
        <v>168671</v>
      </c>
      <c r="R59" s="187">
        <f t="shared" si="2"/>
        <v>1265032.5</v>
      </c>
      <c r="S59" s="187">
        <f>'MSPL-2(LOT)'!H56+'MSPL-2(LOT)'!H93+'MSPL-2(LOT)'!H130+'MSPL-2(LOT)'!H167+'MSPL-2(LOT)'!H204</f>
        <v>0</v>
      </c>
      <c r="T59" s="187">
        <f t="shared" si="3"/>
        <v>1265032.5</v>
      </c>
      <c r="U59" s="162">
        <f t="shared" si="4"/>
        <v>0</v>
      </c>
      <c r="V59" s="162">
        <f t="shared" si="5"/>
        <v>168671</v>
      </c>
      <c r="W59" s="162">
        <f>'MSPL-2(LOT)'!L56+'MSPL-2(LOT)'!L93+'MSPL-2(LOT)'!L130+'MSPL-2(LOT)'!L167+'MSPL-2(LOT)'!L204</f>
        <v>0</v>
      </c>
      <c r="X59" s="162">
        <f t="shared" si="6"/>
        <v>168671</v>
      </c>
      <c r="Y59" s="162">
        <f>'MSPL-2(LOT)'!N56+'MSPL-2(LOT)'!N93+'MSPL-2(LOT)'!N130+'MSPL-2(LOT)'!N167+'MSPL-2(LOT)'!N204</f>
        <v>0</v>
      </c>
      <c r="Z59" s="162">
        <f t="shared" si="7"/>
        <v>168671</v>
      </c>
      <c r="AA59" s="162">
        <f t="shared" si="14"/>
        <v>0</v>
      </c>
      <c r="AB59" s="162">
        <f t="shared" si="8"/>
        <v>0</v>
      </c>
      <c r="AC59" s="162">
        <f t="shared" si="15"/>
        <v>0</v>
      </c>
      <c r="AD59" s="162">
        <f t="shared" si="9"/>
        <v>2530.0650000000001</v>
      </c>
      <c r="AE59" s="162">
        <f t="shared" si="16"/>
        <v>38.924076923076925</v>
      </c>
      <c r="AF59" s="162">
        <f t="shared" si="10"/>
        <v>0</v>
      </c>
      <c r="AG59" s="162">
        <f t="shared" si="17"/>
        <v>38.924076923076925</v>
      </c>
      <c r="AH59" s="155"/>
    </row>
    <row r="60" spans="1:34" s="11" customFormat="1" ht="15" customHeight="1">
      <c r="A60" s="162">
        <v>18</v>
      </c>
      <c r="B60" s="163" t="s">
        <v>7</v>
      </c>
      <c r="C60" s="395"/>
      <c r="D60" s="164">
        <v>19.5</v>
      </c>
      <c r="E60" s="164"/>
      <c r="F60" s="185">
        <v>34384</v>
      </c>
      <c r="G60" s="186">
        <v>33805</v>
      </c>
      <c r="H60" s="186">
        <v>36268</v>
      </c>
      <c r="I60" s="186">
        <v>36127</v>
      </c>
      <c r="J60" s="186">
        <v>28087</v>
      </c>
      <c r="K60" s="186">
        <f t="shared" si="11"/>
        <v>168671</v>
      </c>
      <c r="L60" s="187">
        <v>2</v>
      </c>
      <c r="M60" s="186">
        <v>240</v>
      </c>
      <c r="N60" s="189"/>
      <c r="O60" s="186">
        <f t="shared" si="12"/>
        <v>240</v>
      </c>
      <c r="P60" s="189"/>
      <c r="Q60" s="186">
        <f t="shared" si="13"/>
        <v>168671</v>
      </c>
      <c r="R60" s="187">
        <f t="shared" si="2"/>
        <v>1644542.25</v>
      </c>
      <c r="S60" s="187">
        <f>'MSPL-2(LOT)'!H57+'MSPL-2(LOT)'!H94+'MSPL-2(LOT)'!H131+'MSPL-2(LOT)'!H168+'MSPL-2(LOT)'!H205</f>
        <v>0</v>
      </c>
      <c r="T60" s="187">
        <f t="shared" si="3"/>
        <v>1644542.25</v>
      </c>
      <c r="U60" s="162">
        <f t="shared" si="4"/>
        <v>0</v>
      </c>
      <c r="V60" s="162">
        <f t="shared" si="5"/>
        <v>168671</v>
      </c>
      <c r="W60" s="162">
        <f>'MSPL-2(LOT)'!L57+'MSPL-2(LOT)'!L94+'MSPL-2(LOT)'!L131+'MSPL-2(LOT)'!L168+'MSPL-2(LOT)'!L205</f>
        <v>0</v>
      </c>
      <c r="X60" s="162">
        <f t="shared" si="6"/>
        <v>168671</v>
      </c>
      <c r="Y60" s="162">
        <f>'MSPL-2(LOT)'!N57+'MSPL-2(LOT)'!N94+'MSPL-2(LOT)'!N131+'MSPL-2(LOT)'!N168+'MSPL-2(LOT)'!N205</f>
        <v>0</v>
      </c>
      <c r="Z60" s="162">
        <f t="shared" si="7"/>
        <v>168671</v>
      </c>
      <c r="AA60" s="162">
        <f t="shared" si="14"/>
        <v>0</v>
      </c>
      <c r="AB60" s="162">
        <f t="shared" si="8"/>
        <v>0</v>
      </c>
      <c r="AC60" s="162">
        <f t="shared" si="15"/>
        <v>0</v>
      </c>
      <c r="AD60" s="162">
        <f t="shared" si="9"/>
        <v>3289.0844999999999</v>
      </c>
      <c r="AE60" s="162">
        <f t="shared" si="16"/>
        <v>50.601300000000002</v>
      </c>
      <c r="AF60" s="162">
        <f t="shared" si="10"/>
        <v>0</v>
      </c>
      <c r="AG60" s="162">
        <f t="shared" si="17"/>
        <v>50.601300000000002</v>
      </c>
      <c r="AH60" s="155"/>
    </row>
    <row r="61" spans="1:34" s="11" customFormat="1" ht="15" customHeight="1">
      <c r="A61" s="162">
        <v>19</v>
      </c>
      <c r="B61" s="163" t="s">
        <v>8</v>
      </c>
      <c r="C61" s="395"/>
      <c r="D61" s="164">
        <v>10</v>
      </c>
      <c r="E61" s="164"/>
      <c r="F61" s="185">
        <v>31547</v>
      </c>
      <c r="G61" s="186">
        <v>29915</v>
      </c>
      <c r="H61" s="186">
        <v>32255</v>
      </c>
      <c r="I61" s="186">
        <v>34780</v>
      </c>
      <c r="J61" s="186">
        <v>24449</v>
      </c>
      <c r="K61" s="186">
        <f t="shared" si="11"/>
        <v>152946</v>
      </c>
      <c r="L61" s="187">
        <v>2</v>
      </c>
      <c r="M61" s="186">
        <v>120</v>
      </c>
      <c r="N61" s="189"/>
      <c r="O61" s="186">
        <f t="shared" si="12"/>
        <v>120</v>
      </c>
      <c r="P61" s="189"/>
      <c r="Q61" s="186">
        <f t="shared" si="13"/>
        <v>152946</v>
      </c>
      <c r="R61" s="187">
        <f t="shared" si="2"/>
        <v>764730</v>
      </c>
      <c r="S61" s="187">
        <f>'MSPL-2(LOT)'!H58+'MSPL-2(LOT)'!H95+'MSPL-2(LOT)'!H132+'MSPL-2(LOT)'!H169+'MSPL-2(LOT)'!H206</f>
        <v>0</v>
      </c>
      <c r="T61" s="187">
        <f t="shared" si="3"/>
        <v>764730</v>
      </c>
      <c r="U61" s="162">
        <f t="shared" si="4"/>
        <v>0</v>
      </c>
      <c r="V61" s="162">
        <f t="shared" si="5"/>
        <v>152946</v>
      </c>
      <c r="W61" s="162">
        <f>'MSPL-2(LOT)'!L58+'MSPL-2(LOT)'!L95+'MSPL-2(LOT)'!L132+'MSPL-2(LOT)'!L169+'MSPL-2(LOT)'!L206</f>
        <v>0</v>
      </c>
      <c r="X61" s="162">
        <f t="shared" si="6"/>
        <v>152946</v>
      </c>
      <c r="Y61" s="162">
        <f>'MSPL-2(LOT)'!N58+'MSPL-2(LOT)'!N95+'MSPL-2(LOT)'!N132+'MSPL-2(LOT)'!N169+'MSPL-2(LOT)'!N206</f>
        <v>0</v>
      </c>
      <c r="Z61" s="162">
        <f t="shared" si="7"/>
        <v>152946</v>
      </c>
      <c r="AA61" s="162">
        <f t="shared" si="14"/>
        <v>0</v>
      </c>
      <c r="AB61" s="162">
        <f t="shared" si="8"/>
        <v>0</v>
      </c>
      <c r="AC61" s="162">
        <f t="shared" si="15"/>
        <v>0</v>
      </c>
      <c r="AD61" s="162">
        <f t="shared" si="9"/>
        <v>1529.46</v>
      </c>
      <c r="AE61" s="162">
        <f t="shared" si="16"/>
        <v>23.530153846153848</v>
      </c>
      <c r="AF61" s="162">
        <f t="shared" si="10"/>
        <v>0</v>
      </c>
      <c r="AG61" s="162">
        <f t="shared" si="17"/>
        <v>23.530153846153848</v>
      </c>
      <c r="AH61" s="155"/>
    </row>
    <row r="62" spans="1:34" s="11" customFormat="1" ht="15" customHeight="1">
      <c r="A62" s="162">
        <v>20</v>
      </c>
      <c r="B62" s="163" t="s">
        <v>9</v>
      </c>
      <c r="C62" s="396"/>
      <c r="D62" s="164">
        <v>13.5</v>
      </c>
      <c r="E62" s="164"/>
      <c r="F62" s="185">
        <v>2836</v>
      </c>
      <c r="G62" s="186">
        <v>3748</v>
      </c>
      <c r="H62" s="186">
        <v>3970</v>
      </c>
      <c r="I62" s="186">
        <v>1103</v>
      </c>
      <c r="J62" s="186">
        <v>3506</v>
      </c>
      <c r="K62" s="186">
        <f t="shared" si="11"/>
        <v>15163</v>
      </c>
      <c r="L62" s="187">
        <v>2</v>
      </c>
      <c r="M62" s="186">
        <v>64</v>
      </c>
      <c r="N62" s="189"/>
      <c r="O62" s="186">
        <f t="shared" si="12"/>
        <v>64</v>
      </c>
      <c r="P62" s="189"/>
      <c r="Q62" s="186">
        <f t="shared" si="13"/>
        <v>15163</v>
      </c>
      <c r="R62" s="187">
        <f t="shared" si="2"/>
        <v>102350.25</v>
      </c>
      <c r="S62" s="187">
        <f>'MSPL-2(LOT)'!H59+'MSPL-2(LOT)'!H96+'MSPL-2(LOT)'!H133+'MSPL-2(LOT)'!H170+'MSPL-2(LOT)'!H207</f>
        <v>0</v>
      </c>
      <c r="T62" s="187">
        <f t="shared" si="3"/>
        <v>102350.25</v>
      </c>
      <c r="U62" s="162">
        <f t="shared" si="4"/>
        <v>0</v>
      </c>
      <c r="V62" s="162">
        <f t="shared" si="5"/>
        <v>15163</v>
      </c>
      <c r="W62" s="162">
        <f>'MSPL-2(LOT)'!L59+'MSPL-2(LOT)'!L96+'MSPL-2(LOT)'!L133+'MSPL-2(LOT)'!L170+'MSPL-2(LOT)'!L207</f>
        <v>0</v>
      </c>
      <c r="X62" s="162">
        <f t="shared" si="6"/>
        <v>15163</v>
      </c>
      <c r="Y62" s="162">
        <f>'MSPL-2(LOT)'!N59+'MSPL-2(LOT)'!N96+'MSPL-2(LOT)'!N133+'MSPL-2(LOT)'!N170+'MSPL-2(LOT)'!N207</f>
        <v>0</v>
      </c>
      <c r="Z62" s="162">
        <f t="shared" si="7"/>
        <v>15163</v>
      </c>
      <c r="AA62" s="162">
        <f t="shared" si="14"/>
        <v>0</v>
      </c>
      <c r="AB62" s="162">
        <f t="shared" si="8"/>
        <v>0</v>
      </c>
      <c r="AC62" s="162">
        <f t="shared" si="15"/>
        <v>0</v>
      </c>
      <c r="AD62" s="162">
        <f t="shared" si="9"/>
        <v>204.70050000000001</v>
      </c>
      <c r="AE62" s="162">
        <f t="shared" si="16"/>
        <v>3.1492384615384617</v>
      </c>
      <c r="AF62" s="162">
        <f t="shared" si="10"/>
        <v>0</v>
      </c>
      <c r="AG62" s="162">
        <f t="shared" si="17"/>
        <v>3.1492384615384617</v>
      </c>
      <c r="AH62" s="155"/>
    </row>
    <row r="63" spans="1:34" s="11" customFormat="1" ht="15" customHeight="1">
      <c r="A63" s="162">
        <v>21</v>
      </c>
      <c r="B63" s="163" t="s">
        <v>4</v>
      </c>
      <c r="C63" s="394" t="s">
        <v>53</v>
      </c>
      <c r="D63" s="164">
        <v>17.5</v>
      </c>
      <c r="E63" s="164"/>
      <c r="F63" s="185">
        <v>30762</v>
      </c>
      <c r="G63" s="186">
        <v>31481</v>
      </c>
      <c r="H63" s="186">
        <v>32595</v>
      </c>
      <c r="I63" s="186">
        <v>35878</v>
      </c>
      <c r="J63" s="186">
        <v>27421</v>
      </c>
      <c r="K63" s="186">
        <f t="shared" si="11"/>
        <v>158137</v>
      </c>
      <c r="L63" s="187">
        <v>2</v>
      </c>
      <c r="M63" s="186">
        <v>216</v>
      </c>
      <c r="N63" s="189"/>
      <c r="O63" s="186">
        <f t="shared" si="12"/>
        <v>216</v>
      </c>
      <c r="P63" s="189"/>
      <c r="Q63" s="186">
        <f t="shared" si="13"/>
        <v>158137</v>
      </c>
      <c r="R63" s="187">
        <f t="shared" si="2"/>
        <v>1383698.75</v>
      </c>
      <c r="S63" s="187">
        <f>'MSPL-2(LOT)'!H60+'MSPL-2(LOT)'!H97+'MSPL-2(LOT)'!H134+'MSPL-2(LOT)'!H171+'MSPL-2(LOT)'!H208</f>
        <v>0</v>
      </c>
      <c r="T63" s="187">
        <f t="shared" si="3"/>
        <v>1383698.75</v>
      </c>
      <c r="U63" s="162">
        <f t="shared" si="4"/>
        <v>0</v>
      </c>
      <c r="V63" s="162">
        <f t="shared" si="5"/>
        <v>158137</v>
      </c>
      <c r="W63" s="162">
        <f>'MSPL-2(LOT)'!L60+'MSPL-2(LOT)'!L97+'MSPL-2(LOT)'!L134+'MSPL-2(LOT)'!L171+'MSPL-2(LOT)'!L208</f>
        <v>0</v>
      </c>
      <c r="X63" s="162">
        <f t="shared" si="6"/>
        <v>158137</v>
      </c>
      <c r="Y63" s="162">
        <f>'MSPL-2(LOT)'!N60+'MSPL-2(LOT)'!N97+'MSPL-2(LOT)'!N134+'MSPL-2(LOT)'!N171+'MSPL-2(LOT)'!N208</f>
        <v>0</v>
      </c>
      <c r="Z63" s="162">
        <f t="shared" si="7"/>
        <v>158137</v>
      </c>
      <c r="AA63" s="162">
        <f t="shared" si="14"/>
        <v>0</v>
      </c>
      <c r="AB63" s="162">
        <f t="shared" si="8"/>
        <v>0</v>
      </c>
      <c r="AC63" s="162">
        <f t="shared" si="15"/>
        <v>0</v>
      </c>
      <c r="AD63" s="162">
        <f t="shared" si="9"/>
        <v>2767.3975</v>
      </c>
      <c r="AE63" s="162">
        <f t="shared" si="16"/>
        <v>42.575346153846155</v>
      </c>
      <c r="AF63" s="162">
        <f t="shared" si="10"/>
        <v>0</v>
      </c>
      <c r="AG63" s="162">
        <f t="shared" si="17"/>
        <v>42.575346153846155</v>
      </c>
      <c r="AH63" s="155"/>
    </row>
    <row r="64" spans="1:34" s="11" customFormat="1" ht="15" customHeight="1">
      <c r="A64" s="162">
        <v>22</v>
      </c>
      <c r="B64" s="163" t="s">
        <v>5</v>
      </c>
      <c r="C64" s="395"/>
      <c r="D64" s="164">
        <v>14.5</v>
      </c>
      <c r="E64" s="164"/>
      <c r="F64" s="185">
        <v>30762</v>
      </c>
      <c r="G64" s="186">
        <v>31481</v>
      </c>
      <c r="H64" s="186">
        <v>32595</v>
      </c>
      <c r="I64" s="186">
        <v>35878</v>
      </c>
      <c r="J64" s="186">
        <v>27421</v>
      </c>
      <c r="K64" s="186">
        <f t="shared" si="11"/>
        <v>158137</v>
      </c>
      <c r="L64" s="187">
        <v>2</v>
      </c>
      <c r="M64" s="186">
        <v>192</v>
      </c>
      <c r="N64" s="189"/>
      <c r="O64" s="186">
        <f t="shared" si="12"/>
        <v>192</v>
      </c>
      <c r="P64" s="189"/>
      <c r="Q64" s="186">
        <f t="shared" si="13"/>
        <v>158137</v>
      </c>
      <c r="R64" s="187">
        <f t="shared" si="2"/>
        <v>1146493.25</v>
      </c>
      <c r="S64" s="187">
        <f>'MSPL-2(LOT)'!H61+'MSPL-2(LOT)'!H98+'MSPL-2(LOT)'!H135+'MSPL-2(LOT)'!H172+'MSPL-2(LOT)'!H209</f>
        <v>0</v>
      </c>
      <c r="T64" s="187">
        <f t="shared" si="3"/>
        <v>1146493.25</v>
      </c>
      <c r="U64" s="162">
        <f t="shared" si="4"/>
        <v>0</v>
      </c>
      <c r="V64" s="162">
        <f t="shared" si="5"/>
        <v>158137</v>
      </c>
      <c r="W64" s="162">
        <f>'MSPL-2(LOT)'!L61+'MSPL-2(LOT)'!L98+'MSPL-2(LOT)'!L135+'MSPL-2(LOT)'!L172+'MSPL-2(LOT)'!L209</f>
        <v>0</v>
      </c>
      <c r="X64" s="162">
        <f t="shared" si="6"/>
        <v>158137</v>
      </c>
      <c r="Y64" s="162">
        <f>'MSPL-2(LOT)'!N61+'MSPL-2(LOT)'!N98+'MSPL-2(LOT)'!N135+'MSPL-2(LOT)'!N172+'MSPL-2(LOT)'!N209</f>
        <v>0</v>
      </c>
      <c r="Z64" s="162">
        <f t="shared" si="7"/>
        <v>158137</v>
      </c>
      <c r="AA64" s="162">
        <f t="shared" si="14"/>
        <v>0</v>
      </c>
      <c r="AB64" s="162">
        <f t="shared" si="8"/>
        <v>0</v>
      </c>
      <c r="AC64" s="162">
        <f t="shared" si="15"/>
        <v>0</v>
      </c>
      <c r="AD64" s="162">
        <f t="shared" si="9"/>
        <v>2292.9865</v>
      </c>
      <c r="AE64" s="162">
        <f t="shared" si="16"/>
        <v>35.276715384615386</v>
      </c>
      <c r="AF64" s="162">
        <f t="shared" si="10"/>
        <v>0</v>
      </c>
      <c r="AG64" s="162">
        <f t="shared" si="17"/>
        <v>35.276715384615386</v>
      </c>
      <c r="AH64" s="155"/>
    </row>
    <row r="65" spans="1:34" s="11" customFormat="1" ht="15" customHeight="1">
      <c r="A65" s="162">
        <v>23</v>
      </c>
      <c r="B65" s="163" t="s">
        <v>6</v>
      </c>
      <c r="C65" s="395"/>
      <c r="D65" s="164">
        <v>23.5</v>
      </c>
      <c r="E65" s="164"/>
      <c r="F65" s="185">
        <v>30762</v>
      </c>
      <c r="G65" s="186">
        <v>31481</v>
      </c>
      <c r="H65" s="186">
        <v>32595</v>
      </c>
      <c r="I65" s="186">
        <v>35878</v>
      </c>
      <c r="J65" s="186">
        <v>27421</v>
      </c>
      <c r="K65" s="186">
        <f t="shared" si="11"/>
        <v>158137</v>
      </c>
      <c r="L65" s="187">
        <v>2</v>
      </c>
      <c r="M65" s="186">
        <v>288</v>
      </c>
      <c r="N65" s="189"/>
      <c r="O65" s="186">
        <f t="shared" si="12"/>
        <v>288</v>
      </c>
      <c r="P65" s="189"/>
      <c r="Q65" s="186">
        <f t="shared" si="13"/>
        <v>158137</v>
      </c>
      <c r="R65" s="187">
        <f t="shared" si="2"/>
        <v>1858109.75</v>
      </c>
      <c r="S65" s="187">
        <f>'MSPL-2(LOT)'!H62+'MSPL-2(LOT)'!H99+'MSPL-2(LOT)'!H136+'MSPL-2(LOT)'!H173+'MSPL-2(LOT)'!H210</f>
        <v>0</v>
      </c>
      <c r="T65" s="187">
        <f t="shared" si="3"/>
        <v>1858109.75</v>
      </c>
      <c r="U65" s="162">
        <f t="shared" si="4"/>
        <v>0</v>
      </c>
      <c r="V65" s="162">
        <f t="shared" si="5"/>
        <v>158137</v>
      </c>
      <c r="W65" s="162">
        <f>'MSPL-2(LOT)'!L62+'MSPL-2(LOT)'!L99+'MSPL-2(LOT)'!L136+'MSPL-2(LOT)'!L173+'MSPL-2(LOT)'!L210</f>
        <v>0</v>
      </c>
      <c r="X65" s="162">
        <f t="shared" si="6"/>
        <v>158137</v>
      </c>
      <c r="Y65" s="162">
        <f>'MSPL-2(LOT)'!N62+'MSPL-2(LOT)'!N99+'MSPL-2(LOT)'!N136+'MSPL-2(LOT)'!N173+'MSPL-2(LOT)'!N210</f>
        <v>0</v>
      </c>
      <c r="Z65" s="162">
        <f t="shared" si="7"/>
        <v>158137</v>
      </c>
      <c r="AA65" s="162">
        <f t="shared" si="14"/>
        <v>0</v>
      </c>
      <c r="AB65" s="162">
        <f t="shared" si="8"/>
        <v>0</v>
      </c>
      <c r="AC65" s="162">
        <f t="shared" si="15"/>
        <v>0</v>
      </c>
      <c r="AD65" s="162">
        <f t="shared" si="9"/>
        <v>3716.2195000000002</v>
      </c>
      <c r="AE65" s="162">
        <f t="shared" si="16"/>
        <v>57.172607692307693</v>
      </c>
      <c r="AF65" s="162">
        <f t="shared" si="10"/>
        <v>0</v>
      </c>
      <c r="AG65" s="162">
        <f t="shared" si="17"/>
        <v>57.172607692307693</v>
      </c>
      <c r="AH65" s="155"/>
    </row>
    <row r="66" spans="1:34" s="11" customFormat="1" ht="15" customHeight="1">
      <c r="A66" s="162">
        <v>24</v>
      </c>
      <c r="B66" s="163" t="s">
        <v>204</v>
      </c>
      <c r="C66" s="395"/>
      <c r="D66" s="164">
        <v>20.5</v>
      </c>
      <c r="E66" s="164"/>
      <c r="F66" s="185">
        <v>30762</v>
      </c>
      <c r="G66" s="186">
        <v>31481</v>
      </c>
      <c r="H66" s="186">
        <v>32595</v>
      </c>
      <c r="I66" s="186">
        <v>35878</v>
      </c>
      <c r="J66" s="186">
        <v>27421</v>
      </c>
      <c r="K66" s="186">
        <f t="shared" si="11"/>
        <v>158137</v>
      </c>
      <c r="L66" s="187">
        <v>2</v>
      </c>
      <c r="M66" s="186">
        <v>264</v>
      </c>
      <c r="N66" s="189"/>
      <c r="O66" s="186">
        <f t="shared" si="12"/>
        <v>264</v>
      </c>
      <c r="P66" s="189"/>
      <c r="Q66" s="186">
        <f t="shared" si="13"/>
        <v>158137</v>
      </c>
      <c r="R66" s="187">
        <f t="shared" si="2"/>
        <v>1620904.25</v>
      </c>
      <c r="S66" s="187">
        <f>'MSPL-2(LOT)'!H63+'MSPL-2(LOT)'!H100+'MSPL-2(LOT)'!H137+'MSPL-2(LOT)'!H174+'MSPL-2(LOT)'!H211</f>
        <v>0</v>
      </c>
      <c r="T66" s="187">
        <f t="shared" si="3"/>
        <v>1620904.25</v>
      </c>
      <c r="U66" s="162">
        <f t="shared" si="4"/>
        <v>0</v>
      </c>
      <c r="V66" s="162">
        <f t="shared" si="5"/>
        <v>158137</v>
      </c>
      <c r="W66" s="162">
        <f>'MSPL-2(LOT)'!L63+'MSPL-2(LOT)'!L100+'MSPL-2(LOT)'!L137+'MSPL-2(LOT)'!L174+'MSPL-2(LOT)'!L211</f>
        <v>0</v>
      </c>
      <c r="X66" s="162">
        <f t="shared" si="6"/>
        <v>158137</v>
      </c>
      <c r="Y66" s="162">
        <f>'MSPL-2(LOT)'!N63+'MSPL-2(LOT)'!N100+'MSPL-2(LOT)'!N137+'MSPL-2(LOT)'!N174+'MSPL-2(LOT)'!N211</f>
        <v>0</v>
      </c>
      <c r="Z66" s="162">
        <f t="shared" si="7"/>
        <v>158137</v>
      </c>
      <c r="AA66" s="162">
        <f t="shared" si="14"/>
        <v>0</v>
      </c>
      <c r="AB66" s="162">
        <f t="shared" si="8"/>
        <v>0</v>
      </c>
      <c r="AC66" s="162">
        <f t="shared" si="15"/>
        <v>0</v>
      </c>
      <c r="AD66" s="162">
        <f t="shared" si="9"/>
        <v>3241.8085000000001</v>
      </c>
      <c r="AE66" s="162">
        <f t="shared" si="16"/>
        <v>49.873976923076924</v>
      </c>
      <c r="AF66" s="162">
        <f t="shared" si="10"/>
        <v>0</v>
      </c>
      <c r="AG66" s="162">
        <f t="shared" si="17"/>
        <v>49.873976923076924</v>
      </c>
      <c r="AH66" s="155"/>
    </row>
    <row r="67" spans="1:34" s="11" customFormat="1" ht="15" customHeight="1">
      <c r="A67" s="162">
        <v>25</v>
      </c>
      <c r="B67" s="163" t="s">
        <v>7</v>
      </c>
      <c r="C67" s="395"/>
      <c r="D67" s="164">
        <v>20.5</v>
      </c>
      <c r="E67" s="164"/>
      <c r="F67" s="185">
        <v>30762</v>
      </c>
      <c r="G67" s="186">
        <v>31481</v>
      </c>
      <c r="H67" s="186">
        <v>32595</v>
      </c>
      <c r="I67" s="186">
        <v>35878</v>
      </c>
      <c r="J67" s="186">
        <v>27421</v>
      </c>
      <c r="K67" s="186">
        <f t="shared" si="11"/>
        <v>158137</v>
      </c>
      <c r="L67" s="187">
        <v>2</v>
      </c>
      <c r="M67" s="186">
        <v>264</v>
      </c>
      <c r="N67" s="189"/>
      <c r="O67" s="186">
        <f t="shared" si="12"/>
        <v>264</v>
      </c>
      <c r="P67" s="189"/>
      <c r="Q67" s="186">
        <f t="shared" si="13"/>
        <v>158137</v>
      </c>
      <c r="R67" s="187">
        <f t="shared" si="2"/>
        <v>1620904.25</v>
      </c>
      <c r="S67" s="187">
        <f>'MSPL-2(LOT)'!H64+'MSPL-2(LOT)'!H101+'MSPL-2(LOT)'!H138+'MSPL-2(LOT)'!H175+'MSPL-2(LOT)'!H212</f>
        <v>0</v>
      </c>
      <c r="T67" s="187">
        <f t="shared" si="3"/>
        <v>1620904.25</v>
      </c>
      <c r="U67" s="162">
        <f t="shared" si="4"/>
        <v>0</v>
      </c>
      <c r="V67" s="162">
        <f t="shared" si="5"/>
        <v>158137</v>
      </c>
      <c r="W67" s="162">
        <f>'MSPL-2(LOT)'!L64+'MSPL-2(LOT)'!L101+'MSPL-2(LOT)'!L138+'MSPL-2(LOT)'!L175+'MSPL-2(LOT)'!L212</f>
        <v>0</v>
      </c>
      <c r="X67" s="162">
        <f t="shared" si="6"/>
        <v>158137</v>
      </c>
      <c r="Y67" s="162">
        <f>'MSPL-2(LOT)'!N64+'MSPL-2(LOT)'!N101+'MSPL-2(LOT)'!N138+'MSPL-2(LOT)'!N175+'MSPL-2(LOT)'!N212</f>
        <v>0</v>
      </c>
      <c r="Z67" s="162">
        <f t="shared" si="7"/>
        <v>158137</v>
      </c>
      <c r="AA67" s="162">
        <f t="shared" si="14"/>
        <v>0</v>
      </c>
      <c r="AB67" s="162">
        <f t="shared" si="8"/>
        <v>0</v>
      </c>
      <c r="AC67" s="162">
        <f t="shared" si="15"/>
        <v>0</v>
      </c>
      <c r="AD67" s="162">
        <f t="shared" si="9"/>
        <v>3241.8085000000001</v>
      </c>
      <c r="AE67" s="162">
        <f t="shared" si="16"/>
        <v>49.873976923076924</v>
      </c>
      <c r="AF67" s="162">
        <f t="shared" si="10"/>
        <v>0</v>
      </c>
      <c r="AG67" s="162">
        <f t="shared" si="17"/>
        <v>49.873976923076924</v>
      </c>
      <c r="AH67" s="155"/>
    </row>
    <row r="68" spans="1:34" s="11" customFormat="1" ht="15" customHeight="1">
      <c r="A68" s="162">
        <v>26</v>
      </c>
      <c r="B68" s="163" t="s">
        <v>8</v>
      </c>
      <c r="C68" s="395"/>
      <c r="D68" s="164">
        <v>10.5</v>
      </c>
      <c r="E68" s="164"/>
      <c r="F68" s="185">
        <v>28230</v>
      </c>
      <c r="G68" s="186">
        <v>27782</v>
      </c>
      <c r="H68" s="186">
        <v>28835</v>
      </c>
      <c r="I68" s="186">
        <v>34554</v>
      </c>
      <c r="J68" s="186">
        <v>24153</v>
      </c>
      <c r="K68" s="186">
        <f t="shared" si="11"/>
        <v>143554</v>
      </c>
      <c r="L68" s="187">
        <v>2</v>
      </c>
      <c r="M68" s="186">
        <v>144</v>
      </c>
      <c r="N68" s="189"/>
      <c r="O68" s="186">
        <f t="shared" si="12"/>
        <v>144</v>
      </c>
      <c r="P68" s="189"/>
      <c r="Q68" s="186">
        <f t="shared" si="13"/>
        <v>143554</v>
      </c>
      <c r="R68" s="187">
        <f t="shared" si="2"/>
        <v>753658.5</v>
      </c>
      <c r="S68" s="187">
        <f>'MSPL-2(LOT)'!H65+'MSPL-2(LOT)'!H102+'MSPL-2(LOT)'!H139+'MSPL-2(LOT)'!H176+'MSPL-2(LOT)'!H213</f>
        <v>0</v>
      </c>
      <c r="T68" s="187">
        <f t="shared" si="3"/>
        <v>753658.5</v>
      </c>
      <c r="U68" s="162">
        <f t="shared" si="4"/>
        <v>0</v>
      </c>
      <c r="V68" s="162">
        <f t="shared" si="5"/>
        <v>143554</v>
      </c>
      <c r="W68" s="162">
        <f>'MSPL-2(LOT)'!L65+'MSPL-2(LOT)'!L102+'MSPL-2(LOT)'!L139+'MSPL-2(LOT)'!L176+'MSPL-2(LOT)'!L213</f>
        <v>0</v>
      </c>
      <c r="X68" s="162">
        <f t="shared" si="6"/>
        <v>143554</v>
      </c>
      <c r="Y68" s="162">
        <f>'MSPL-2(LOT)'!N65+'MSPL-2(LOT)'!N102+'MSPL-2(LOT)'!N139+'MSPL-2(LOT)'!N176+'MSPL-2(LOT)'!N213</f>
        <v>0</v>
      </c>
      <c r="Z68" s="162">
        <f t="shared" si="7"/>
        <v>143554</v>
      </c>
      <c r="AA68" s="162">
        <f t="shared" si="14"/>
        <v>0</v>
      </c>
      <c r="AB68" s="162">
        <f t="shared" si="8"/>
        <v>0</v>
      </c>
      <c r="AC68" s="162">
        <f t="shared" si="15"/>
        <v>0</v>
      </c>
      <c r="AD68" s="162">
        <f t="shared" si="9"/>
        <v>1507.317</v>
      </c>
      <c r="AE68" s="162">
        <f t="shared" si="16"/>
        <v>23.189492307692309</v>
      </c>
      <c r="AF68" s="162">
        <f t="shared" si="10"/>
        <v>0</v>
      </c>
      <c r="AG68" s="162">
        <f t="shared" si="17"/>
        <v>23.189492307692309</v>
      </c>
      <c r="AH68" s="155"/>
    </row>
    <row r="69" spans="1:34" s="11" customFormat="1" ht="15" customHeight="1">
      <c r="A69" s="162">
        <v>27</v>
      </c>
      <c r="B69" s="163" t="s">
        <v>9</v>
      </c>
      <c r="C69" s="396"/>
      <c r="D69" s="164">
        <v>12.5</v>
      </c>
      <c r="E69" s="164"/>
      <c r="F69" s="185">
        <v>2529</v>
      </c>
      <c r="G69" s="186">
        <v>3549</v>
      </c>
      <c r="H69" s="186">
        <v>3708</v>
      </c>
      <c r="I69" s="186">
        <v>1118</v>
      </c>
      <c r="J69" s="186">
        <v>3143</v>
      </c>
      <c r="K69" s="186">
        <f t="shared" si="11"/>
        <v>14047</v>
      </c>
      <c r="L69" s="187">
        <v>2</v>
      </c>
      <c r="M69" s="186">
        <v>56</v>
      </c>
      <c r="N69" s="189"/>
      <c r="O69" s="186">
        <f>M69-N69</f>
        <v>56</v>
      </c>
      <c r="P69" s="189"/>
      <c r="Q69" s="186">
        <f t="shared" si="13"/>
        <v>14047</v>
      </c>
      <c r="R69" s="187">
        <f t="shared" si="2"/>
        <v>87793.75</v>
      </c>
      <c r="S69" s="187">
        <f>'MSPL-2(LOT)'!H66+'MSPL-2(LOT)'!H103+'MSPL-2(LOT)'!H140+'MSPL-2(LOT)'!H177+'MSPL-2(LOT)'!H214</f>
        <v>0</v>
      </c>
      <c r="T69" s="187">
        <f t="shared" si="3"/>
        <v>87793.75</v>
      </c>
      <c r="U69" s="162">
        <f t="shared" si="4"/>
        <v>0</v>
      </c>
      <c r="V69" s="162">
        <f t="shared" si="5"/>
        <v>14047</v>
      </c>
      <c r="W69" s="162">
        <f>'MSPL-2(LOT)'!L66+'MSPL-2(LOT)'!L103+'MSPL-2(LOT)'!L140+'MSPL-2(LOT)'!L177+'MSPL-2(LOT)'!L214</f>
        <v>0</v>
      </c>
      <c r="X69" s="162">
        <f t="shared" si="6"/>
        <v>14047</v>
      </c>
      <c r="Y69" s="162">
        <f>'MSPL-2(LOT)'!N66+'MSPL-2(LOT)'!N103+'MSPL-2(LOT)'!N140+'MSPL-2(LOT)'!N177+'MSPL-2(LOT)'!N214</f>
        <v>0</v>
      </c>
      <c r="Z69" s="162">
        <f t="shared" si="7"/>
        <v>14047</v>
      </c>
      <c r="AA69" s="162">
        <f t="shared" si="14"/>
        <v>0</v>
      </c>
      <c r="AB69" s="162">
        <f t="shared" si="8"/>
        <v>0</v>
      </c>
      <c r="AC69" s="162">
        <f t="shared" si="15"/>
        <v>0</v>
      </c>
      <c r="AD69" s="162">
        <f t="shared" si="9"/>
        <v>175.58750000000001</v>
      </c>
      <c r="AE69" s="162">
        <f t="shared" si="16"/>
        <v>2.7013461538461541</v>
      </c>
      <c r="AF69" s="162">
        <f t="shared" si="10"/>
        <v>0</v>
      </c>
      <c r="AG69" s="162">
        <f t="shared" si="17"/>
        <v>2.7013461538461541</v>
      </c>
      <c r="AH69" s="155"/>
    </row>
    <row r="70" spans="1:34" ht="15" customHeight="1">
      <c r="A70" s="403" t="s">
        <v>79</v>
      </c>
      <c r="B70" s="403"/>
      <c r="C70" s="403"/>
      <c r="D70" s="403"/>
      <c r="E70" s="73"/>
      <c r="F70" s="42">
        <f>SUM(F43:F69)</f>
        <v>834870</v>
      </c>
      <c r="G70" s="42">
        <f t="shared" ref="G70:AH70" si="18">SUM(G43:G69)</f>
        <v>806057</v>
      </c>
      <c r="H70" s="42">
        <f t="shared" si="18"/>
        <v>874367</v>
      </c>
      <c r="I70" s="42">
        <f t="shared" si="18"/>
        <v>888748</v>
      </c>
      <c r="J70" s="42">
        <f t="shared" si="18"/>
        <v>627854</v>
      </c>
      <c r="K70" s="42">
        <f t="shared" si="18"/>
        <v>4031896</v>
      </c>
      <c r="L70" s="42">
        <f t="shared" si="18"/>
        <v>54</v>
      </c>
      <c r="M70" s="42">
        <f t="shared" ref="M70:Q70" si="19">SUM(M43:M69)</f>
        <v>4856</v>
      </c>
      <c r="N70" s="42">
        <f t="shared" si="19"/>
        <v>0</v>
      </c>
      <c r="O70" s="42">
        <f t="shared" si="19"/>
        <v>4856</v>
      </c>
      <c r="P70" s="42">
        <f t="shared" si="19"/>
        <v>0</v>
      </c>
      <c r="Q70" s="42">
        <f t="shared" si="19"/>
        <v>4031896</v>
      </c>
      <c r="R70" s="42">
        <f t="shared" si="18"/>
        <v>31161630.75</v>
      </c>
      <c r="S70" s="42">
        <f t="shared" si="18"/>
        <v>0</v>
      </c>
      <c r="T70" s="42">
        <f t="shared" si="18"/>
        <v>31161630.75</v>
      </c>
      <c r="U70" s="42">
        <f t="shared" si="18"/>
        <v>0</v>
      </c>
      <c r="V70" s="42">
        <f t="shared" si="18"/>
        <v>4031896</v>
      </c>
      <c r="W70" s="42">
        <f t="shared" si="18"/>
        <v>0</v>
      </c>
      <c r="X70" s="42">
        <f t="shared" si="18"/>
        <v>4031896</v>
      </c>
      <c r="Y70" s="42">
        <f t="shared" si="18"/>
        <v>0</v>
      </c>
      <c r="Z70" s="42">
        <f t="shared" si="18"/>
        <v>4031896</v>
      </c>
      <c r="AA70" s="42">
        <f t="shared" si="18"/>
        <v>0</v>
      </c>
      <c r="AB70" s="42">
        <f t="shared" si="18"/>
        <v>0</v>
      </c>
      <c r="AC70" s="42">
        <f t="shared" si="18"/>
        <v>0</v>
      </c>
      <c r="AD70" s="42">
        <f t="shared" si="18"/>
        <v>62323.261499999993</v>
      </c>
      <c r="AE70" s="42">
        <f t="shared" si="18"/>
        <v>958.81940769230778</v>
      </c>
      <c r="AF70" s="42">
        <f t="shared" si="18"/>
        <v>0</v>
      </c>
      <c r="AG70" s="42">
        <f t="shared" si="18"/>
        <v>958.81940769230778</v>
      </c>
      <c r="AH70" s="42">
        <f t="shared" si="18"/>
        <v>0</v>
      </c>
    </row>
    <row r="71" spans="1:34" s="43" customFormat="1">
      <c r="A71" s="30"/>
      <c r="B71" s="28"/>
      <c r="C71" s="30"/>
      <c r="D71" s="31"/>
      <c r="E71" s="31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</row>
    <row r="72" spans="1:34" s="43" customFormat="1">
      <c r="A72" s="30"/>
      <c r="B72" s="28"/>
      <c r="C72" s="30"/>
      <c r="D72" s="31"/>
      <c r="E72" s="31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122"/>
      <c r="Y72" s="122"/>
      <c r="Z72" s="122"/>
      <c r="AA72" s="122"/>
      <c r="AB72" s="67"/>
      <c r="AC72" s="67"/>
      <c r="AD72" s="67"/>
      <c r="AE72" s="67"/>
      <c r="AF72" s="67"/>
      <c r="AG72" s="67"/>
    </row>
    <row r="73" spans="1:34" s="63" customFormat="1" ht="15.75">
      <c r="A73" s="61"/>
      <c r="B73" s="61"/>
      <c r="C73" s="61"/>
      <c r="D73" s="61"/>
      <c r="E73" s="61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AB73" s="387" t="s">
        <v>254</v>
      </c>
      <c r="AC73" s="387"/>
      <c r="AD73" s="387"/>
      <c r="AE73" s="387"/>
      <c r="AF73" s="387"/>
      <c r="AG73" s="387"/>
    </row>
    <row r="74" spans="1:34" s="1" customFormat="1" ht="24" customHeight="1">
      <c r="A74" s="388" t="s">
        <v>178</v>
      </c>
      <c r="B74" s="388"/>
      <c r="C74" s="388"/>
      <c r="D74" s="388"/>
      <c r="E74" s="388"/>
      <c r="F74" s="388"/>
      <c r="G74" s="388"/>
      <c r="H74" s="388"/>
      <c r="I74" s="388"/>
      <c r="J74" s="388"/>
      <c r="K74" s="388"/>
      <c r="L74" s="388"/>
      <c r="M74" s="388"/>
      <c r="N74" s="388"/>
      <c r="O74" s="388"/>
      <c r="P74" s="388"/>
      <c r="Q74" s="388"/>
      <c r="R74" s="388"/>
      <c r="S74" s="388"/>
      <c r="T74" s="388"/>
      <c r="U74" s="388"/>
      <c r="V74" s="388"/>
      <c r="W74" s="388"/>
      <c r="X74" s="388"/>
      <c r="Y74" s="388"/>
      <c r="Z74" s="388"/>
      <c r="AA74" s="388"/>
      <c r="AB74" s="388"/>
      <c r="AC74" s="388"/>
      <c r="AD74" s="388"/>
      <c r="AE74" s="388"/>
      <c r="AF74" s="388"/>
      <c r="AG74" s="388"/>
    </row>
    <row r="75" spans="1:34" s="1" customFormat="1" ht="17.25" customHeight="1">
      <c r="A75" s="379" t="s">
        <v>253</v>
      </c>
      <c r="B75" s="379"/>
      <c r="C75" s="379"/>
      <c r="D75" s="379"/>
      <c r="E75" s="379"/>
      <c r="F75" s="379"/>
      <c r="G75" s="379"/>
      <c r="H75" s="379"/>
      <c r="I75" s="379"/>
      <c r="J75" s="379"/>
      <c r="K75" s="379"/>
      <c r="L75" s="379"/>
      <c r="M75" s="379"/>
      <c r="N75" s="379"/>
      <c r="O75" s="379"/>
      <c r="P75" s="379"/>
      <c r="Q75" s="379"/>
      <c r="R75" s="379"/>
      <c r="S75" s="379"/>
      <c r="T75" s="379"/>
      <c r="U75" s="379"/>
      <c r="V75" s="379"/>
      <c r="W75" s="379"/>
      <c r="X75" s="379"/>
      <c r="Y75" s="379"/>
      <c r="Z75" s="379"/>
      <c r="AA75" s="379"/>
      <c r="AB75" s="379"/>
      <c r="AC75" s="379"/>
      <c r="AD75" s="379"/>
      <c r="AE75" s="379"/>
      <c r="AF75" s="379"/>
      <c r="AG75" s="379"/>
    </row>
    <row r="76" spans="1:34" s="1" customFormat="1" ht="15.75" customHeight="1">
      <c r="A76" s="313" t="s">
        <v>274</v>
      </c>
      <c r="B76" s="313"/>
      <c r="C76" s="313"/>
      <c r="D76" s="313"/>
      <c r="E76" s="313"/>
      <c r="F76" s="313"/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  <c r="T76" s="313"/>
      <c r="U76" s="313"/>
      <c r="V76" s="313"/>
      <c r="W76" s="313"/>
      <c r="X76" s="313"/>
      <c r="Y76" s="313"/>
      <c r="Z76" s="313"/>
      <c r="AA76" s="313"/>
      <c r="AB76" s="313"/>
      <c r="AC76" s="313"/>
      <c r="AD76" s="313"/>
      <c r="AE76" s="313"/>
      <c r="AF76" s="313"/>
      <c r="AG76" s="313"/>
    </row>
    <row r="77" spans="1:34" s="1" customFormat="1" ht="18" customHeight="1">
      <c r="A77" s="407" t="s">
        <v>276</v>
      </c>
      <c r="B77" s="407"/>
      <c r="C77" s="407"/>
      <c r="D77" s="407"/>
      <c r="E77" s="407"/>
      <c r="F77" s="407"/>
      <c r="G77" s="407"/>
      <c r="H77" s="407"/>
      <c r="I77" s="407"/>
      <c r="J77" s="407"/>
      <c r="K77" s="407"/>
      <c r="L77" s="407"/>
      <c r="M77" s="407"/>
      <c r="N77" s="407"/>
      <c r="O77" s="407"/>
      <c r="P77" s="407"/>
      <c r="Q77" s="407"/>
      <c r="R77" s="407"/>
      <c r="S77" s="407"/>
      <c r="T77" s="407"/>
      <c r="U77" s="407"/>
      <c r="V77" s="407"/>
      <c r="W77" s="407"/>
      <c r="X77" s="407"/>
      <c r="Y77" s="407"/>
      <c r="Z77" s="407"/>
      <c r="AA77" s="407"/>
      <c r="AB77" s="407"/>
      <c r="AC77" s="227"/>
      <c r="AD77" s="408" t="str">
        <f>AD4</f>
        <v>ZvwiLt-02/08/26</v>
      </c>
      <c r="AE77" s="408"/>
      <c r="AF77" s="408"/>
      <c r="AG77" s="408"/>
    </row>
    <row r="78" spans="1:34" s="1" customFormat="1" ht="18.600000000000001" customHeight="1">
      <c r="A78" s="389" t="s">
        <v>15</v>
      </c>
      <c r="B78" s="389" t="s">
        <v>64</v>
      </c>
      <c r="C78" s="389" t="s">
        <v>65</v>
      </c>
      <c r="D78" s="380" t="s">
        <v>66</v>
      </c>
      <c r="E78" s="146"/>
      <c r="F78" s="391" t="s">
        <v>179</v>
      </c>
      <c r="G78" s="391"/>
      <c r="H78" s="391"/>
      <c r="I78" s="391"/>
      <c r="J78" s="391"/>
      <c r="K78" s="389" t="s">
        <v>88</v>
      </c>
      <c r="L78" s="145" t="s">
        <v>157</v>
      </c>
      <c r="M78" s="391" t="s">
        <v>325</v>
      </c>
      <c r="N78" s="391"/>
      <c r="O78" s="391"/>
      <c r="P78" s="384" t="s">
        <v>68</v>
      </c>
      <c r="Q78" s="385"/>
      <c r="R78" s="374" t="s">
        <v>138</v>
      </c>
      <c r="S78" s="375"/>
      <c r="T78" s="376"/>
      <c r="U78" s="377" t="s">
        <v>139</v>
      </c>
      <c r="V78" s="377"/>
      <c r="W78" s="377" t="s">
        <v>86</v>
      </c>
      <c r="X78" s="377"/>
      <c r="Y78" s="377" t="s">
        <v>25</v>
      </c>
      <c r="Z78" s="377"/>
      <c r="AA78" s="377" t="s">
        <v>87</v>
      </c>
      <c r="AB78" s="382" t="s">
        <v>199</v>
      </c>
      <c r="AC78" s="392" t="s">
        <v>455</v>
      </c>
      <c r="AD78" s="377" t="s">
        <v>140</v>
      </c>
      <c r="AE78" s="377"/>
      <c r="AF78" s="377"/>
      <c r="AG78" s="377"/>
      <c r="AH78" s="369" t="s">
        <v>142</v>
      </c>
    </row>
    <row r="79" spans="1:34" s="1" customFormat="1" ht="18.600000000000001" customHeight="1">
      <c r="A79" s="390"/>
      <c r="B79" s="390"/>
      <c r="C79" s="390"/>
      <c r="D79" s="381"/>
      <c r="E79" s="147"/>
      <c r="F79" s="145" t="s">
        <v>262</v>
      </c>
      <c r="G79" s="145" t="s">
        <v>263</v>
      </c>
      <c r="H79" s="145" t="s">
        <v>264</v>
      </c>
      <c r="I79" s="145" t="s">
        <v>265</v>
      </c>
      <c r="J79" s="145" t="s">
        <v>266</v>
      </c>
      <c r="K79" s="390"/>
      <c r="L79" s="145"/>
      <c r="M79" s="139" t="s">
        <v>428</v>
      </c>
      <c r="N79" s="145" t="s">
        <v>69</v>
      </c>
      <c r="O79" s="145" t="s">
        <v>70</v>
      </c>
      <c r="P79" s="145" t="s">
        <v>69</v>
      </c>
      <c r="Q79" s="145" t="s">
        <v>70</v>
      </c>
      <c r="R79" s="139" t="s">
        <v>189</v>
      </c>
      <c r="S79" s="145" t="s">
        <v>85</v>
      </c>
      <c r="T79" s="145" t="s">
        <v>70</v>
      </c>
      <c r="U79" s="148" t="s">
        <v>85</v>
      </c>
      <c r="V79" s="148" t="s">
        <v>70</v>
      </c>
      <c r="W79" s="145" t="s">
        <v>86</v>
      </c>
      <c r="X79" s="148" t="s">
        <v>70</v>
      </c>
      <c r="Y79" s="148" t="s">
        <v>25</v>
      </c>
      <c r="Z79" s="148" t="s">
        <v>70</v>
      </c>
      <c r="AA79" s="377"/>
      <c r="AB79" s="382"/>
      <c r="AC79" s="393"/>
      <c r="AD79" s="148" t="s">
        <v>155</v>
      </c>
      <c r="AE79" s="148" t="s">
        <v>156</v>
      </c>
      <c r="AF79" s="148" t="s">
        <v>141</v>
      </c>
      <c r="AG79" s="148" t="s">
        <v>70</v>
      </c>
      <c r="AH79" s="369"/>
    </row>
    <row r="80" spans="1:34" s="38" customFormat="1" ht="15.75">
      <c r="A80" s="181">
        <v>1</v>
      </c>
      <c r="B80" s="190" t="s">
        <v>194</v>
      </c>
      <c r="C80" s="181" t="s">
        <v>195</v>
      </c>
      <c r="D80" s="191">
        <v>12.5</v>
      </c>
      <c r="E80" s="191"/>
      <c r="F80" s="181">
        <v>33510</v>
      </c>
      <c r="G80" s="181">
        <v>44370</v>
      </c>
      <c r="H80" s="181">
        <v>38150</v>
      </c>
      <c r="I80" s="181">
        <v>53593</v>
      </c>
      <c r="J80" s="181">
        <v>27615</v>
      </c>
      <c r="K80" s="181">
        <f>SUM(F80:J80)</f>
        <v>197238</v>
      </c>
      <c r="L80" s="181">
        <v>3.25</v>
      </c>
      <c r="M80" s="181">
        <v>42</v>
      </c>
      <c r="N80" s="12"/>
      <c r="O80" s="181">
        <f>M80-N80</f>
        <v>42</v>
      </c>
      <c r="P80" s="12"/>
      <c r="Q80" s="181">
        <f>K80-P80</f>
        <v>197238</v>
      </c>
      <c r="R80" s="179">
        <f>L80*K80</f>
        <v>641023.5</v>
      </c>
      <c r="S80" s="179">
        <f>'MSPL-2(LOT)'!H225+'MSPL-2(LOT)'!H257+'MSPL-2(LOT)'!H289+'MSPL-2(LOT)'!H321+'MSPL-2(LOT)'!H353</f>
        <v>0</v>
      </c>
      <c r="T80" s="179">
        <f t="shared" ref="T80:T101" si="20">R80-S80</f>
        <v>641023.5</v>
      </c>
      <c r="U80" s="179">
        <f t="shared" ref="U80:U101" si="21">S80/L80</f>
        <v>0</v>
      </c>
      <c r="V80" s="179">
        <f t="shared" ref="V80:V101" si="22">K80-U80</f>
        <v>197238</v>
      </c>
      <c r="W80" s="179">
        <f>'MSPL-2(LOT)'!L225+'MSPL-2(LOT)'!L257+'MSPL-2(LOT)'!L289+'MSPL-2(LOT)'!L321+'MSPL-2(LOT)'!L353</f>
        <v>0</v>
      </c>
      <c r="X80" s="179">
        <f t="shared" ref="X80:X101" si="23">K80-W80</f>
        <v>197238</v>
      </c>
      <c r="Y80" s="179">
        <f>'MSPL-2(LOT)'!N225+'MSPL-2(LOT)'!N257+'MSPL-2(LOT)'!N289+'MSPL-2(LOT)'!N321+'MSPL-2(LOT)'!N353</f>
        <v>0</v>
      </c>
      <c r="Z80" s="179">
        <f t="shared" ref="Z80:Z101" si="24">K80-Y80</f>
        <v>197238</v>
      </c>
      <c r="AA80" s="179">
        <f>W80-Y80</f>
        <v>0</v>
      </c>
      <c r="AB80" s="179">
        <f t="shared" ref="AB80:AB101" si="25">D80*W80/1000</f>
        <v>0</v>
      </c>
      <c r="AC80" s="179">
        <f>U80-W80</f>
        <v>0</v>
      </c>
      <c r="AD80" s="179">
        <f t="shared" ref="AD80:AD101" si="26">D80*K80/1000</f>
        <v>2465.4749999999999</v>
      </c>
      <c r="AE80" s="179">
        <f>AD80/75</f>
        <v>32.872999999999998</v>
      </c>
      <c r="AF80" s="179">
        <f t="shared" ref="AF80:AF101" si="27">D80*U80/1000/75</f>
        <v>0</v>
      </c>
      <c r="AG80" s="179">
        <f>AE80-AF80</f>
        <v>32.872999999999998</v>
      </c>
      <c r="AH80" s="6"/>
    </row>
    <row r="81" spans="1:34" s="38" customFormat="1" ht="15.75">
      <c r="A81" s="181">
        <v>2</v>
      </c>
      <c r="B81" s="190" t="s">
        <v>191</v>
      </c>
      <c r="C81" s="181" t="s">
        <v>195</v>
      </c>
      <c r="D81" s="191">
        <v>8.5</v>
      </c>
      <c r="E81" s="192"/>
      <c r="F81" s="181">
        <v>33510</v>
      </c>
      <c r="G81" s="181">
        <v>44370</v>
      </c>
      <c r="H81" s="181">
        <v>38150</v>
      </c>
      <c r="I81" s="181">
        <v>53593</v>
      </c>
      <c r="J81" s="181">
        <v>27615</v>
      </c>
      <c r="K81" s="181">
        <f t="shared" ref="K81:K101" si="28">SUM(F81:J81)</f>
        <v>197238</v>
      </c>
      <c r="L81" s="181">
        <v>2.25</v>
      </c>
      <c r="M81" s="181">
        <v>30</v>
      </c>
      <c r="N81" s="12"/>
      <c r="O81" s="181">
        <f t="shared" ref="O81:O101" si="29">M81-N81</f>
        <v>30</v>
      </c>
      <c r="P81" s="12"/>
      <c r="Q81" s="181">
        <f t="shared" ref="Q81:Q101" si="30">K81-P81</f>
        <v>197238</v>
      </c>
      <c r="R81" s="179">
        <f t="shared" ref="R81:R101" si="31">L81*K81</f>
        <v>443785.5</v>
      </c>
      <c r="S81" s="179">
        <f>'MSPL-2(LOT)'!H226+'MSPL-2(LOT)'!H258+'MSPL-2(LOT)'!H290+'MSPL-2(LOT)'!H322+'MSPL-2(LOT)'!H354</f>
        <v>0</v>
      </c>
      <c r="T81" s="179">
        <f t="shared" si="20"/>
        <v>443785.5</v>
      </c>
      <c r="U81" s="179">
        <f t="shared" si="21"/>
        <v>0</v>
      </c>
      <c r="V81" s="179">
        <f t="shared" si="22"/>
        <v>197238</v>
      </c>
      <c r="W81" s="179">
        <f>'MSPL-2(LOT)'!L226+'MSPL-2(LOT)'!L258+'MSPL-2(LOT)'!L290+'MSPL-2(LOT)'!L322+'MSPL-2(LOT)'!L354</f>
        <v>0</v>
      </c>
      <c r="X81" s="179">
        <f t="shared" si="23"/>
        <v>197238</v>
      </c>
      <c r="Y81" s="179">
        <f>'MSPL-2(LOT)'!N226+'MSPL-2(LOT)'!N258+'MSPL-2(LOT)'!N290+'MSPL-2(LOT)'!N322+'MSPL-2(LOT)'!N354</f>
        <v>0</v>
      </c>
      <c r="Z81" s="179">
        <f t="shared" si="24"/>
        <v>197238</v>
      </c>
      <c r="AA81" s="179">
        <f t="shared" ref="AA81:AA101" si="32">W81-Y81</f>
        <v>0</v>
      </c>
      <c r="AB81" s="179">
        <f t="shared" si="25"/>
        <v>0</v>
      </c>
      <c r="AC81" s="179">
        <f t="shared" ref="AC81:AC101" si="33">U81-W81</f>
        <v>0</v>
      </c>
      <c r="AD81" s="179">
        <f t="shared" si="26"/>
        <v>1676.5229999999999</v>
      </c>
      <c r="AE81" s="179">
        <f t="shared" ref="AE81:AE101" si="34">AD81/75</f>
        <v>22.353639999999999</v>
      </c>
      <c r="AF81" s="179">
        <f t="shared" si="27"/>
        <v>0</v>
      </c>
      <c r="AG81" s="179">
        <f t="shared" ref="AG81:AG101" si="35">AE81-AF81</f>
        <v>22.353639999999999</v>
      </c>
      <c r="AH81" s="6"/>
    </row>
    <row r="82" spans="1:34" s="38" customFormat="1" ht="15.75">
      <c r="A82" s="181">
        <v>3</v>
      </c>
      <c r="B82" s="190" t="s">
        <v>56</v>
      </c>
      <c r="C82" s="181" t="s">
        <v>195</v>
      </c>
      <c r="D82" s="191">
        <v>16.5</v>
      </c>
      <c r="E82" s="191"/>
      <c r="F82" s="181">
        <v>33510</v>
      </c>
      <c r="G82" s="181">
        <v>44370</v>
      </c>
      <c r="H82" s="181">
        <v>38150</v>
      </c>
      <c r="I82" s="181">
        <v>53593</v>
      </c>
      <c r="J82" s="181">
        <v>27615</v>
      </c>
      <c r="K82" s="181">
        <f t="shared" si="28"/>
        <v>197238</v>
      </c>
      <c r="L82" s="181">
        <v>4.25</v>
      </c>
      <c r="M82" s="181">
        <v>54</v>
      </c>
      <c r="N82" s="12"/>
      <c r="O82" s="181">
        <f t="shared" si="29"/>
        <v>54</v>
      </c>
      <c r="P82" s="12"/>
      <c r="Q82" s="181">
        <f t="shared" si="30"/>
        <v>197238</v>
      </c>
      <c r="R82" s="179">
        <f t="shared" si="31"/>
        <v>838261.5</v>
      </c>
      <c r="S82" s="179">
        <f>'MSPL-2(LOT)'!H227+'MSPL-2(LOT)'!H259+'MSPL-2(LOT)'!H291+'MSPL-2(LOT)'!H323+'MSPL-2(LOT)'!H355</f>
        <v>0</v>
      </c>
      <c r="T82" s="179">
        <f t="shared" si="20"/>
        <v>838261.5</v>
      </c>
      <c r="U82" s="179">
        <f t="shared" si="21"/>
        <v>0</v>
      </c>
      <c r="V82" s="179">
        <f t="shared" si="22"/>
        <v>197238</v>
      </c>
      <c r="W82" s="179">
        <f>'MSPL-2(LOT)'!L227+'MSPL-2(LOT)'!L259+'MSPL-2(LOT)'!L291+'MSPL-2(LOT)'!L323+'MSPL-2(LOT)'!L355</f>
        <v>0</v>
      </c>
      <c r="X82" s="179">
        <f t="shared" si="23"/>
        <v>197238</v>
      </c>
      <c r="Y82" s="179">
        <f>'MSPL-2(LOT)'!N227+'MSPL-2(LOT)'!N259+'MSPL-2(LOT)'!N291+'MSPL-2(LOT)'!N323+'MSPL-2(LOT)'!N355</f>
        <v>0</v>
      </c>
      <c r="Z82" s="179">
        <f t="shared" si="24"/>
        <v>197238</v>
      </c>
      <c r="AA82" s="179">
        <f t="shared" si="32"/>
        <v>0</v>
      </c>
      <c r="AB82" s="179">
        <f t="shared" si="25"/>
        <v>0</v>
      </c>
      <c r="AC82" s="179">
        <f t="shared" si="33"/>
        <v>0</v>
      </c>
      <c r="AD82" s="179">
        <f t="shared" si="26"/>
        <v>3254.4270000000001</v>
      </c>
      <c r="AE82" s="179">
        <f t="shared" si="34"/>
        <v>43.392360000000004</v>
      </c>
      <c r="AF82" s="179">
        <f t="shared" si="27"/>
        <v>0</v>
      </c>
      <c r="AG82" s="179">
        <f t="shared" si="35"/>
        <v>43.392360000000004</v>
      </c>
      <c r="AH82" s="6"/>
    </row>
    <row r="83" spans="1:34" s="38" customFormat="1" ht="15.75">
      <c r="A83" s="181">
        <v>4</v>
      </c>
      <c r="B83" s="190" t="s">
        <v>27</v>
      </c>
      <c r="C83" s="181" t="s">
        <v>195</v>
      </c>
      <c r="D83" s="191">
        <v>15</v>
      </c>
      <c r="E83" s="192"/>
      <c r="F83" s="181">
        <v>33510</v>
      </c>
      <c r="G83" s="181">
        <v>44370</v>
      </c>
      <c r="H83" s="181">
        <v>38150</v>
      </c>
      <c r="I83" s="181">
        <v>53593</v>
      </c>
      <c r="J83" s="181">
        <v>27615</v>
      </c>
      <c r="K83" s="181">
        <f t="shared" si="28"/>
        <v>197238</v>
      </c>
      <c r="L83" s="181">
        <v>4.25</v>
      </c>
      <c r="M83" s="181">
        <v>48</v>
      </c>
      <c r="N83" s="12"/>
      <c r="O83" s="181">
        <f t="shared" si="29"/>
        <v>48</v>
      </c>
      <c r="P83" s="12"/>
      <c r="Q83" s="181">
        <f t="shared" si="30"/>
        <v>197238</v>
      </c>
      <c r="R83" s="179">
        <f t="shared" si="31"/>
        <v>838261.5</v>
      </c>
      <c r="S83" s="179">
        <f>'MSPL-2(LOT)'!H228+'MSPL-2(LOT)'!H260+'MSPL-2(LOT)'!H292+'MSPL-2(LOT)'!H324+'MSPL-2(LOT)'!H356</f>
        <v>0</v>
      </c>
      <c r="T83" s="179">
        <f t="shared" si="20"/>
        <v>838261.5</v>
      </c>
      <c r="U83" s="179">
        <f t="shared" si="21"/>
        <v>0</v>
      </c>
      <c r="V83" s="179">
        <f t="shared" si="22"/>
        <v>197238</v>
      </c>
      <c r="W83" s="179">
        <f>'MSPL-2(LOT)'!L228+'MSPL-2(LOT)'!L260+'MSPL-2(LOT)'!L292+'MSPL-2(LOT)'!L324+'MSPL-2(LOT)'!L356</f>
        <v>0</v>
      </c>
      <c r="X83" s="179">
        <f t="shared" si="23"/>
        <v>197238</v>
      </c>
      <c r="Y83" s="179">
        <f>'MSPL-2(LOT)'!N228+'MSPL-2(LOT)'!N260+'MSPL-2(LOT)'!N292+'MSPL-2(LOT)'!N324+'MSPL-2(LOT)'!N356</f>
        <v>0</v>
      </c>
      <c r="Z83" s="179">
        <f t="shared" si="24"/>
        <v>197238</v>
      </c>
      <c r="AA83" s="179">
        <f t="shared" si="32"/>
        <v>0</v>
      </c>
      <c r="AB83" s="179">
        <f t="shared" si="25"/>
        <v>0</v>
      </c>
      <c r="AC83" s="179">
        <f t="shared" si="33"/>
        <v>0</v>
      </c>
      <c r="AD83" s="179">
        <f t="shared" si="26"/>
        <v>2958.57</v>
      </c>
      <c r="AE83" s="179">
        <f t="shared" si="34"/>
        <v>39.447600000000001</v>
      </c>
      <c r="AF83" s="179">
        <f t="shared" si="27"/>
        <v>0</v>
      </c>
      <c r="AG83" s="179">
        <f t="shared" si="35"/>
        <v>39.447600000000001</v>
      </c>
      <c r="AH83" s="6"/>
    </row>
    <row r="84" spans="1:34" s="38" customFormat="1" ht="15.75">
      <c r="A84" s="181">
        <v>5</v>
      </c>
      <c r="B84" s="190" t="s">
        <v>150</v>
      </c>
      <c r="C84" s="181" t="s">
        <v>195</v>
      </c>
      <c r="D84" s="191">
        <v>26</v>
      </c>
      <c r="E84" s="191"/>
      <c r="F84" s="181">
        <v>33510</v>
      </c>
      <c r="G84" s="181">
        <v>44370</v>
      </c>
      <c r="H84" s="181">
        <v>38150</v>
      </c>
      <c r="I84" s="181">
        <v>53593</v>
      </c>
      <c r="J84" s="181">
        <v>27615</v>
      </c>
      <c r="K84" s="181">
        <f t="shared" si="28"/>
        <v>197238</v>
      </c>
      <c r="L84" s="181">
        <v>7</v>
      </c>
      <c r="M84" s="181">
        <v>78</v>
      </c>
      <c r="N84" s="12"/>
      <c r="O84" s="181">
        <f t="shared" si="29"/>
        <v>78</v>
      </c>
      <c r="P84" s="12"/>
      <c r="Q84" s="181">
        <f t="shared" si="30"/>
        <v>197238</v>
      </c>
      <c r="R84" s="179">
        <f t="shared" si="31"/>
        <v>1380666</v>
      </c>
      <c r="S84" s="179">
        <f>'MSPL-2(LOT)'!H229+'MSPL-2(LOT)'!H261+'MSPL-2(LOT)'!H293+'MSPL-2(LOT)'!H325+'MSPL-2(LOT)'!H357</f>
        <v>0</v>
      </c>
      <c r="T84" s="179">
        <f t="shared" si="20"/>
        <v>1380666</v>
      </c>
      <c r="U84" s="179">
        <f t="shared" si="21"/>
        <v>0</v>
      </c>
      <c r="V84" s="179">
        <f t="shared" si="22"/>
        <v>197238</v>
      </c>
      <c r="W84" s="179">
        <f>'MSPL-2(LOT)'!L229+'MSPL-2(LOT)'!L261+'MSPL-2(LOT)'!L293+'MSPL-2(LOT)'!L325+'MSPL-2(LOT)'!L357</f>
        <v>0</v>
      </c>
      <c r="X84" s="179">
        <f t="shared" si="23"/>
        <v>197238</v>
      </c>
      <c r="Y84" s="179">
        <f>'MSPL-2(LOT)'!N229+'MSPL-2(LOT)'!N261+'MSPL-2(LOT)'!N293+'MSPL-2(LOT)'!N325+'MSPL-2(LOT)'!N357</f>
        <v>0</v>
      </c>
      <c r="Z84" s="179">
        <f t="shared" si="24"/>
        <v>197238</v>
      </c>
      <c r="AA84" s="179">
        <f t="shared" si="32"/>
        <v>0</v>
      </c>
      <c r="AB84" s="179">
        <f t="shared" si="25"/>
        <v>0</v>
      </c>
      <c r="AC84" s="179">
        <f t="shared" si="33"/>
        <v>0</v>
      </c>
      <c r="AD84" s="179">
        <f t="shared" si="26"/>
        <v>5128.1880000000001</v>
      </c>
      <c r="AE84" s="179">
        <f t="shared" si="34"/>
        <v>68.375839999999997</v>
      </c>
      <c r="AF84" s="179">
        <f t="shared" si="27"/>
        <v>0</v>
      </c>
      <c r="AG84" s="179">
        <f t="shared" si="35"/>
        <v>68.375839999999997</v>
      </c>
      <c r="AH84" s="6"/>
    </row>
    <row r="85" spans="1:34" s="38" customFormat="1" ht="15.75">
      <c r="A85" s="181">
        <v>6</v>
      </c>
      <c r="B85" s="190" t="s">
        <v>31</v>
      </c>
      <c r="C85" s="181" t="s">
        <v>195</v>
      </c>
      <c r="D85" s="191">
        <v>22.5</v>
      </c>
      <c r="E85" s="192"/>
      <c r="F85" s="181">
        <v>33510</v>
      </c>
      <c r="G85" s="181">
        <v>44370</v>
      </c>
      <c r="H85" s="181">
        <v>38150</v>
      </c>
      <c r="I85" s="181">
        <v>53593</v>
      </c>
      <c r="J85" s="181">
        <v>27615</v>
      </c>
      <c r="K85" s="181">
        <f t="shared" si="28"/>
        <v>197238</v>
      </c>
      <c r="L85" s="181">
        <v>6.25</v>
      </c>
      <c r="M85" s="181">
        <v>72</v>
      </c>
      <c r="N85" s="12"/>
      <c r="O85" s="181">
        <f t="shared" si="29"/>
        <v>72</v>
      </c>
      <c r="P85" s="12"/>
      <c r="Q85" s="181">
        <f t="shared" si="30"/>
        <v>197238</v>
      </c>
      <c r="R85" s="179">
        <f t="shared" si="31"/>
        <v>1232737.5</v>
      </c>
      <c r="S85" s="179">
        <f>'MSPL-2(LOT)'!H230+'MSPL-2(LOT)'!H262+'MSPL-2(LOT)'!H294+'MSPL-2(LOT)'!H326+'MSPL-2(LOT)'!H358</f>
        <v>0</v>
      </c>
      <c r="T85" s="179">
        <f t="shared" si="20"/>
        <v>1232737.5</v>
      </c>
      <c r="U85" s="179">
        <f t="shared" si="21"/>
        <v>0</v>
      </c>
      <c r="V85" s="179">
        <f t="shared" si="22"/>
        <v>197238</v>
      </c>
      <c r="W85" s="179">
        <f>'MSPL-2(LOT)'!L230+'MSPL-2(LOT)'!L262+'MSPL-2(LOT)'!L294+'MSPL-2(LOT)'!L326+'MSPL-2(LOT)'!L358</f>
        <v>0</v>
      </c>
      <c r="X85" s="179">
        <f t="shared" si="23"/>
        <v>197238</v>
      </c>
      <c r="Y85" s="179">
        <f>'MSPL-2(LOT)'!N230+'MSPL-2(LOT)'!N262+'MSPL-2(LOT)'!N294+'MSPL-2(LOT)'!N326+'MSPL-2(LOT)'!N358</f>
        <v>0</v>
      </c>
      <c r="Z85" s="179">
        <f t="shared" si="24"/>
        <v>197238</v>
      </c>
      <c r="AA85" s="179">
        <f t="shared" si="32"/>
        <v>0</v>
      </c>
      <c r="AB85" s="179">
        <f t="shared" si="25"/>
        <v>0</v>
      </c>
      <c r="AC85" s="179">
        <f t="shared" si="33"/>
        <v>0</v>
      </c>
      <c r="AD85" s="179">
        <f t="shared" si="26"/>
        <v>4437.8549999999996</v>
      </c>
      <c r="AE85" s="179">
        <f t="shared" si="34"/>
        <v>59.171399999999991</v>
      </c>
      <c r="AF85" s="179">
        <f t="shared" si="27"/>
        <v>0</v>
      </c>
      <c r="AG85" s="179">
        <f t="shared" si="35"/>
        <v>59.171399999999991</v>
      </c>
      <c r="AH85" s="6"/>
    </row>
    <row r="86" spans="1:34" s="38" customFormat="1" ht="15.75">
      <c r="A86" s="181">
        <v>7</v>
      </c>
      <c r="B86" s="190" t="s">
        <v>72</v>
      </c>
      <c r="C86" s="181" t="s">
        <v>195</v>
      </c>
      <c r="D86" s="191">
        <v>14.5</v>
      </c>
      <c r="E86" s="191"/>
      <c r="F86" s="181">
        <v>33510</v>
      </c>
      <c r="G86" s="181">
        <v>44370</v>
      </c>
      <c r="H86" s="181">
        <v>38150</v>
      </c>
      <c r="I86" s="181">
        <v>53593</v>
      </c>
      <c r="J86" s="181">
        <v>27615</v>
      </c>
      <c r="K86" s="181">
        <f t="shared" si="28"/>
        <v>197238</v>
      </c>
      <c r="L86" s="181">
        <v>4.25</v>
      </c>
      <c r="M86" s="181">
        <v>48</v>
      </c>
      <c r="N86" s="12"/>
      <c r="O86" s="181">
        <f t="shared" si="29"/>
        <v>48</v>
      </c>
      <c r="P86" s="12"/>
      <c r="Q86" s="181">
        <f t="shared" si="30"/>
        <v>197238</v>
      </c>
      <c r="R86" s="179">
        <f t="shared" si="31"/>
        <v>838261.5</v>
      </c>
      <c r="S86" s="179">
        <f>'MSPL-2(LOT)'!H231+'MSPL-2(LOT)'!H263+'MSPL-2(LOT)'!H295+'MSPL-2(LOT)'!H327+'MSPL-2(LOT)'!H359</f>
        <v>0</v>
      </c>
      <c r="T86" s="179">
        <f t="shared" si="20"/>
        <v>838261.5</v>
      </c>
      <c r="U86" s="179">
        <f t="shared" si="21"/>
        <v>0</v>
      </c>
      <c r="V86" s="179">
        <f t="shared" si="22"/>
        <v>197238</v>
      </c>
      <c r="W86" s="179">
        <f>'MSPL-2(LOT)'!L231+'MSPL-2(LOT)'!L263+'MSPL-2(LOT)'!L295+'MSPL-2(LOT)'!L327+'MSPL-2(LOT)'!L359</f>
        <v>0</v>
      </c>
      <c r="X86" s="179">
        <f t="shared" si="23"/>
        <v>197238</v>
      </c>
      <c r="Y86" s="179">
        <f>'MSPL-2(LOT)'!N231+'MSPL-2(LOT)'!N263+'MSPL-2(LOT)'!N295+'MSPL-2(LOT)'!N327+'MSPL-2(LOT)'!N359</f>
        <v>0</v>
      </c>
      <c r="Z86" s="179">
        <f t="shared" si="24"/>
        <v>197238</v>
      </c>
      <c r="AA86" s="179">
        <f t="shared" si="32"/>
        <v>0</v>
      </c>
      <c r="AB86" s="179">
        <f t="shared" si="25"/>
        <v>0</v>
      </c>
      <c r="AC86" s="179">
        <f t="shared" si="33"/>
        <v>0</v>
      </c>
      <c r="AD86" s="179">
        <f t="shared" si="26"/>
        <v>2859.951</v>
      </c>
      <c r="AE86" s="179">
        <f t="shared" si="34"/>
        <v>38.132680000000001</v>
      </c>
      <c r="AF86" s="179">
        <f t="shared" si="27"/>
        <v>0</v>
      </c>
      <c r="AG86" s="179">
        <f t="shared" si="35"/>
        <v>38.132680000000001</v>
      </c>
      <c r="AH86" s="6"/>
    </row>
    <row r="87" spans="1:34" s="38" customFormat="1" ht="15.75">
      <c r="A87" s="181">
        <v>8</v>
      </c>
      <c r="B87" s="190" t="s">
        <v>32</v>
      </c>
      <c r="C87" s="181" t="s">
        <v>195</v>
      </c>
      <c r="D87" s="191">
        <v>20.5</v>
      </c>
      <c r="E87" s="191"/>
      <c r="F87" s="181">
        <v>33510</v>
      </c>
      <c r="G87" s="181">
        <v>44460</v>
      </c>
      <c r="H87" s="181">
        <v>38150</v>
      </c>
      <c r="I87" s="181">
        <v>53593</v>
      </c>
      <c r="J87" s="181">
        <v>27615</v>
      </c>
      <c r="K87" s="181">
        <f t="shared" si="28"/>
        <v>197328</v>
      </c>
      <c r="L87" s="181">
        <v>5.25</v>
      </c>
      <c r="M87" s="181">
        <v>66</v>
      </c>
      <c r="N87" s="12"/>
      <c r="O87" s="181">
        <f t="shared" si="29"/>
        <v>66</v>
      </c>
      <c r="P87" s="12"/>
      <c r="Q87" s="181">
        <f t="shared" si="30"/>
        <v>197328</v>
      </c>
      <c r="R87" s="179">
        <f t="shared" si="31"/>
        <v>1035972</v>
      </c>
      <c r="S87" s="179">
        <f>'MSPL-2(LOT)'!H232+'MSPL-2(LOT)'!H264+'MSPL-2(LOT)'!H296+'MSPL-2(LOT)'!H328+'MSPL-2(LOT)'!H360</f>
        <v>0</v>
      </c>
      <c r="T87" s="179">
        <f t="shared" si="20"/>
        <v>1035972</v>
      </c>
      <c r="U87" s="179">
        <f t="shared" si="21"/>
        <v>0</v>
      </c>
      <c r="V87" s="179">
        <f t="shared" si="22"/>
        <v>197328</v>
      </c>
      <c r="W87" s="179">
        <f>'MSPL-2(LOT)'!L232+'MSPL-2(LOT)'!L264+'MSPL-2(LOT)'!L296+'MSPL-2(LOT)'!L328+'MSPL-2(LOT)'!L360</f>
        <v>0</v>
      </c>
      <c r="X87" s="179">
        <f t="shared" si="23"/>
        <v>197328</v>
      </c>
      <c r="Y87" s="179">
        <f>'MSPL-2(LOT)'!N232+'MSPL-2(LOT)'!N264+'MSPL-2(LOT)'!N296+'MSPL-2(LOT)'!N328+'MSPL-2(LOT)'!N360</f>
        <v>0</v>
      </c>
      <c r="Z87" s="179">
        <f t="shared" si="24"/>
        <v>197328</v>
      </c>
      <c r="AA87" s="179">
        <f t="shared" si="32"/>
        <v>0</v>
      </c>
      <c r="AB87" s="179">
        <f t="shared" si="25"/>
        <v>0</v>
      </c>
      <c r="AC87" s="179">
        <f t="shared" si="33"/>
        <v>0</v>
      </c>
      <c r="AD87" s="179">
        <f t="shared" si="26"/>
        <v>4045.2240000000002</v>
      </c>
      <c r="AE87" s="179">
        <f t="shared" si="34"/>
        <v>53.936320000000002</v>
      </c>
      <c r="AF87" s="179">
        <f t="shared" si="27"/>
        <v>0</v>
      </c>
      <c r="AG87" s="179">
        <f t="shared" si="35"/>
        <v>53.936320000000002</v>
      </c>
      <c r="AH87" s="6"/>
    </row>
    <row r="88" spans="1:34" s="11" customFormat="1" ht="15.75">
      <c r="A88" s="181">
        <v>9</v>
      </c>
      <c r="B88" s="190" t="s">
        <v>43</v>
      </c>
      <c r="C88" s="181" t="s">
        <v>195</v>
      </c>
      <c r="D88" s="191">
        <v>7.5</v>
      </c>
      <c r="E88" s="191"/>
      <c r="F88" s="181">
        <v>1570</v>
      </c>
      <c r="G88" s="181">
        <v>1750</v>
      </c>
      <c r="H88" s="181">
        <v>7580</v>
      </c>
      <c r="I88" s="181">
        <v>6590</v>
      </c>
      <c r="J88" s="181">
        <v>2100</v>
      </c>
      <c r="K88" s="181">
        <f t="shared" si="28"/>
        <v>19590</v>
      </c>
      <c r="L88" s="181">
        <v>2.75</v>
      </c>
      <c r="M88" s="181">
        <v>10</v>
      </c>
      <c r="N88" s="12"/>
      <c r="O88" s="181">
        <f t="shared" si="29"/>
        <v>10</v>
      </c>
      <c r="P88" s="12"/>
      <c r="Q88" s="181">
        <f t="shared" si="30"/>
        <v>19590</v>
      </c>
      <c r="R88" s="179">
        <f t="shared" si="31"/>
        <v>53872.5</v>
      </c>
      <c r="S88" s="179">
        <f>'MSPL-2(LOT)'!H233+'MSPL-2(LOT)'!H265+'MSPL-2(LOT)'!H297+'MSPL-2(LOT)'!H329+'MSPL-2(LOT)'!H361</f>
        <v>0</v>
      </c>
      <c r="T88" s="179">
        <f t="shared" si="20"/>
        <v>53872.5</v>
      </c>
      <c r="U88" s="179">
        <f t="shared" si="21"/>
        <v>0</v>
      </c>
      <c r="V88" s="179">
        <f t="shared" si="22"/>
        <v>19590</v>
      </c>
      <c r="W88" s="179">
        <f>'MSPL-2(LOT)'!L233+'MSPL-2(LOT)'!L265+'MSPL-2(LOT)'!L297+'MSPL-2(LOT)'!L329+'MSPL-2(LOT)'!L361</f>
        <v>0</v>
      </c>
      <c r="X88" s="179">
        <f t="shared" si="23"/>
        <v>19590</v>
      </c>
      <c r="Y88" s="179">
        <f>'MSPL-2(LOT)'!N233+'MSPL-2(LOT)'!N265+'MSPL-2(LOT)'!N297+'MSPL-2(LOT)'!N329+'MSPL-2(LOT)'!N361</f>
        <v>0</v>
      </c>
      <c r="Z88" s="179">
        <f t="shared" si="24"/>
        <v>19590</v>
      </c>
      <c r="AA88" s="179">
        <f t="shared" si="32"/>
        <v>0</v>
      </c>
      <c r="AB88" s="179">
        <f t="shared" si="25"/>
        <v>0</v>
      </c>
      <c r="AC88" s="179">
        <f t="shared" si="33"/>
        <v>0</v>
      </c>
      <c r="AD88" s="179">
        <f t="shared" si="26"/>
        <v>146.92500000000001</v>
      </c>
      <c r="AE88" s="179">
        <f t="shared" si="34"/>
        <v>1.9590000000000001</v>
      </c>
      <c r="AF88" s="179">
        <f t="shared" si="27"/>
        <v>0</v>
      </c>
      <c r="AG88" s="179">
        <f t="shared" si="35"/>
        <v>1.9590000000000001</v>
      </c>
      <c r="AH88" s="155"/>
    </row>
    <row r="89" spans="1:34" s="11" customFormat="1" ht="15.75">
      <c r="A89" s="181">
        <v>10</v>
      </c>
      <c r="B89" s="190" t="s">
        <v>73</v>
      </c>
      <c r="C89" s="181" t="s">
        <v>195</v>
      </c>
      <c r="D89" s="191">
        <v>9.5</v>
      </c>
      <c r="E89" s="191"/>
      <c r="F89" s="181">
        <v>33510</v>
      </c>
      <c r="G89" s="181">
        <v>44370</v>
      </c>
      <c r="H89" s="181">
        <v>38150</v>
      </c>
      <c r="I89" s="181">
        <v>53593</v>
      </c>
      <c r="J89" s="181">
        <v>27615</v>
      </c>
      <c r="K89" s="181">
        <f t="shared" si="28"/>
        <v>197238</v>
      </c>
      <c r="L89" s="181">
        <v>4.75</v>
      </c>
      <c r="M89" s="181">
        <v>120</v>
      </c>
      <c r="N89" s="12"/>
      <c r="O89" s="181">
        <f t="shared" si="29"/>
        <v>120</v>
      </c>
      <c r="P89" s="12"/>
      <c r="Q89" s="181">
        <f t="shared" si="30"/>
        <v>197238</v>
      </c>
      <c r="R89" s="179">
        <f t="shared" si="31"/>
        <v>936880.5</v>
      </c>
      <c r="S89" s="179">
        <f>'MSPL-2(LOT)'!H234+'MSPL-2(LOT)'!H266+'MSPL-2(LOT)'!H298+'MSPL-2(LOT)'!H330+'MSPL-2(LOT)'!H362</f>
        <v>0</v>
      </c>
      <c r="T89" s="179">
        <f t="shared" si="20"/>
        <v>936880.5</v>
      </c>
      <c r="U89" s="179">
        <f t="shared" si="21"/>
        <v>0</v>
      </c>
      <c r="V89" s="179">
        <f t="shared" si="22"/>
        <v>197238</v>
      </c>
      <c r="W89" s="179">
        <f>'MSPL-2(LOT)'!L234+'MSPL-2(LOT)'!L266+'MSPL-2(LOT)'!L298+'MSPL-2(LOT)'!L330+'MSPL-2(LOT)'!L362</f>
        <v>0</v>
      </c>
      <c r="X89" s="179">
        <f t="shared" si="23"/>
        <v>197238</v>
      </c>
      <c r="Y89" s="179">
        <f>'MSPL-2(LOT)'!N234+'MSPL-2(LOT)'!N266+'MSPL-2(LOT)'!N298+'MSPL-2(LOT)'!N330+'MSPL-2(LOT)'!N362</f>
        <v>0</v>
      </c>
      <c r="Z89" s="179">
        <f t="shared" si="24"/>
        <v>197238</v>
      </c>
      <c r="AA89" s="179">
        <f t="shared" si="32"/>
        <v>0</v>
      </c>
      <c r="AB89" s="179">
        <f t="shared" si="25"/>
        <v>0</v>
      </c>
      <c r="AC89" s="179">
        <f t="shared" si="33"/>
        <v>0</v>
      </c>
      <c r="AD89" s="179">
        <f t="shared" si="26"/>
        <v>1873.761</v>
      </c>
      <c r="AE89" s="179">
        <f t="shared" si="34"/>
        <v>24.98348</v>
      </c>
      <c r="AF89" s="179">
        <f t="shared" si="27"/>
        <v>0</v>
      </c>
      <c r="AG89" s="179">
        <f t="shared" si="35"/>
        <v>24.98348</v>
      </c>
      <c r="AH89" s="155"/>
    </row>
    <row r="90" spans="1:34" s="11" customFormat="1" ht="15.75">
      <c r="A90" s="181">
        <v>11</v>
      </c>
      <c r="B90" s="190" t="s">
        <v>74</v>
      </c>
      <c r="C90" s="181" t="s">
        <v>195</v>
      </c>
      <c r="D90" s="191">
        <v>9</v>
      </c>
      <c r="E90" s="191"/>
      <c r="F90" s="181">
        <v>1500</v>
      </c>
      <c r="G90" s="181">
        <v>1000</v>
      </c>
      <c r="H90" s="181">
        <v>450</v>
      </c>
      <c r="I90" s="181">
        <v>717</v>
      </c>
      <c r="J90" s="181"/>
      <c r="K90" s="181">
        <f t="shared" si="28"/>
        <v>3667</v>
      </c>
      <c r="L90" s="181">
        <v>2.5</v>
      </c>
      <c r="M90" s="181">
        <v>10</v>
      </c>
      <c r="N90" s="12"/>
      <c r="O90" s="181">
        <f t="shared" si="29"/>
        <v>10</v>
      </c>
      <c r="P90" s="12"/>
      <c r="Q90" s="181">
        <f t="shared" si="30"/>
        <v>3667</v>
      </c>
      <c r="R90" s="179">
        <f t="shared" si="31"/>
        <v>9167.5</v>
      </c>
      <c r="S90" s="179">
        <f>'MSPL-2(LOT)'!H235+'MSPL-2(LOT)'!H267+'MSPL-2(LOT)'!H299+'MSPL-2(LOT)'!H331+'MSPL-2(LOT)'!H363</f>
        <v>0</v>
      </c>
      <c r="T90" s="179">
        <f t="shared" si="20"/>
        <v>9167.5</v>
      </c>
      <c r="U90" s="179">
        <f t="shared" si="21"/>
        <v>0</v>
      </c>
      <c r="V90" s="179">
        <f t="shared" si="22"/>
        <v>3667</v>
      </c>
      <c r="W90" s="179">
        <f>'MSPL-2(LOT)'!L235+'MSPL-2(LOT)'!L267+'MSPL-2(LOT)'!L299+'MSPL-2(LOT)'!L331+'MSPL-2(LOT)'!L363</f>
        <v>0</v>
      </c>
      <c r="X90" s="179">
        <f t="shared" si="23"/>
        <v>3667</v>
      </c>
      <c r="Y90" s="179">
        <f>'MSPL-2(LOT)'!N235+'MSPL-2(LOT)'!N267+'MSPL-2(LOT)'!N299+'MSPL-2(LOT)'!N331+'MSPL-2(LOT)'!N363</f>
        <v>0</v>
      </c>
      <c r="Z90" s="179">
        <f t="shared" si="24"/>
        <v>3667</v>
      </c>
      <c r="AA90" s="179">
        <f t="shared" si="32"/>
        <v>0</v>
      </c>
      <c r="AB90" s="179">
        <f t="shared" si="25"/>
        <v>0</v>
      </c>
      <c r="AC90" s="179">
        <f t="shared" si="33"/>
        <v>0</v>
      </c>
      <c r="AD90" s="179">
        <f t="shared" si="26"/>
        <v>33.003</v>
      </c>
      <c r="AE90" s="179">
        <f t="shared" si="34"/>
        <v>0.44003999999999999</v>
      </c>
      <c r="AF90" s="179">
        <f t="shared" si="27"/>
        <v>0</v>
      </c>
      <c r="AG90" s="179">
        <f t="shared" si="35"/>
        <v>0.44003999999999999</v>
      </c>
      <c r="AH90" s="155"/>
    </row>
    <row r="91" spans="1:34" s="11" customFormat="1" ht="15.75">
      <c r="A91" s="181">
        <v>12</v>
      </c>
      <c r="B91" s="190" t="s">
        <v>192</v>
      </c>
      <c r="C91" s="181" t="s">
        <v>195</v>
      </c>
      <c r="D91" s="191">
        <v>7</v>
      </c>
      <c r="E91" s="191"/>
      <c r="F91" s="181">
        <v>1760</v>
      </c>
      <c r="G91" s="181"/>
      <c r="H91" s="181">
        <v>800</v>
      </c>
      <c r="I91" s="181"/>
      <c r="J91" s="181"/>
      <c r="K91" s="181">
        <f t="shared" si="28"/>
        <v>2560</v>
      </c>
      <c r="L91" s="181">
        <v>2.5</v>
      </c>
      <c r="M91" s="181">
        <v>8</v>
      </c>
      <c r="N91" s="12"/>
      <c r="O91" s="181">
        <f t="shared" si="29"/>
        <v>8</v>
      </c>
      <c r="P91" s="12"/>
      <c r="Q91" s="181">
        <f t="shared" si="30"/>
        <v>2560</v>
      </c>
      <c r="R91" s="179">
        <f t="shared" si="31"/>
        <v>6400</v>
      </c>
      <c r="S91" s="179">
        <f>'MSPL-2(LOT)'!H236+'MSPL-2(LOT)'!H268+'MSPL-2(LOT)'!H300+'MSPL-2(LOT)'!H332+'MSPL-2(LOT)'!H364</f>
        <v>0</v>
      </c>
      <c r="T91" s="179">
        <f t="shared" si="20"/>
        <v>6400</v>
      </c>
      <c r="U91" s="179">
        <f t="shared" si="21"/>
        <v>0</v>
      </c>
      <c r="V91" s="179">
        <f t="shared" si="22"/>
        <v>2560</v>
      </c>
      <c r="W91" s="179">
        <f>'MSPL-2(LOT)'!L236+'MSPL-2(LOT)'!L268+'MSPL-2(LOT)'!L300+'MSPL-2(LOT)'!L332+'MSPL-2(LOT)'!L364</f>
        <v>0</v>
      </c>
      <c r="X91" s="179">
        <f t="shared" si="23"/>
        <v>2560</v>
      </c>
      <c r="Y91" s="179">
        <f>'MSPL-2(LOT)'!N236+'MSPL-2(LOT)'!N268+'MSPL-2(LOT)'!N300+'MSPL-2(LOT)'!N332+'MSPL-2(LOT)'!N364</f>
        <v>0</v>
      </c>
      <c r="Z91" s="179">
        <f t="shared" si="24"/>
        <v>2560</v>
      </c>
      <c r="AA91" s="179">
        <f t="shared" si="32"/>
        <v>0</v>
      </c>
      <c r="AB91" s="179">
        <f t="shared" si="25"/>
        <v>0</v>
      </c>
      <c r="AC91" s="179">
        <f t="shared" si="33"/>
        <v>0</v>
      </c>
      <c r="AD91" s="179">
        <f t="shared" si="26"/>
        <v>17.920000000000002</v>
      </c>
      <c r="AE91" s="179">
        <f t="shared" si="34"/>
        <v>0.23893333333333336</v>
      </c>
      <c r="AF91" s="179">
        <f t="shared" si="27"/>
        <v>0</v>
      </c>
      <c r="AG91" s="179">
        <f t="shared" si="35"/>
        <v>0.23893333333333336</v>
      </c>
      <c r="AH91" s="155"/>
    </row>
    <row r="92" spans="1:34" s="11" customFormat="1" ht="15.75">
      <c r="A92" s="181">
        <v>13</v>
      </c>
      <c r="B92" s="190" t="s">
        <v>47</v>
      </c>
      <c r="C92" s="181" t="s">
        <v>195</v>
      </c>
      <c r="D92" s="191">
        <v>16</v>
      </c>
      <c r="E92" s="191"/>
      <c r="F92" s="181">
        <v>20650</v>
      </c>
      <c r="G92" s="181">
        <v>34660</v>
      </c>
      <c r="H92" s="181">
        <v>27780</v>
      </c>
      <c r="I92" s="181">
        <v>40016</v>
      </c>
      <c r="J92" s="181">
        <v>25015</v>
      </c>
      <c r="K92" s="181">
        <f t="shared" si="28"/>
        <v>148121</v>
      </c>
      <c r="L92" s="181">
        <v>4</v>
      </c>
      <c r="M92" s="181">
        <v>48</v>
      </c>
      <c r="N92" s="12"/>
      <c r="O92" s="181">
        <f t="shared" si="29"/>
        <v>48</v>
      </c>
      <c r="P92" s="12"/>
      <c r="Q92" s="181">
        <f t="shared" si="30"/>
        <v>148121</v>
      </c>
      <c r="R92" s="179">
        <f t="shared" si="31"/>
        <v>592484</v>
      </c>
      <c r="S92" s="179">
        <f>'MSPL-2(LOT)'!H237+'MSPL-2(LOT)'!H269+'MSPL-2(LOT)'!H301+'MSPL-2(LOT)'!H333+'MSPL-2(LOT)'!H365</f>
        <v>0</v>
      </c>
      <c r="T92" s="179">
        <f t="shared" si="20"/>
        <v>592484</v>
      </c>
      <c r="U92" s="179">
        <f t="shared" si="21"/>
        <v>0</v>
      </c>
      <c r="V92" s="179">
        <f t="shared" si="22"/>
        <v>148121</v>
      </c>
      <c r="W92" s="179">
        <f>'MSPL-2(LOT)'!L237+'MSPL-2(LOT)'!L269+'MSPL-2(LOT)'!L301+'MSPL-2(LOT)'!L333+'MSPL-2(LOT)'!L365</f>
        <v>0</v>
      </c>
      <c r="X92" s="179">
        <f t="shared" si="23"/>
        <v>148121</v>
      </c>
      <c r="Y92" s="179">
        <f>'MSPL-2(LOT)'!N237+'MSPL-2(LOT)'!N269+'MSPL-2(LOT)'!N301+'MSPL-2(LOT)'!N333+'MSPL-2(LOT)'!N365</f>
        <v>0</v>
      </c>
      <c r="Z92" s="179">
        <f t="shared" si="24"/>
        <v>148121</v>
      </c>
      <c r="AA92" s="179">
        <f t="shared" si="32"/>
        <v>0</v>
      </c>
      <c r="AB92" s="179">
        <f t="shared" si="25"/>
        <v>0</v>
      </c>
      <c r="AC92" s="179">
        <f t="shared" si="33"/>
        <v>0</v>
      </c>
      <c r="AD92" s="179">
        <f t="shared" si="26"/>
        <v>2369.9360000000001</v>
      </c>
      <c r="AE92" s="179">
        <f t="shared" si="34"/>
        <v>31.59914666666667</v>
      </c>
      <c r="AF92" s="179">
        <f t="shared" si="27"/>
        <v>0</v>
      </c>
      <c r="AG92" s="179">
        <f t="shared" si="35"/>
        <v>31.59914666666667</v>
      </c>
      <c r="AH92" s="155"/>
    </row>
    <row r="93" spans="1:34" s="11" customFormat="1" ht="15.75">
      <c r="A93" s="181">
        <v>14</v>
      </c>
      <c r="B93" s="190" t="s">
        <v>193</v>
      </c>
      <c r="C93" s="181" t="s">
        <v>195</v>
      </c>
      <c r="D93" s="191">
        <v>18.5</v>
      </c>
      <c r="E93" s="191"/>
      <c r="F93" s="181">
        <v>14030</v>
      </c>
      <c r="G93" s="181">
        <v>8960</v>
      </c>
      <c r="H93" s="181">
        <v>1575</v>
      </c>
      <c r="I93" s="181">
        <v>6370</v>
      </c>
      <c r="J93" s="181">
        <v>560</v>
      </c>
      <c r="K93" s="181">
        <f t="shared" si="28"/>
        <v>31495</v>
      </c>
      <c r="L93" s="181">
        <v>5.25</v>
      </c>
      <c r="M93" s="181">
        <v>20</v>
      </c>
      <c r="N93" s="12"/>
      <c r="O93" s="181">
        <f t="shared" si="29"/>
        <v>20</v>
      </c>
      <c r="P93" s="12"/>
      <c r="Q93" s="181">
        <f t="shared" si="30"/>
        <v>31495</v>
      </c>
      <c r="R93" s="179">
        <f t="shared" si="31"/>
        <v>165348.75</v>
      </c>
      <c r="S93" s="179">
        <f>'MSPL-2(LOT)'!H238+'MSPL-2(LOT)'!H270+'MSPL-2(LOT)'!H302+'MSPL-2(LOT)'!H334+'MSPL-2(LOT)'!H366</f>
        <v>0</v>
      </c>
      <c r="T93" s="179">
        <f t="shared" si="20"/>
        <v>165348.75</v>
      </c>
      <c r="U93" s="179">
        <f t="shared" si="21"/>
        <v>0</v>
      </c>
      <c r="V93" s="179">
        <f t="shared" si="22"/>
        <v>31495</v>
      </c>
      <c r="W93" s="179">
        <f>'MSPL-2(LOT)'!L238+'MSPL-2(LOT)'!L270+'MSPL-2(LOT)'!L302+'MSPL-2(LOT)'!L334+'MSPL-2(LOT)'!L366</f>
        <v>0</v>
      </c>
      <c r="X93" s="179">
        <f t="shared" si="23"/>
        <v>31495</v>
      </c>
      <c r="Y93" s="179">
        <f>'MSPL-2(LOT)'!N238+'MSPL-2(LOT)'!N270+'MSPL-2(LOT)'!N302+'MSPL-2(LOT)'!N334+'MSPL-2(LOT)'!N366</f>
        <v>0</v>
      </c>
      <c r="Z93" s="179">
        <f t="shared" si="24"/>
        <v>31495</v>
      </c>
      <c r="AA93" s="179">
        <f t="shared" si="32"/>
        <v>0</v>
      </c>
      <c r="AB93" s="179">
        <f t="shared" si="25"/>
        <v>0</v>
      </c>
      <c r="AC93" s="179">
        <f t="shared" si="33"/>
        <v>0</v>
      </c>
      <c r="AD93" s="179">
        <f t="shared" si="26"/>
        <v>582.65750000000003</v>
      </c>
      <c r="AE93" s="179">
        <f t="shared" si="34"/>
        <v>7.768766666666667</v>
      </c>
      <c r="AF93" s="179">
        <f t="shared" si="27"/>
        <v>0</v>
      </c>
      <c r="AG93" s="179">
        <f t="shared" si="35"/>
        <v>7.768766666666667</v>
      </c>
      <c r="AH93" s="155"/>
    </row>
    <row r="94" spans="1:34" s="11" customFormat="1" ht="15.75">
      <c r="A94" s="181">
        <v>15</v>
      </c>
      <c r="B94" s="190" t="s">
        <v>48</v>
      </c>
      <c r="C94" s="181" t="s">
        <v>195</v>
      </c>
      <c r="D94" s="191">
        <v>15.5</v>
      </c>
      <c r="E94" s="191"/>
      <c r="F94" s="181">
        <v>28490</v>
      </c>
      <c r="G94" s="181">
        <v>40200</v>
      </c>
      <c r="H94" s="181">
        <v>29420</v>
      </c>
      <c r="I94" s="181">
        <v>38452</v>
      </c>
      <c r="J94" s="181">
        <v>21320</v>
      </c>
      <c r="K94" s="181">
        <f t="shared" si="28"/>
        <v>157882</v>
      </c>
      <c r="L94" s="181">
        <v>4.75</v>
      </c>
      <c r="M94" s="181">
        <v>48</v>
      </c>
      <c r="N94" s="12"/>
      <c r="O94" s="181">
        <f t="shared" si="29"/>
        <v>48</v>
      </c>
      <c r="P94" s="12"/>
      <c r="Q94" s="181">
        <f t="shared" si="30"/>
        <v>157882</v>
      </c>
      <c r="R94" s="179">
        <f t="shared" si="31"/>
        <v>749939.5</v>
      </c>
      <c r="S94" s="179">
        <f>'MSPL-2(LOT)'!H239+'MSPL-2(LOT)'!H271+'MSPL-2(LOT)'!H303+'MSPL-2(LOT)'!H335+'MSPL-2(LOT)'!H367</f>
        <v>0</v>
      </c>
      <c r="T94" s="179">
        <f t="shared" si="20"/>
        <v>749939.5</v>
      </c>
      <c r="U94" s="179">
        <f t="shared" si="21"/>
        <v>0</v>
      </c>
      <c r="V94" s="179">
        <f t="shared" si="22"/>
        <v>157882</v>
      </c>
      <c r="W94" s="179">
        <f>'MSPL-2(LOT)'!L239+'MSPL-2(LOT)'!L271+'MSPL-2(LOT)'!L303+'MSPL-2(LOT)'!L335+'MSPL-2(LOT)'!L367</f>
        <v>0</v>
      </c>
      <c r="X94" s="179">
        <f t="shared" si="23"/>
        <v>157882</v>
      </c>
      <c r="Y94" s="179">
        <f>'MSPL-2(LOT)'!N239+'MSPL-2(LOT)'!N271+'MSPL-2(LOT)'!N303+'MSPL-2(LOT)'!N335+'MSPL-2(LOT)'!N367</f>
        <v>0</v>
      </c>
      <c r="Z94" s="179">
        <f t="shared" si="24"/>
        <v>157882</v>
      </c>
      <c r="AA94" s="179">
        <f t="shared" si="32"/>
        <v>0</v>
      </c>
      <c r="AB94" s="179">
        <f t="shared" si="25"/>
        <v>0</v>
      </c>
      <c r="AC94" s="179">
        <f t="shared" si="33"/>
        <v>0</v>
      </c>
      <c r="AD94" s="179">
        <f t="shared" si="26"/>
        <v>2447.1709999999998</v>
      </c>
      <c r="AE94" s="179">
        <f t="shared" si="34"/>
        <v>32.628946666666664</v>
      </c>
      <c r="AF94" s="179">
        <f t="shared" si="27"/>
        <v>0</v>
      </c>
      <c r="AG94" s="179">
        <f t="shared" si="35"/>
        <v>32.628946666666664</v>
      </c>
      <c r="AH94" s="155"/>
    </row>
    <row r="95" spans="1:34" s="11" customFormat="1" ht="15.75">
      <c r="A95" s="181">
        <v>16</v>
      </c>
      <c r="B95" s="190" t="s">
        <v>75</v>
      </c>
      <c r="C95" s="181" t="s">
        <v>195</v>
      </c>
      <c r="D95" s="191">
        <v>10.5</v>
      </c>
      <c r="E95" s="191"/>
      <c r="F95" s="181">
        <v>6142</v>
      </c>
      <c r="G95" s="181">
        <v>4170</v>
      </c>
      <c r="H95" s="181">
        <v>8540</v>
      </c>
      <c r="I95" s="181">
        <v>14182</v>
      </c>
      <c r="J95" s="181">
        <v>6220</v>
      </c>
      <c r="K95" s="181">
        <f t="shared" si="28"/>
        <v>39254</v>
      </c>
      <c r="L95" s="181">
        <v>3.25</v>
      </c>
      <c r="M95" s="181">
        <v>12</v>
      </c>
      <c r="N95" s="12"/>
      <c r="O95" s="181">
        <f t="shared" si="29"/>
        <v>12</v>
      </c>
      <c r="P95" s="12"/>
      <c r="Q95" s="181">
        <f t="shared" si="30"/>
        <v>39254</v>
      </c>
      <c r="R95" s="179">
        <f t="shared" si="31"/>
        <v>127575.5</v>
      </c>
      <c r="S95" s="179">
        <f>'MSPL-2(LOT)'!H240+'MSPL-2(LOT)'!H272+'MSPL-2(LOT)'!H304+'MSPL-2(LOT)'!H336+'MSPL-2(LOT)'!H368</f>
        <v>0</v>
      </c>
      <c r="T95" s="179">
        <f t="shared" si="20"/>
        <v>127575.5</v>
      </c>
      <c r="U95" s="179">
        <f t="shared" si="21"/>
        <v>0</v>
      </c>
      <c r="V95" s="179">
        <f t="shared" si="22"/>
        <v>39254</v>
      </c>
      <c r="W95" s="179">
        <f>'MSPL-2(LOT)'!L240+'MSPL-2(LOT)'!L272+'MSPL-2(LOT)'!L304+'MSPL-2(LOT)'!L336+'MSPL-2(LOT)'!L368</f>
        <v>0</v>
      </c>
      <c r="X95" s="179">
        <f t="shared" si="23"/>
        <v>39254</v>
      </c>
      <c r="Y95" s="179">
        <f>'MSPL-2(LOT)'!N240+'MSPL-2(LOT)'!N272+'MSPL-2(LOT)'!N304+'MSPL-2(LOT)'!N336+'MSPL-2(LOT)'!N368</f>
        <v>0</v>
      </c>
      <c r="Z95" s="179">
        <f t="shared" si="24"/>
        <v>39254</v>
      </c>
      <c r="AA95" s="179">
        <f t="shared" si="32"/>
        <v>0</v>
      </c>
      <c r="AB95" s="179">
        <f t="shared" si="25"/>
        <v>0</v>
      </c>
      <c r="AC95" s="179">
        <f t="shared" si="33"/>
        <v>0</v>
      </c>
      <c r="AD95" s="179">
        <f t="shared" si="26"/>
        <v>412.16699999999997</v>
      </c>
      <c r="AE95" s="179">
        <f t="shared" si="34"/>
        <v>5.4955599999999993</v>
      </c>
      <c r="AF95" s="179">
        <f t="shared" si="27"/>
        <v>0</v>
      </c>
      <c r="AG95" s="179">
        <f t="shared" si="35"/>
        <v>5.4955599999999993</v>
      </c>
      <c r="AH95" s="155"/>
    </row>
    <row r="96" spans="1:34" s="11" customFormat="1" ht="15.75">
      <c r="A96" s="181">
        <v>17</v>
      </c>
      <c r="B96" s="190" t="s">
        <v>76</v>
      </c>
      <c r="C96" s="181" t="s">
        <v>195</v>
      </c>
      <c r="D96" s="191">
        <v>11.5</v>
      </c>
      <c r="E96" s="191"/>
      <c r="F96" s="181">
        <v>1853</v>
      </c>
      <c r="G96" s="181">
        <v>5</v>
      </c>
      <c r="H96" s="181">
        <v>175</v>
      </c>
      <c r="I96" s="181">
        <v>928</v>
      </c>
      <c r="J96" s="181">
        <v>55</v>
      </c>
      <c r="K96" s="181">
        <f t="shared" si="28"/>
        <v>3016</v>
      </c>
      <c r="L96" s="181">
        <v>3.75</v>
      </c>
      <c r="M96" s="181">
        <v>14</v>
      </c>
      <c r="N96" s="12"/>
      <c r="O96" s="181">
        <f t="shared" si="29"/>
        <v>14</v>
      </c>
      <c r="P96" s="12"/>
      <c r="Q96" s="181">
        <f t="shared" si="30"/>
        <v>3016</v>
      </c>
      <c r="R96" s="179">
        <f t="shared" si="31"/>
        <v>11310</v>
      </c>
      <c r="S96" s="179">
        <f>'MSPL-2(LOT)'!H241+'MSPL-2(LOT)'!H273+'MSPL-2(LOT)'!H305+'MSPL-2(LOT)'!H337+'MSPL-2(LOT)'!H369</f>
        <v>0</v>
      </c>
      <c r="T96" s="179">
        <f t="shared" si="20"/>
        <v>11310</v>
      </c>
      <c r="U96" s="179">
        <f t="shared" si="21"/>
        <v>0</v>
      </c>
      <c r="V96" s="179">
        <f t="shared" si="22"/>
        <v>3016</v>
      </c>
      <c r="W96" s="179">
        <f>'MSPL-2(LOT)'!L241+'MSPL-2(LOT)'!L273+'MSPL-2(LOT)'!L305+'MSPL-2(LOT)'!L337+'MSPL-2(LOT)'!L369</f>
        <v>0</v>
      </c>
      <c r="X96" s="179">
        <f t="shared" si="23"/>
        <v>3016</v>
      </c>
      <c r="Y96" s="179">
        <f>'MSPL-2(LOT)'!N241+'MSPL-2(LOT)'!N273+'MSPL-2(LOT)'!N305+'MSPL-2(LOT)'!N337+'MSPL-2(LOT)'!N369</f>
        <v>0</v>
      </c>
      <c r="Z96" s="179">
        <f t="shared" si="24"/>
        <v>3016</v>
      </c>
      <c r="AA96" s="179">
        <f t="shared" si="32"/>
        <v>0</v>
      </c>
      <c r="AB96" s="179">
        <f t="shared" si="25"/>
        <v>0</v>
      </c>
      <c r="AC96" s="179">
        <f t="shared" si="33"/>
        <v>0</v>
      </c>
      <c r="AD96" s="179">
        <f t="shared" si="26"/>
        <v>34.683999999999997</v>
      </c>
      <c r="AE96" s="179">
        <f t="shared" si="34"/>
        <v>0.46245333333333333</v>
      </c>
      <c r="AF96" s="179">
        <f t="shared" si="27"/>
        <v>0</v>
      </c>
      <c r="AG96" s="179">
        <f t="shared" si="35"/>
        <v>0.46245333333333333</v>
      </c>
      <c r="AH96" s="155"/>
    </row>
    <row r="97" spans="1:34" s="11" customFormat="1" ht="15.75">
      <c r="A97" s="181">
        <v>18</v>
      </c>
      <c r="B97" s="190" t="s">
        <v>51</v>
      </c>
      <c r="C97" s="181" t="s">
        <v>195</v>
      </c>
      <c r="D97" s="191">
        <v>14</v>
      </c>
      <c r="E97" s="192"/>
      <c r="F97" s="181">
        <v>1525</v>
      </c>
      <c r="G97" s="181">
        <v>5</v>
      </c>
      <c r="H97" s="181">
        <v>15</v>
      </c>
      <c r="I97" s="181">
        <v>45</v>
      </c>
      <c r="J97" s="181"/>
      <c r="K97" s="181">
        <f t="shared" si="28"/>
        <v>1590</v>
      </c>
      <c r="L97" s="181">
        <v>4</v>
      </c>
      <c r="M97" s="181">
        <v>14</v>
      </c>
      <c r="N97" s="12"/>
      <c r="O97" s="181">
        <f t="shared" si="29"/>
        <v>14</v>
      </c>
      <c r="P97" s="12"/>
      <c r="Q97" s="181">
        <f t="shared" si="30"/>
        <v>1590</v>
      </c>
      <c r="R97" s="179">
        <f t="shared" si="31"/>
        <v>6360</v>
      </c>
      <c r="S97" s="179">
        <f>'MSPL-2(LOT)'!H242+'MSPL-2(LOT)'!H274+'MSPL-2(LOT)'!H306+'MSPL-2(LOT)'!H338+'MSPL-2(LOT)'!H370</f>
        <v>0</v>
      </c>
      <c r="T97" s="179">
        <f t="shared" si="20"/>
        <v>6360</v>
      </c>
      <c r="U97" s="179">
        <f t="shared" si="21"/>
        <v>0</v>
      </c>
      <c r="V97" s="179">
        <f t="shared" si="22"/>
        <v>1590</v>
      </c>
      <c r="W97" s="179">
        <f>'MSPL-2(LOT)'!L242+'MSPL-2(LOT)'!L274+'MSPL-2(LOT)'!L306+'MSPL-2(LOT)'!L338+'MSPL-2(LOT)'!L370</f>
        <v>0</v>
      </c>
      <c r="X97" s="179">
        <f t="shared" si="23"/>
        <v>1590</v>
      </c>
      <c r="Y97" s="179">
        <f>'MSPL-2(LOT)'!N242+'MSPL-2(LOT)'!N274+'MSPL-2(LOT)'!N306+'MSPL-2(LOT)'!N338+'MSPL-2(LOT)'!N370</f>
        <v>0</v>
      </c>
      <c r="Z97" s="179">
        <f t="shared" si="24"/>
        <v>1590</v>
      </c>
      <c r="AA97" s="179">
        <f t="shared" si="32"/>
        <v>0</v>
      </c>
      <c r="AB97" s="179">
        <f t="shared" si="25"/>
        <v>0</v>
      </c>
      <c r="AC97" s="179">
        <f t="shared" si="33"/>
        <v>0</v>
      </c>
      <c r="AD97" s="179">
        <f t="shared" si="26"/>
        <v>22.26</v>
      </c>
      <c r="AE97" s="179">
        <f t="shared" si="34"/>
        <v>0.29680000000000001</v>
      </c>
      <c r="AF97" s="179">
        <f t="shared" si="27"/>
        <v>0</v>
      </c>
      <c r="AG97" s="179">
        <f t="shared" si="35"/>
        <v>0.29680000000000001</v>
      </c>
      <c r="AH97" s="155"/>
    </row>
    <row r="98" spans="1:34" s="38" customFormat="1" ht="15.75">
      <c r="A98" s="179">
        <v>19</v>
      </c>
      <c r="B98" s="180" t="s">
        <v>112</v>
      </c>
      <c r="C98" s="181" t="s">
        <v>195</v>
      </c>
      <c r="D98" s="191">
        <v>8.5</v>
      </c>
      <c r="E98" s="191"/>
      <c r="F98" s="181">
        <v>1500</v>
      </c>
      <c r="G98" s="181"/>
      <c r="H98" s="181"/>
      <c r="I98" s="181"/>
      <c r="J98" s="181"/>
      <c r="K98" s="181">
        <f t="shared" si="28"/>
        <v>1500</v>
      </c>
      <c r="L98" s="181">
        <v>2.25</v>
      </c>
      <c r="M98" s="181">
        <v>10</v>
      </c>
      <c r="N98" s="12"/>
      <c r="O98" s="181">
        <f t="shared" si="29"/>
        <v>10</v>
      </c>
      <c r="P98" s="12"/>
      <c r="Q98" s="181">
        <f t="shared" si="30"/>
        <v>1500</v>
      </c>
      <c r="R98" s="179">
        <f t="shared" si="31"/>
        <v>3375</v>
      </c>
      <c r="S98" s="179">
        <f>'MSPL-2(LOT)'!H243+'MSPL-2(LOT)'!H275+'MSPL-2(LOT)'!H307+'MSPL-2(LOT)'!H339+'MSPL-2(LOT)'!H371</f>
        <v>0</v>
      </c>
      <c r="T98" s="179">
        <f t="shared" si="20"/>
        <v>3375</v>
      </c>
      <c r="U98" s="179">
        <f t="shared" si="21"/>
        <v>0</v>
      </c>
      <c r="V98" s="179">
        <f t="shared" si="22"/>
        <v>1500</v>
      </c>
      <c r="W98" s="179">
        <f>'MSPL-2(LOT)'!L243+'MSPL-2(LOT)'!L275+'MSPL-2(LOT)'!L307+'MSPL-2(LOT)'!L339+'MSPL-2(LOT)'!L371</f>
        <v>0</v>
      </c>
      <c r="X98" s="179">
        <f t="shared" si="23"/>
        <v>1500</v>
      </c>
      <c r="Y98" s="179">
        <f>'MSPL-2(LOT)'!N243+'MSPL-2(LOT)'!N275+'MSPL-2(LOT)'!N307+'MSPL-2(LOT)'!N339+'MSPL-2(LOT)'!N371</f>
        <v>0</v>
      </c>
      <c r="Z98" s="179">
        <f t="shared" si="24"/>
        <v>1500</v>
      </c>
      <c r="AA98" s="179">
        <f t="shared" si="32"/>
        <v>0</v>
      </c>
      <c r="AB98" s="179">
        <f t="shared" si="25"/>
        <v>0</v>
      </c>
      <c r="AC98" s="179">
        <f t="shared" si="33"/>
        <v>0</v>
      </c>
      <c r="AD98" s="179">
        <f t="shared" si="26"/>
        <v>12.75</v>
      </c>
      <c r="AE98" s="179">
        <f t="shared" si="34"/>
        <v>0.17</v>
      </c>
      <c r="AF98" s="179">
        <f t="shared" si="27"/>
        <v>0</v>
      </c>
      <c r="AG98" s="179">
        <f t="shared" si="35"/>
        <v>0.17</v>
      </c>
      <c r="AH98" s="6"/>
    </row>
    <row r="99" spans="1:34" s="38" customFormat="1" ht="15.75">
      <c r="A99" s="179">
        <v>20</v>
      </c>
      <c r="B99" s="180" t="s">
        <v>137</v>
      </c>
      <c r="C99" s="181" t="s">
        <v>195</v>
      </c>
      <c r="D99" s="191">
        <v>9.5</v>
      </c>
      <c r="E99" s="191"/>
      <c r="F99" s="181">
        <v>1500</v>
      </c>
      <c r="G99" s="181"/>
      <c r="H99" s="181"/>
      <c r="I99" s="181"/>
      <c r="J99" s="181"/>
      <c r="K99" s="181">
        <f t="shared" si="28"/>
        <v>1500</v>
      </c>
      <c r="L99" s="181">
        <v>2.75</v>
      </c>
      <c r="M99" s="181">
        <v>12</v>
      </c>
      <c r="N99" s="12"/>
      <c r="O99" s="181">
        <f t="shared" si="29"/>
        <v>12</v>
      </c>
      <c r="P99" s="12"/>
      <c r="Q99" s="181">
        <f t="shared" si="30"/>
        <v>1500</v>
      </c>
      <c r="R99" s="179">
        <f t="shared" si="31"/>
        <v>4125</v>
      </c>
      <c r="S99" s="179">
        <f>'MSPL-2(LOT)'!H244+'MSPL-2(LOT)'!H276+'MSPL-2(LOT)'!H308+'MSPL-2(LOT)'!H340+'MSPL-2(LOT)'!H372</f>
        <v>0</v>
      </c>
      <c r="T99" s="179">
        <f t="shared" si="20"/>
        <v>4125</v>
      </c>
      <c r="U99" s="179">
        <f t="shared" si="21"/>
        <v>0</v>
      </c>
      <c r="V99" s="179">
        <f t="shared" si="22"/>
        <v>1500</v>
      </c>
      <c r="W99" s="179">
        <f>'MSPL-2(LOT)'!L244+'MSPL-2(LOT)'!L276+'MSPL-2(LOT)'!L308+'MSPL-2(LOT)'!L340+'MSPL-2(LOT)'!L372</f>
        <v>0</v>
      </c>
      <c r="X99" s="179">
        <f t="shared" si="23"/>
        <v>1500</v>
      </c>
      <c r="Y99" s="179">
        <f>'MSPL-2(LOT)'!N244+'MSPL-2(LOT)'!N276+'MSPL-2(LOT)'!N308+'MSPL-2(LOT)'!N340+'MSPL-2(LOT)'!N372</f>
        <v>0</v>
      </c>
      <c r="Z99" s="179">
        <f t="shared" si="24"/>
        <v>1500</v>
      </c>
      <c r="AA99" s="179">
        <f t="shared" si="32"/>
        <v>0</v>
      </c>
      <c r="AB99" s="179">
        <f t="shared" si="25"/>
        <v>0</v>
      </c>
      <c r="AC99" s="179">
        <f t="shared" si="33"/>
        <v>0</v>
      </c>
      <c r="AD99" s="179">
        <f t="shared" si="26"/>
        <v>14.25</v>
      </c>
      <c r="AE99" s="179">
        <f t="shared" si="34"/>
        <v>0.19</v>
      </c>
      <c r="AF99" s="179">
        <f t="shared" si="27"/>
        <v>0</v>
      </c>
      <c r="AG99" s="179">
        <f t="shared" si="35"/>
        <v>0.19</v>
      </c>
      <c r="AH99" s="6"/>
    </row>
    <row r="100" spans="1:34" s="38" customFormat="1" ht="15.75">
      <c r="A100" s="179">
        <v>21</v>
      </c>
      <c r="B100" s="180" t="s">
        <v>149</v>
      </c>
      <c r="C100" s="181" t="s">
        <v>195</v>
      </c>
      <c r="D100" s="191">
        <v>14</v>
      </c>
      <c r="E100" s="191"/>
      <c r="F100" s="181">
        <v>1500</v>
      </c>
      <c r="G100" s="181"/>
      <c r="H100" s="181"/>
      <c r="I100" s="181"/>
      <c r="J100" s="181"/>
      <c r="K100" s="181">
        <f t="shared" si="28"/>
        <v>1500</v>
      </c>
      <c r="L100" s="181">
        <v>4</v>
      </c>
      <c r="M100" s="181">
        <v>14</v>
      </c>
      <c r="N100" s="12"/>
      <c r="O100" s="181">
        <f t="shared" si="29"/>
        <v>14</v>
      </c>
      <c r="P100" s="12"/>
      <c r="Q100" s="181">
        <f t="shared" si="30"/>
        <v>1500</v>
      </c>
      <c r="R100" s="179">
        <f t="shared" si="31"/>
        <v>6000</v>
      </c>
      <c r="S100" s="179">
        <f>'MSPL-2(LOT)'!H245+'MSPL-2(LOT)'!H277+'MSPL-2(LOT)'!H309+'MSPL-2(LOT)'!H341+'MSPL-2(LOT)'!H373</f>
        <v>0</v>
      </c>
      <c r="T100" s="179">
        <f t="shared" si="20"/>
        <v>6000</v>
      </c>
      <c r="U100" s="179">
        <f t="shared" si="21"/>
        <v>0</v>
      </c>
      <c r="V100" s="179">
        <f t="shared" si="22"/>
        <v>1500</v>
      </c>
      <c r="W100" s="179">
        <f>'MSPL-2(LOT)'!L245+'MSPL-2(LOT)'!L277+'MSPL-2(LOT)'!L309+'MSPL-2(LOT)'!L341+'MSPL-2(LOT)'!L373</f>
        <v>0</v>
      </c>
      <c r="X100" s="179">
        <f t="shared" si="23"/>
        <v>1500</v>
      </c>
      <c r="Y100" s="179">
        <f>'MSPL-2(LOT)'!N245+'MSPL-2(LOT)'!N277+'MSPL-2(LOT)'!N309+'MSPL-2(LOT)'!N341+'MSPL-2(LOT)'!N373</f>
        <v>0</v>
      </c>
      <c r="Z100" s="179">
        <f t="shared" si="24"/>
        <v>1500</v>
      </c>
      <c r="AA100" s="179">
        <f t="shared" si="32"/>
        <v>0</v>
      </c>
      <c r="AB100" s="179">
        <f t="shared" si="25"/>
        <v>0</v>
      </c>
      <c r="AC100" s="179">
        <f t="shared" si="33"/>
        <v>0</v>
      </c>
      <c r="AD100" s="179">
        <f t="shared" si="26"/>
        <v>21</v>
      </c>
      <c r="AE100" s="179">
        <f t="shared" si="34"/>
        <v>0.28000000000000003</v>
      </c>
      <c r="AF100" s="179">
        <f t="shared" si="27"/>
        <v>0</v>
      </c>
      <c r="AG100" s="179">
        <f t="shared" si="35"/>
        <v>0.28000000000000003</v>
      </c>
      <c r="AH100" s="6"/>
    </row>
    <row r="101" spans="1:34" s="38" customFormat="1" ht="15.75">
      <c r="A101" s="179">
        <v>22</v>
      </c>
      <c r="B101" s="180" t="s">
        <v>99</v>
      </c>
      <c r="C101" s="181" t="s">
        <v>195</v>
      </c>
      <c r="D101" s="191">
        <v>11.5</v>
      </c>
      <c r="E101" s="191"/>
      <c r="F101" s="181">
        <v>1700</v>
      </c>
      <c r="G101" s="181"/>
      <c r="H101" s="181"/>
      <c r="I101" s="181"/>
      <c r="J101" s="181"/>
      <c r="K101" s="181">
        <f t="shared" si="28"/>
        <v>1700</v>
      </c>
      <c r="L101" s="181">
        <v>3.75</v>
      </c>
      <c r="M101" s="181">
        <v>14</v>
      </c>
      <c r="N101" s="12"/>
      <c r="O101" s="181">
        <f t="shared" si="29"/>
        <v>14</v>
      </c>
      <c r="P101" s="12"/>
      <c r="Q101" s="181">
        <f t="shared" si="30"/>
        <v>1700</v>
      </c>
      <c r="R101" s="179">
        <f t="shared" si="31"/>
        <v>6375</v>
      </c>
      <c r="S101" s="179">
        <f>'MSPL-2(LOT)'!H246+'MSPL-2(LOT)'!H278+'MSPL-2(LOT)'!H310+'MSPL-2(LOT)'!H342+'MSPL-2(LOT)'!H374</f>
        <v>0</v>
      </c>
      <c r="T101" s="179">
        <f t="shared" si="20"/>
        <v>6375</v>
      </c>
      <c r="U101" s="179">
        <f t="shared" si="21"/>
        <v>0</v>
      </c>
      <c r="V101" s="179">
        <f t="shared" si="22"/>
        <v>1700</v>
      </c>
      <c r="W101" s="179">
        <f>'MSPL-2(LOT)'!L246+'MSPL-2(LOT)'!L278+'MSPL-2(LOT)'!L310+'MSPL-2(LOT)'!L342+'MSPL-2(LOT)'!L374</f>
        <v>0</v>
      </c>
      <c r="X101" s="179">
        <f t="shared" si="23"/>
        <v>1700</v>
      </c>
      <c r="Y101" s="179">
        <f>'MSPL-2(LOT)'!N246+'MSPL-2(LOT)'!N278+'MSPL-2(LOT)'!N310+'MSPL-2(LOT)'!N342+'MSPL-2(LOT)'!N374</f>
        <v>0</v>
      </c>
      <c r="Z101" s="179">
        <f t="shared" si="24"/>
        <v>1700</v>
      </c>
      <c r="AA101" s="179">
        <f t="shared" si="32"/>
        <v>0</v>
      </c>
      <c r="AB101" s="179">
        <f t="shared" si="25"/>
        <v>0</v>
      </c>
      <c r="AC101" s="179">
        <f t="shared" si="33"/>
        <v>0</v>
      </c>
      <c r="AD101" s="179">
        <f t="shared" si="26"/>
        <v>19.55</v>
      </c>
      <c r="AE101" s="179">
        <f t="shared" si="34"/>
        <v>0.26066666666666666</v>
      </c>
      <c r="AF101" s="179">
        <f t="shared" si="27"/>
        <v>0</v>
      </c>
      <c r="AG101" s="179">
        <f t="shared" si="35"/>
        <v>0.26066666666666666</v>
      </c>
      <c r="AH101" s="6"/>
    </row>
    <row r="102" spans="1:34" s="38" customFormat="1" ht="15.75">
      <c r="A102" s="383" t="s">
        <v>67</v>
      </c>
      <c r="B102" s="383"/>
      <c r="C102" s="383"/>
      <c r="D102" s="383"/>
      <c r="E102" s="74"/>
      <c r="F102" s="39">
        <f>SUM(F80:F101)</f>
        <v>385310</v>
      </c>
      <c r="G102" s="84">
        <f t="shared" ref="G102:AH102" si="36">SUM(G80:G101)</f>
        <v>490170</v>
      </c>
      <c r="H102" s="84">
        <f t="shared" si="36"/>
        <v>419685</v>
      </c>
      <c r="I102" s="84">
        <f t="shared" si="36"/>
        <v>589637</v>
      </c>
      <c r="J102" s="84">
        <f t="shared" si="36"/>
        <v>303805</v>
      </c>
      <c r="K102" s="84">
        <f t="shared" si="36"/>
        <v>2188607</v>
      </c>
      <c r="L102" s="84">
        <f t="shared" si="36"/>
        <v>87</v>
      </c>
      <c r="M102" s="135">
        <f t="shared" ref="M102:Q102" si="37">SUM(M80:M101)</f>
        <v>792</v>
      </c>
      <c r="N102" s="135">
        <f t="shared" si="37"/>
        <v>0</v>
      </c>
      <c r="O102" s="135">
        <f t="shared" si="37"/>
        <v>792</v>
      </c>
      <c r="P102" s="143">
        <f t="shared" si="37"/>
        <v>0</v>
      </c>
      <c r="Q102" s="143">
        <f t="shared" si="37"/>
        <v>2188607</v>
      </c>
      <c r="R102" s="84">
        <f t="shared" si="36"/>
        <v>9928182.25</v>
      </c>
      <c r="S102" s="84">
        <f t="shared" si="36"/>
        <v>0</v>
      </c>
      <c r="T102" s="84">
        <f t="shared" si="36"/>
        <v>9928182.25</v>
      </c>
      <c r="U102" s="84">
        <f t="shared" si="36"/>
        <v>0</v>
      </c>
      <c r="V102" s="84">
        <f t="shared" si="36"/>
        <v>2188607</v>
      </c>
      <c r="W102" s="84">
        <f t="shared" si="36"/>
        <v>0</v>
      </c>
      <c r="X102" s="84">
        <f t="shared" si="36"/>
        <v>2188607</v>
      </c>
      <c r="Y102" s="84">
        <f t="shared" si="36"/>
        <v>0</v>
      </c>
      <c r="Z102" s="84">
        <f t="shared" si="36"/>
        <v>2188607</v>
      </c>
      <c r="AA102" s="84">
        <f t="shared" si="36"/>
        <v>0</v>
      </c>
      <c r="AB102" s="84">
        <f t="shared" si="36"/>
        <v>0</v>
      </c>
      <c r="AC102" s="143">
        <f t="shared" si="36"/>
        <v>0</v>
      </c>
      <c r="AD102" s="84">
        <f t="shared" si="36"/>
        <v>34834.247500000012</v>
      </c>
      <c r="AE102" s="84">
        <f t="shared" si="36"/>
        <v>464.45663333333334</v>
      </c>
      <c r="AF102" s="84">
        <f t="shared" si="36"/>
        <v>0</v>
      </c>
      <c r="AG102" s="84">
        <f t="shared" si="36"/>
        <v>464.45663333333334</v>
      </c>
      <c r="AH102" s="143">
        <f t="shared" si="36"/>
        <v>0</v>
      </c>
    </row>
    <row r="103" spans="1:34">
      <c r="A103" s="30"/>
      <c r="B103" s="28"/>
      <c r="C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0"/>
    </row>
    <row r="104" spans="1:34" s="43" customFormat="1">
      <c r="A104" s="30"/>
      <c r="B104" s="28"/>
      <c r="C104" s="30"/>
      <c r="D104" s="31"/>
      <c r="E104" s="31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122"/>
      <c r="Y104" s="122"/>
      <c r="Z104" s="122"/>
      <c r="AA104" s="122"/>
      <c r="AB104" s="67"/>
      <c r="AC104" s="67"/>
      <c r="AD104" s="67"/>
      <c r="AE104" s="67"/>
      <c r="AF104" s="67"/>
      <c r="AG104" s="67"/>
    </row>
    <row r="105" spans="1:34" s="63" customFormat="1" ht="15.75">
      <c r="A105" s="61"/>
      <c r="B105" s="61"/>
      <c r="C105" s="61"/>
      <c r="D105" s="61"/>
      <c r="E105" s="61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AB105" s="387" t="s">
        <v>254</v>
      </c>
      <c r="AC105" s="387"/>
      <c r="AD105" s="387"/>
      <c r="AE105" s="387"/>
      <c r="AF105" s="387"/>
      <c r="AG105" s="387"/>
    </row>
    <row r="106" spans="1:34" s="43" customFormat="1">
      <c r="A106" s="30"/>
      <c r="B106" s="28"/>
      <c r="C106" s="30"/>
      <c r="D106" s="31"/>
      <c r="E106" s="31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122"/>
      <c r="Y106" s="122"/>
      <c r="Z106" s="122"/>
      <c r="AA106" s="122"/>
      <c r="AB106" s="30"/>
      <c r="AC106" s="30"/>
      <c r="AD106" s="30"/>
      <c r="AE106" s="30"/>
      <c r="AF106" s="30"/>
      <c r="AG106" s="30"/>
    </row>
    <row r="107" spans="1:34" s="43" customFormat="1">
      <c r="A107" s="30"/>
      <c r="B107" s="28"/>
      <c r="C107" s="30"/>
      <c r="D107" s="31"/>
      <c r="E107" s="31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122"/>
      <c r="Y107" s="122"/>
      <c r="Z107" s="122"/>
      <c r="AA107" s="122"/>
      <c r="AB107" s="30"/>
      <c r="AC107" s="30"/>
      <c r="AD107" s="30"/>
      <c r="AE107" s="30"/>
      <c r="AF107" s="30"/>
      <c r="AG107" s="30"/>
    </row>
    <row r="108" spans="1:34" s="43" customFormat="1">
      <c r="A108" s="30"/>
      <c r="B108" s="28"/>
      <c r="C108" s="30"/>
      <c r="D108" s="31"/>
      <c r="E108" s="31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122"/>
      <c r="Y108" s="122"/>
      <c r="Z108" s="122"/>
      <c r="AA108" s="122"/>
      <c r="AB108" s="30"/>
      <c r="AC108" s="30"/>
      <c r="AD108" s="30"/>
      <c r="AE108" s="30"/>
      <c r="AF108" s="30"/>
      <c r="AG108" s="30"/>
    </row>
    <row r="109" spans="1:34" s="1" customFormat="1" ht="24" customHeight="1">
      <c r="A109" s="388" t="s">
        <v>178</v>
      </c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  <c r="W109" s="388"/>
      <c r="X109" s="388"/>
      <c r="Y109" s="388"/>
      <c r="Z109" s="388"/>
      <c r="AA109" s="388"/>
      <c r="AB109" s="388"/>
      <c r="AC109" s="388"/>
      <c r="AD109" s="388"/>
      <c r="AE109" s="388"/>
      <c r="AF109" s="388"/>
      <c r="AG109" s="388"/>
    </row>
    <row r="110" spans="1:34" s="1" customFormat="1" ht="17.25" customHeight="1">
      <c r="A110" s="379" t="s">
        <v>253</v>
      </c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  <c r="W110" s="379"/>
      <c r="X110" s="379"/>
      <c r="Y110" s="379"/>
      <c r="Z110" s="379"/>
      <c r="AA110" s="379"/>
      <c r="AB110" s="379"/>
      <c r="AC110" s="379"/>
      <c r="AD110" s="379"/>
      <c r="AE110" s="379"/>
      <c r="AF110" s="379"/>
      <c r="AG110" s="379"/>
    </row>
    <row r="111" spans="1:34" s="1" customFormat="1" ht="15.75" customHeight="1">
      <c r="A111" s="313" t="s">
        <v>274</v>
      </c>
      <c r="B111" s="313"/>
      <c r="C111" s="313"/>
      <c r="D111" s="313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  <c r="W111" s="313"/>
      <c r="X111" s="313"/>
      <c r="Y111" s="313"/>
      <c r="Z111" s="313"/>
      <c r="AA111" s="313"/>
      <c r="AB111" s="313"/>
      <c r="AC111" s="313"/>
      <c r="AD111" s="313"/>
      <c r="AE111" s="313"/>
      <c r="AF111" s="313"/>
      <c r="AG111" s="313"/>
    </row>
    <row r="112" spans="1:34" s="1" customFormat="1" ht="20.25" customHeight="1">
      <c r="A112" s="386" t="s">
        <v>277</v>
      </c>
      <c r="B112" s="386"/>
      <c r="C112" s="386"/>
      <c r="D112" s="386"/>
      <c r="E112" s="386"/>
      <c r="F112" s="386"/>
      <c r="G112" s="386"/>
      <c r="H112" s="386"/>
      <c r="I112" s="386"/>
      <c r="J112" s="386"/>
      <c r="K112" s="386"/>
      <c r="L112" s="386"/>
      <c r="M112" s="386"/>
      <c r="N112" s="386"/>
      <c r="O112" s="386"/>
      <c r="P112" s="386"/>
      <c r="Q112" s="386"/>
      <c r="R112" s="386"/>
      <c r="S112" s="386"/>
      <c r="T112" s="386"/>
      <c r="U112" s="386"/>
      <c r="V112" s="386"/>
      <c r="W112" s="386"/>
      <c r="X112" s="386"/>
      <c r="Y112" s="386"/>
      <c r="Z112" s="386"/>
      <c r="AA112" s="386"/>
      <c r="AB112" s="386"/>
      <c r="AC112" s="226"/>
      <c r="AD112" s="378" t="str">
        <f>AD4</f>
        <v>ZvwiLt-02/08/26</v>
      </c>
      <c r="AE112" s="378"/>
      <c r="AF112" s="378"/>
      <c r="AG112" s="378"/>
    </row>
    <row r="113" spans="1:34" s="1" customFormat="1" ht="18.600000000000001" customHeight="1">
      <c r="A113" s="389" t="s">
        <v>15</v>
      </c>
      <c r="B113" s="389" t="s">
        <v>64</v>
      </c>
      <c r="C113" s="389" t="s">
        <v>65</v>
      </c>
      <c r="D113" s="380" t="s">
        <v>66</v>
      </c>
      <c r="E113" s="146"/>
      <c r="F113" s="391" t="s">
        <v>179</v>
      </c>
      <c r="G113" s="391"/>
      <c r="H113" s="391"/>
      <c r="I113" s="391"/>
      <c r="J113" s="391"/>
      <c r="K113" s="389" t="s">
        <v>88</v>
      </c>
      <c r="L113" s="145" t="s">
        <v>157</v>
      </c>
      <c r="M113" s="391" t="s">
        <v>325</v>
      </c>
      <c r="N113" s="391"/>
      <c r="O113" s="391"/>
      <c r="P113" s="384" t="s">
        <v>68</v>
      </c>
      <c r="Q113" s="385"/>
      <c r="R113" s="374" t="s">
        <v>138</v>
      </c>
      <c r="S113" s="375"/>
      <c r="T113" s="376"/>
      <c r="U113" s="377" t="s">
        <v>139</v>
      </c>
      <c r="V113" s="377"/>
      <c r="W113" s="377" t="s">
        <v>86</v>
      </c>
      <c r="X113" s="377"/>
      <c r="Y113" s="377" t="s">
        <v>25</v>
      </c>
      <c r="Z113" s="377"/>
      <c r="AA113" s="377" t="s">
        <v>87</v>
      </c>
      <c r="AB113" s="382" t="s">
        <v>199</v>
      </c>
      <c r="AC113" s="392" t="s">
        <v>455</v>
      </c>
      <c r="AD113" s="377" t="s">
        <v>140</v>
      </c>
      <c r="AE113" s="377"/>
      <c r="AF113" s="377"/>
      <c r="AG113" s="377"/>
      <c r="AH113" s="369" t="s">
        <v>142</v>
      </c>
    </row>
    <row r="114" spans="1:34" s="1" customFormat="1" ht="18.600000000000001" customHeight="1">
      <c r="A114" s="390"/>
      <c r="B114" s="390"/>
      <c r="C114" s="390"/>
      <c r="D114" s="381"/>
      <c r="E114" s="147"/>
      <c r="F114" s="145" t="s">
        <v>258</v>
      </c>
      <c r="G114" s="145" t="s">
        <v>259</v>
      </c>
      <c r="H114" s="145" t="s">
        <v>260</v>
      </c>
      <c r="I114" s="145" t="s">
        <v>261</v>
      </c>
      <c r="J114" s="145"/>
      <c r="K114" s="390"/>
      <c r="L114" s="145"/>
      <c r="M114" s="139" t="s">
        <v>428</v>
      </c>
      <c r="N114" s="145" t="s">
        <v>69</v>
      </c>
      <c r="O114" s="145" t="s">
        <v>70</v>
      </c>
      <c r="P114" s="145" t="s">
        <v>69</v>
      </c>
      <c r="Q114" s="145" t="s">
        <v>70</v>
      </c>
      <c r="R114" s="139" t="s">
        <v>189</v>
      </c>
      <c r="S114" s="145" t="s">
        <v>85</v>
      </c>
      <c r="T114" s="145" t="s">
        <v>70</v>
      </c>
      <c r="U114" s="148" t="s">
        <v>85</v>
      </c>
      <c r="V114" s="148" t="s">
        <v>70</v>
      </c>
      <c r="W114" s="145" t="s">
        <v>86</v>
      </c>
      <c r="X114" s="148" t="s">
        <v>70</v>
      </c>
      <c r="Y114" s="148" t="s">
        <v>25</v>
      </c>
      <c r="Z114" s="148" t="s">
        <v>70</v>
      </c>
      <c r="AA114" s="377"/>
      <c r="AB114" s="382"/>
      <c r="AC114" s="393"/>
      <c r="AD114" s="148" t="s">
        <v>155</v>
      </c>
      <c r="AE114" s="148" t="s">
        <v>156</v>
      </c>
      <c r="AF114" s="148" t="s">
        <v>141</v>
      </c>
      <c r="AG114" s="148" t="s">
        <v>70</v>
      </c>
      <c r="AH114" s="369"/>
    </row>
    <row r="115" spans="1:34" s="43" customFormat="1" ht="15.75">
      <c r="A115" s="179">
        <v>1</v>
      </c>
      <c r="B115" s="180" t="s">
        <v>147</v>
      </c>
      <c r="C115" s="181" t="s">
        <v>94</v>
      </c>
      <c r="D115" s="182">
        <v>32.5</v>
      </c>
      <c r="E115" s="193"/>
      <c r="F115" s="179">
        <v>59742</v>
      </c>
      <c r="G115" s="179">
        <v>61950</v>
      </c>
      <c r="H115" s="179">
        <v>48579</v>
      </c>
      <c r="I115" s="179">
        <v>51473</v>
      </c>
      <c r="J115" s="179"/>
      <c r="K115" s="179">
        <f>SUM(F115:J115)</f>
        <v>221744</v>
      </c>
      <c r="L115" s="179">
        <v>8.25</v>
      </c>
      <c r="M115" s="179">
        <v>130</v>
      </c>
      <c r="N115" s="10"/>
      <c r="O115" s="179">
        <f>M115-N115</f>
        <v>130</v>
      </c>
      <c r="P115" s="10"/>
      <c r="Q115" s="179">
        <f>K115-P115</f>
        <v>221744</v>
      </c>
      <c r="R115" s="179">
        <f>L115*K115</f>
        <v>1829388</v>
      </c>
      <c r="S115" s="179">
        <f>'MSPL-2(LOT)'!H385+'MSPL-2(LOT)'!H418+'MSPL-2(LOT)'!H451+'MSPL-2(LOT)'!H482</f>
        <v>0</v>
      </c>
      <c r="T115" s="179">
        <f t="shared" ref="T115:T130" si="38">R115-S115</f>
        <v>1829388</v>
      </c>
      <c r="U115" s="179">
        <f t="shared" ref="U115:U130" si="39">S115/L115</f>
        <v>0</v>
      </c>
      <c r="V115" s="179">
        <f t="shared" ref="V115:V130" si="40">K115-U115</f>
        <v>221744</v>
      </c>
      <c r="W115" s="179">
        <f>'MSPL-2(LOT)'!L385+'MSPL-2(LOT)'!L418+'MSPL-2(LOT)'!L451+'MSPL-2(LOT)'!L482</f>
        <v>0</v>
      </c>
      <c r="X115" s="179">
        <f t="shared" ref="X115:X130" si="41">K115-W115</f>
        <v>221744</v>
      </c>
      <c r="Y115" s="179">
        <f>'MSPL-2(LOT)'!N385+'MSPL-2(LOT)'!N418+'MSPL-2(LOT)'!N451+'MSPL-2(LOT)'!N482</f>
        <v>0</v>
      </c>
      <c r="Z115" s="179">
        <f t="shared" ref="Z115:Z130" si="42">K115-Y115</f>
        <v>221744</v>
      </c>
      <c r="AA115" s="179">
        <f>W115-Y115</f>
        <v>0</v>
      </c>
      <c r="AB115" s="179">
        <f t="shared" ref="AB115:AB130" si="43">D115*W115/1000</f>
        <v>0</v>
      </c>
      <c r="AC115" s="179">
        <f>U115-W115</f>
        <v>0</v>
      </c>
      <c r="AD115" s="179">
        <f t="shared" ref="AD115:AD130" si="44">D115*K115/1000</f>
        <v>7206.68</v>
      </c>
      <c r="AE115" s="179">
        <f>AD115/75</f>
        <v>96.089066666666668</v>
      </c>
      <c r="AF115" s="179">
        <f t="shared" ref="AF115:AF130" si="45">D115*U115/1000/75</f>
        <v>0</v>
      </c>
      <c r="AG115" s="179">
        <f>AE115-AF115</f>
        <v>96.089066666666668</v>
      </c>
      <c r="AH115" s="6"/>
    </row>
    <row r="116" spans="1:34" s="43" customFormat="1" ht="15.75">
      <c r="A116" s="179">
        <v>2</v>
      </c>
      <c r="B116" s="180" t="s">
        <v>27</v>
      </c>
      <c r="C116" s="181" t="s">
        <v>94</v>
      </c>
      <c r="D116" s="182">
        <v>26.5</v>
      </c>
      <c r="E116" s="193"/>
      <c r="F116" s="179">
        <v>59742</v>
      </c>
      <c r="G116" s="179">
        <v>61950</v>
      </c>
      <c r="H116" s="179">
        <v>48579</v>
      </c>
      <c r="I116" s="179">
        <v>51473</v>
      </c>
      <c r="J116" s="179"/>
      <c r="K116" s="179">
        <f t="shared" ref="K116:K130" si="46">SUM(F116:J116)</f>
        <v>221744</v>
      </c>
      <c r="L116" s="179">
        <v>7.25</v>
      </c>
      <c r="M116" s="179">
        <v>106</v>
      </c>
      <c r="N116" s="10"/>
      <c r="O116" s="179">
        <f t="shared" ref="O116:O130" si="47">M116-N116</f>
        <v>106</v>
      </c>
      <c r="P116" s="10"/>
      <c r="Q116" s="179">
        <f t="shared" ref="Q116:Q130" si="48">K116-P116</f>
        <v>221744</v>
      </c>
      <c r="R116" s="179">
        <f t="shared" ref="R116:R130" si="49">L116*K116</f>
        <v>1607644</v>
      </c>
      <c r="S116" s="179">
        <f>'MSPL-2(LOT)'!H386+'MSPL-2(LOT)'!H419+'MSPL-2(LOT)'!H452+'MSPL-2(LOT)'!H483</f>
        <v>0</v>
      </c>
      <c r="T116" s="179">
        <f t="shared" si="38"/>
        <v>1607644</v>
      </c>
      <c r="U116" s="179">
        <f t="shared" si="39"/>
        <v>0</v>
      </c>
      <c r="V116" s="179">
        <f t="shared" si="40"/>
        <v>221744</v>
      </c>
      <c r="W116" s="179">
        <f>'MSPL-2(LOT)'!L386+'MSPL-2(LOT)'!L419+'MSPL-2(LOT)'!L452+'MSPL-2(LOT)'!L483</f>
        <v>0</v>
      </c>
      <c r="X116" s="179">
        <f t="shared" si="41"/>
        <v>221744</v>
      </c>
      <c r="Y116" s="179">
        <f>'MSPL-2(LOT)'!N386+'MSPL-2(LOT)'!N419+'MSPL-2(LOT)'!N452+'MSPL-2(LOT)'!N483</f>
        <v>0</v>
      </c>
      <c r="Z116" s="179">
        <f t="shared" si="42"/>
        <v>221744</v>
      </c>
      <c r="AA116" s="179">
        <f t="shared" ref="AA116:AA130" si="50">W116-Y116</f>
        <v>0</v>
      </c>
      <c r="AB116" s="179">
        <f t="shared" si="43"/>
        <v>0</v>
      </c>
      <c r="AC116" s="179">
        <f t="shared" ref="AC116:AC130" si="51">U116-W116</f>
        <v>0</v>
      </c>
      <c r="AD116" s="179">
        <f t="shared" si="44"/>
        <v>5876.2160000000003</v>
      </c>
      <c r="AE116" s="179">
        <f t="shared" ref="AE116:AE130" si="52">AD116/75</f>
        <v>78.349546666666669</v>
      </c>
      <c r="AF116" s="179">
        <f t="shared" si="45"/>
        <v>0</v>
      </c>
      <c r="AG116" s="179">
        <f t="shared" ref="AG116:AG130" si="53">AE116-AF116</f>
        <v>78.349546666666669</v>
      </c>
      <c r="AH116" s="6"/>
    </row>
    <row r="117" spans="1:34" s="43" customFormat="1" ht="15.75">
      <c r="A117" s="179">
        <v>3</v>
      </c>
      <c r="B117" s="180" t="s">
        <v>31</v>
      </c>
      <c r="C117" s="181" t="s">
        <v>94</v>
      </c>
      <c r="D117" s="182">
        <v>45</v>
      </c>
      <c r="E117" s="193"/>
      <c r="F117" s="179">
        <v>59742</v>
      </c>
      <c r="G117" s="179">
        <v>61950</v>
      </c>
      <c r="H117" s="179">
        <v>48579</v>
      </c>
      <c r="I117" s="179">
        <v>51473</v>
      </c>
      <c r="J117" s="179"/>
      <c r="K117" s="179">
        <f t="shared" si="46"/>
        <v>221744</v>
      </c>
      <c r="L117" s="179">
        <v>11.5</v>
      </c>
      <c r="M117" s="179">
        <v>180</v>
      </c>
      <c r="N117" s="10"/>
      <c r="O117" s="179">
        <f t="shared" si="47"/>
        <v>180</v>
      </c>
      <c r="P117" s="10"/>
      <c r="Q117" s="179">
        <f t="shared" si="48"/>
        <v>221744</v>
      </c>
      <c r="R117" s="179">
        <f t="shared" si="49"/>
        <v>2550056</v>
      </c>
      <c r="S117" s="179">
        <f>'MSPL-2(LOT)'!H387+'MSPL-2(LOT)'!H420+'MSPL-2(LOT)'!H453+'MSPL-2(LOT)'!H484</f>
        <v>0</v>
      </c>
      <c r="T117" s="179">
        <f t="shared" si="38"/>
        <v>2550056</v>
      </c>
      <c r="U117" s="179">
        <f t="shared" si="39"/>
        <v>0</v>
      </c>
      <c r="V117" s="179">
        <f t="shared" si="40"/>
        <v>221744</v>
      </c>
      <c r="W117" s="179">
        <f>'MSPL-2(LOT)'!L387+'MSPL-2(LOT)'!L420+'MSPL-2(LOT)'!L453+'MSPL-2(LOT)'!L484</f>
        <v>0</v>
      </c>
      <c r="X117" s="179">
        <f t="shared" si="41"/>
        <v>221744</v>
      </c>
      <c r="Y117" s="179">
        <f>'MSPL-2(LOT)'!N387+'MSPL-2(LOT)'!N420+'MSPL-2(LOT)'!N453+'MSPL-2(LOT)'!N484</f>
        <v>0</v>
      </c>
      <c r="Z117" s="179">
        <f t="shared" si="42"/>
        <v>221744</v>
      </c>
      <c r="AA117" s="179">
        <f t="shared" si="50"/>
        <v>0</v>
      </c>
      <c r="AB117" s="179">
        <f t="shared" si="43"/>
        <v>0</v>
      </c>
      <c r="AC117" s="179">
        <f t="shared" si="51"/>
        <v>0</v>
      </c>
      <c r="AD117" s="179">
        <f t="shared" si="44"/>
        <v>9978.48</v>
      </c>
      <c r="AE117" s="179">
        <f t="shared" si="52"/>
        <v>133.04640000000001</v>
      </c>
      <c r="AF117" s="179">
        <f t="shared" si="45"/>
        <v>0</v>
      </c>
      <c r="AG117" s="179">
        <f t="shared" si="53"/>
        <v>133.04640000000001</v>
      </c>
      <c r="AH117" s="6"/>
    </row>
    <row r="118" spans="1:34" s="43" customFormat="1" ht="15.75">
      <c r="A118" s="179">
        <v>4</v>
      </c>
      <c r="B118" s="180" t="s">
        <v>48</v>
      </c>
      <c r="C118" s="181" t="s">
        <v>94</v>
      </c>
      <c r="D118" s="182">
        <v>25.5</v>
      </c>
      <c r="E118" s="182"/>
      <c r="F118" s="179">
        <v>54300</v>
      </c>
      <c r="G118" s="179">
        <v>48335</v>
      </c>
      <c r="H118" s="179">
        <v>43636</v>
      </c>
      <c r="I118" s="179">
        <v>36618</v>
      </c>
      <c r="J118" s="179"/>
      <c r="K118" s="179">
        <f t="shared" si="46"/>
        <v>182889</v>
      </c>
      <c r="L118" s="179">
        <v>6.75</v>
      </c>
      <c r="M118" s="179">
        <v>78</v>
      </c>
      <c r="N118" s="10"/>
      <c r="O118" s="179">
        <f t="shared" si="47"/>
        <v>78</v>
      </c>
      <c r="P118" s="10"/>
      <c r="Q118" s="179">
        <f t="shared" si="48"/>
        <v>182889</v>
      </c>
      <c r="R118" s="179">
        <f t="shared" si="49"/>
        <v>1234500.75</v>
      </c>
      <c r="S118" s="179">
        <f>'MSPL-2(LOT)'!H388+'MSPL-2(LOT)'!H421+'MSPL-2(LOT)'!H454+'MSPL-2(LOT)'!H485</f>
        <v>0</v>
      </c>
      <c r="T118" s="179">
        <f t="shared" si="38"/>
        <v>1234500.75</v>
      </c>
      <c r="U118" s="179">
        <f t="shared" si="39"/>
        <v>0</v>
      </c>
      <c r="V118" s="179">
        <f t="shared" si="40"/>
        <v>182889</v>
      </c>
      <c r="W118" s="179">
        <f>'MSPL-2(LOT)'!L388+'MSPL-2(LOT)'!L421+'MSPL-2(LOT)'!L454+'MSPL-2(LOT)'!L485</f>
        <v>0</v>
      </c>
      <c r="X118" s="179">
        <f t="shared" si="41"/>
        <v>182889</v>
      </c>
      <c r="Y118" s="179">
        <f>'MSPL-2(LOT)'!N388+'MSPL-2(LOT)'!N421+'MSPL-2(LOT)'!N454+'MSPL-2(LOT)'!N485</f>
        <v>0</v>
      </c>
      <c r="Z118" s="179">
        <f t="shared" si="42"/>
        <v>182889</v>
      </c>
      <c r="AA118" s="179">
        <f t="shared" si="50"/>
        <v>0</v>
      </c>
      <c r="AB118" s="179">
        <f t="shared" si="43"/>
        <v>0</v>
      </c>
      <c r="AC118" s="179">
        <f t="shared" si="51"/>
        <v>0</v>
      </c>
      <c r="AD118" s="179">
        <f t="shared" si="44"/>
        <v>4663.6695</v>
      </c>
      <c r="AE118" s="179">
        <f t="shared" si="52"/>
        <v>62.182259999999999</v>
      </c>
      <c r="AF118" s="179">
        <f t="shared" si="45"/>
        <v>0</v>
      </c>
      <c r="AG118" s="179">
        <f t="shared" si="53"/>
        <v>62.182259999999999</v>
      </c>
      <c r="AH118" s="6"/>
    </row>
    <row r="119" spans="1:34" s="43" customFormat="1" ht="15.75">
      <c r="A119" s="179">
        <v>5</v>
      </c>
      <c r="B119" s="180" t="s">
        <v>75</v>
      </c>
      <c r="C119" s="181" t="s">
        <v>94</v>
      </c>
      <c r="D119" s="182">
        <v>19.5</v>
      </c>
      <c r="E119" s="182"/>
      <c r="F119" s="179">
        <v>4410</v>
      </c>
      <c r="G119" s="179">
        <v>12030</v>
      </c>
      <c r="H119" s="179">
        <v>4385</v>
      </c>
      <c r="I119" s="179">
        <v>13603</v>
      </c>
      <c r="J119" s="179"/>
      <c r="K119" s="179">
        <f t="shared" si="46"/>
        <v>34428</v>
      </c>
      <c r="L119" s="179">
        <v>5.75</v>
      </c>
      <c r="M119" s="179">
        <v>22</v>
      </c>
      <c r="N119" s="10"/>
      <c r="O119" s="179">
        <f t="shared" si="47"/>
        <v>22</v>
      </c>
      <c r="P119" s="10"/>
      <c r="Q119" s="179">
        <f t="shared" si="48"/>
        <v>34428</v>
      </c>
      <c r="R119" s="179">
        <f t="shared" si="49"/>
        <v>197961</v>
      </c>
      <c r="S119" s="179">
        <f>'MSPL-2(LOT)'!H389+'MSPL-2(LOT)'!H422+'MSPL-2(LOT)'!H455+'MSPL-2(LOT)'!H486</f>
        <v>0</v>
      </c>
      <c r="T119" s="179">
        <f t="shared" si="38"/>
        <v>197961</v>
      </c>
      <c r="U119" s="179">
        <f t="shared" si="39"/>
        <v>0</v>
      </c>
      <c r="V119" s="179">
        <f t="shared" si="40"/>
        <v>34428</v>
      </c>
      <c r="W119" s="179">
        <f>'MSPL-2(LOT)'!L389+'MSPL-2(LOT)'!L422+'MSPL-2(LOT)'!L455+'MSPL-2(LOT)'!L486</f>
        <v>0</v>
      </c>
      <c r="X119" s="179">
        <f t="shared" si="41"/>
        <v>34428</v>
      </c>
      <c r="Y119" s="179">
        <f>'MSPL-2(LOT)'!N389+'MSPL-2(LOT)'!N422+'MSPL-2(LOT)'!N455+'MSPL-2(LOT)'!N486</f>
        <v>0</v>
      </c>
      <c r="Z119" s="179">
        <f t="shared" si="42"/>
        <v>34428</v>
      </c>
      <c r="AA119" s="179">
        <f t="shared" si="50"/>
        <v>0</v>
      </c>
      <c r="AB119" s="179">
        <f t="shared" si="43"/>
        <v>0</v>
      </c>
      <c r="AC119" s="179">
        <f t="shared" si="51"/>
        <v>0</v>
      </c>
      <c r="AD119" s="179">
        <f t="shared" si="44"/>
        <v>671.346</v>
      </c>
      <c r="AE119" s="179">
        <f t="shared" si="52"/>
        <v>8.9512800000000006</v>
      </c>
      <c r="AF119" s="179">
        <f t="shared" si="45"/>
        <v>0</v>
      </c>
      <c r="AG119" s="179">
        <f t="shared" si="53"/>
        <v>8.9512800000000006</v>
      </c>
      <c r="AH119" s="6"/>
    </row>
    <row r="120" spans="1:34" s="43" customFormat="1" ht="15.75">
      <c r="A120" s="179">
        <v>6</v>
      </c>
      <c r="B120" s="180" t="s">
        <v>76</v>
      </c>
      <c r="C120" s="181" t="s">
        <v>94</v>
      </c>
      <c r="D120" s="182">
        <v>18.5</v>
      </c>
      <c r="E120" s="182"/>
      <c r="F120" s="179">
        <v>922</v>
      </c>
      <c r="G120" s="179">
        <v>615</v>
      </c>
      <c r="H120" s="179">
        <v>559</v>
      </c>
      <c r="I120" s="179">
        <v>809</v>
      </c>
      <c r="J120" s="179"/>
      <c r="K120" s="179">
        <f t="shared" si="46"/>
        <v>2905</v>
      </c>
      <c r="L120" s="179">
        <v>5.25</v>
      </c>
      <c r="M120" s="179">
        <v>20</v>
      </c>
      <c r="N120" s="10"/>
      <c r="O120" s="179">
        <f t="shared" si="47"/>
        <v>20</v>
      </c>
      <c r="P120" s="10"/>
      <c r="Q120" s="179">
        <f t="shared" si="48"/>
        <v>2905</v>
      </c>
      <c r="R120" s="179">
        <f t="shared" si="49"/>
        <v>15251.25</v>
      </c>
      <c r="S120" s="179">
        <f>'MSPL-2(LOT)'!H390+'MSPL-2(LOT)'!H423+'MSPL-2(LOT)'!H456+'MSPL-2(LOT)'!H487</f>
        <v>0</v>
      </c>
      <c r="T120" s="179">
        <f t="shared" si="38"/>
        <v>15251.25</v>
      </c>
      <c r="U120" s="179">
        <f t="shared" si="39"/>
        <v>0</v>
      </c>
      <c r="V120" s="179">
        <f t="shared" si="40"/>
        <v>2905</v>
      </c>
      <c r="W120" s="179">
        <f>'MSPL-2(LOT)'!L390+'MSPL-2(LOT)'!L423+'MSPL-2(LOT)'!L456+'MSPL-2(LOT)'!L487</f>
        <v>0</v>
      </c>
      <c r="X120" s="179">
        <f t="shared" si="41"/>
        <v>2905</v>
      </c>
      <c r="Y120" s="179">
        <f>'MSPL-2(LOT)'!N390+'MSPL-2(LOT)'!N423+'MSPL-2(LOT)'!N456+'MSPL-2(LOT)'!N487</f>
        <v>0</v>
      </c>
      <c r="Z120" s="179">
        <f t="shared" si="42"/>
        <v>2905</v>
      </c>
      <c r="AA120" s="179">
        <f t="shared" si="50"/>
        <v>0</v>
      </c>
      <c r="AB120" s="179">
        <f t="shared" si="43"/>
        <v>0</v>
      </c>
      <c r="AC120" s="179">
        <f t="shared" si="51"/>
        <v>0</v>
      </c>
      <c r="AD120" s="179">
        <f t="shared" si="44"/>
        <v>53.7425</v>
      </c>
      <c r="AE120" s="179">
        <f t="shared" si="52"/>
        <v>0.71656666666666669</v>
      </c>
      <c r="AF120" s="179">
        <f t="shared" si="45"/>
        <v>0</v>
      </c>
      <c r="AG120" s="179">
        <f t="shared" si="53"/>
        <v>0.71656666666666669</v>
      </c>
      <c r="AH120" s="6"/>
    </row>
    <row r="121" spans="1:34" s="43" customFormat="1" ht="15.75">
      <c r="A121" s="179">
        <v>7</v>
      </c>
      <c r="B121" s="180" t="s">
        <v>51</v>
      </c>
      <c r="C121" s="181" t="s">
        <v>94</v>
      </c>
      <c r="D121" s="182">
        <v>19.5</v>
      </c>
      <c r="E121" s="182"/>
      <c r="F121" s="179">
        <v>110</v>
      </c>
      <c r="G121" s="179">
        <v>1950</v>
      </c>
      <c r="H121" s="179"/>
      <c r="I121" s="179">
        <v>47</v>
      </c>
      <c r="J121" s="179"/>
      <c r="K121" s="179">
        <f t="shared" si="46"/>
        <v>2107</v>
      </c>
      <c r="L121" s="179">
        <v>5.75</v>
      </c>
      <c r="M121" s="179">
        <v>22</v>
      </c>
      <c r="N121" s="10"/>
      <c r="O121" s="179">
        <f t="shared" si="47"/>
        <v>22</v>
      </c>
      <c r="P121" s="10"/>
      <c r="Q121" s="179">
        <f t="shared" si="48"/>
        <v>2107</v>
      </c>
      <c r="R121" s="179">
        <f t="shared" si="49"/>
        <v>12115.25</v>
      </c>
      <c r="S121" s="179">
        <f>'MSPL-2(LOT)'!H391+'MSPL-2(LOT)'!H424+'MSPL-2(LOT)'!H457+'MSPL-2(LOT)'!H488</f>
        <v>0</v>
      </c>
      <c r="T121" s="179">
        <f t="shared" si="38"/>
        <v>12115.25</v>
      </c>
      <c r="U121" s="179">
        <f t="shared" si="39"/>
        <v>0</v>
      </c>
      <c r="V121" s="179">
        <f t="shared" si="40"/>
        <v>2107</v>
      </c>
      <c r="W121" s="179">
        <f>'MSPL-2(LOT)'!L391+'MSPL-2(LOT)'!L424+'MSPL-2(LOT)'!L457+'MSPL-2(LOT)'!L488</f>
        <v>0</v>
      </c>
      <c r="X121" s="179">
        <f t="shared" si="41"/>
        <v>2107</v>
      </c>
      <c r="Y121" s="179">
        <f>'MSPL-2(LOT)'!N391+'MSPL-2(LOT)'!N424+'MSPL-2(LOT)'!N457+'MSPL-2(LOT)'!N488</f>
        <v>0</v>
      </c>
      <c r="Z121" s="179">
        <f t="shared" si="42"/>
        <v>2107</v>
      </c>
      <c r="AA121" s="179">
        <f t="shared" si="50"/>
        <v>0</v>
      </c>
      <c r="AB121" s="179">
        <f t="shared" si="43"/>
        <v>0</v>
      </c>
      <c r="AC121" s="179">
        <f t="shared" si="51"/>
        <v>0</v>
      </c>
      <c r="AD121" s="179">
        <f t="shared" si="44"/>
        <v>41.086500000000001</v>
      </c>
      <c r="AE121" s="179">
        <f t="shared" si="52"/>
        <v>0.54781999999999997</v>
      </c>
      <c r="AF121" s="179">
        <f t="shared" si="45"/>
        <v>0</v>
      </c>
      <c r="AG121" s="179">
        <f t="shared" si="53"/>
        <v>0.54781999999999997</v>
      </c>
      <c r="AH121" s="6"/>
    </row>
    <row r="122" spans="1:34" s="43" customFormat="1" ht="15.75">
      <c r="A122" s="179">
        <v>8</v>
      </c>
      <c r="B122" s="180" t="s">
        <v>95</v>
      </c>
      <c r="C122" s="181" t="s">
        <v>94</v>
      </c>
      <c r="D122" s="182">
        <v>29.5</v>
      </c>
      <c r="E122" s="182"/>
      <c r="F122" s="179">
        <v>15675</v>
      </c>
      <c r="G122" s="179">
        <v>21550</v>
      </c>
      <c r="H122" s="179">
        <v>30179</v>
      </c>
      <c r="I122" s="179">
        <v>29523</v>
      </c>
      <c r="J122" s="179"/>
      <c r="K122" s="179">
        <f t="shared" si="46"/>
        <v>96927</v>
      </c>
      <c r="L122" s="179">
        <v>7.75</v>
      </c>
      <c r="M122" s="179">
        <v>60</v>
      </c>
      <c r="N122" s="10"/>
      <c r="O122" s="179">
        <f t="shared" si="47"/>
        <v>60</v>
      </c>
      <c r="P122" s="10"/>
      <c r="Q122" s="179">
        <f t="shared" si="48"/>
        <v>96927</v>
      </c>
      <c r="R122" s="179">
        <f t="shared" si="49"/>
        <v>751184.25</v>
      </c>
      <c r="S122" s="179">
        <f>'MSPL-2(LOT)'!H392+'MSPL-2(LOT)'!H425+'MSPL-2(LOT)'!H458+'MSPL-2(LOT)'!H489</f>
        <v>0</v>
      </c>
      <c r="T122" s="179">
        <f t="shared" si="38"/>
        <v>751184.25</v>
      </c>
      <c r="U122" s="179">
        <f t="shared" si="39"/>
        <v>0</v>
      </c>
      <c r="V122" s="179">
        <f t="shared" si="40"/>
        <v>96927</v>
      </c>
      <c r="W122" s="179">
        <f>'MSPL-2(LOT)'!L392+'MSPL-2(LOT)'!L425+'MSPL-2(LOT)'!L458+'MSPL-2(LOT)'!L489</f>
        <v>0</v>
      </c>
      <c r="X122" s="179">
        <f t="shared" si="41"/>
        <v>96927</v>
      </c>
      <c r="Y122" s="179">
        <f>'MSPL-2(LOT)'!N392+'MSPL-2(LOT)'!N425+'MSPL-2(LOT)'!N458+'MSPL-2(LOT)'!N489</f>
        <v>0</v>
      </c>
      <c r="Z122" s="179">
        <f t="shared" si="42"/>
        <v>96927</v>
      </c>
      <c r="AA122" s="179">
        <f t="shared" si="50"/>
        <v>0</v>
      </c>
      <c r="AB122" s="179">
        <f t="shared" si="43"/>
        <v>0</v>
      </c>
      <c r="AC122" s="179">
        <f t="shared" si="51"/>
        <v>0</v>
      </c>
      <c r="AD122" s="179">
        <f t="shared" si="44"/>
        <v>2859.3465000000001</v>
      </c>
      <c r="AE122" s="179">
        <f t="shared" si="52"/>
        <v>38.12462</v>
      </c>
      <c r="AF122" s="179">
        <f t="shared" si="45"/>
        <v>0</v>
      </c>
      <c r="AG122" s="179">
        <f t="shared" si="53"/>
        <v>38.12462</v>
      </c>
      <c r="AH122" s="6"/>
    </row>
    <row r="123" spans="1:34" s="43" customFormat="1" ht="15.75">
      <c r="A123" s="179">
        <v>9</v>
      </c>
      <c r="B123" s="180" t="s">
        <v>109</v>
      </c>
      <c r="C123" s="181" t="s">
        <v>94</v>
      </c>
      <c r="D123" s="182">
        <v>16.5</v>
      </c>
      <c r="E123" s="182"/>
      <c r="F123" s="179">
        <v>13975</v>
      </c>
      <c r="G123" s="179">
        <v>20550</v>
      </c>
      <c r="H123" s="179">
        <v>23498</v>
      </c>
      <c r="I123" s="179">
        <v>19299</v>
      </c>
      <c r="J123" s="179"/>
      <c r="K123" s="179">
        <f t="shared" si="46"/>
        <v>77322</v>
      </c>
      <c r="L123" s="179">
        <v>4.25</v>
      </c>
      <c r="M123" s="179">
        <v>34</v>
      </c>
      <c r="N123" s="10"/>
      <c r="O123" s="179">
        <f t="shared" si="47"/>
        <v>34</v>
      </c>
      <c r="P123" s="10"/>
      <c r="Q123" s="179">
        <f t="shared" si="48"/>
        <v>77322</v>
      </c>
      <c r="R123" s="179">
        <f t="shared" si="49"/>
        <v>328618.5</v>
      </c>
      <c r="S123" s="179">
        <f>'MSPL-2(LOT)'!H393+'MSPL-2(LOT)'!H426+'MSPL-2(LOT)'!H459+'MSPL-2(LOT)'!H490</f>
        <v>0</v>
      </c>
      <c r="T123" s="179">
        <f t="shared" si="38"/>
        <v>328618.5</v>
      </c>
      <c r="U123" s="179">
        <f t="shared" si="39"/>
        <v>0</v>
      </c>
      <c r="V123" s="179">
        <f t="shared" si="40"/>
        <v>77322</v>
      </c>
      <c r="W123" s="179">
        <f>'MSPL-2(LOT)'!L393+'MSPL-2(LOT)'!L426+'MSPL-2(LOT)'!L459+'MSPL-2(LOT)'!L490</f>
        <v>0</v>
      </c>
      <c r="X123" s="179">
        <f t="shared" si="41"/>
        <v>77322</v>
      </c>
      <c r="Y123" s="179">
        <f>'MSPL-2(LOT)'!N393+'MSPL-2(LOT)'!N426+'MSPL-2(LOT)'!N459+'MSPL-2(LOT)'!N490</f>
        <v>0</v>
      </c>
      <c r="Z123" s="179">
        <f t="shared" si="42"/>
        <v>77322</v>
      </c>
      <c r="AA123" s="179">
        <f t="shared" si="50"/>
        <v>0</v>
      </c>
      <c r="AB123" s="179">
        <f t="shared" si="43"/>
        <v>0</v>
      </c>
      <c r="AC123" s="179">
        <f t="shared" si="51"/>
        <v>0</v>
      </c>
      <c r="AD123" s="179">
        <f t="shared" si="44"/>
        <v>1275.8130000000001</v>
      </c>
      <c r="AE123" s="179">
        <f t="shared" si="52"/>
        <v>17.010840000000002</v>
      </c>
      <c r="AF123" s="179">
        <f t="shared" si="45"/>
        <v>0</v>
      </c>
      <c r="AG123" s="179">
        <f t="shared" si="53"/>
        <v>17.010840000000002</v>
      </c>
      <c r="AH123" s="6"/>
    </row>
    <row r="124" spans="1:34" s="43" customFormat="1" ht="15.75">
      <c r="A124" s="179">
        <v>10</v>
      </c>
      <c r="B124" s="180" t="s">
        <v>96</v>
      </c>
      <c r="C124" s="181" t="s">
        <v>94</v>
      </c>
      <c r="D124" s="182">
        <v>24</v>
      </c>
      <c r="E124" s="182"/>
      <c r="F124" s="179">
        <v>15675</v>
      </c>
      <c r="G124" s="179">
        <v>21550</v>
      </c>
      <c r="H124" s="179">
        <v>30179</v>
      </c>
      <c r="I124" s="179">
        <v>29448</v>
      </c>
      <c r="J124" s="179"/>
      <c r="K124" s="179">
        <f t="shared" si="46"/>
        <v>96852</v>
      </c>
      <c r="L124" s="179">
        <v>6</v>
      </c>
      <c r="M124" s="179">
        <v>48</v>
      </c>
      <c r="N124" s="10"/>
      <c r="O124" s="179">
        <f t="shared" si="47"/>
        <v>48</v>
      </c>
      <c r="P124" s="10"/>
      <c r="Q124" s="179">
        <f t="shared" si="48"/>
        <v>96852</v>
      </c>
      <c r="R124" s="179">
        <f t="shared" si="49"/>
        <v>581112</v>
      </c>
      <c r="S124" s="179">
        <f>'MSPL-2(LOT)'!H394+'MSPL-2(LOT)'!H427+'MSPL-2(LOT)'!H460+'MSPL-2(LOT)'!H491</f>
        <v>0</v>
      </c>
      <c r="T124" s="179">
        <f t="shared" si="38"/>
        <v>581112</v>
      </c>
      <c r="U124" s="179">
        <f t="shared" si="39"/>
        <v>0</v>
      </c>
      <c r="V124" s="179">
        <f t="shared" si="40"/>
        <v>96852</v>
      </c>
      <c r="W124" s="179">
        <f>'MSPL-2(LOT)'!L394+'MSPL-2(LOT)'!L427+'MSPL-2(LOT)'!L460+'MSPL-2(LOT)'!L491</f>
        <v>0</v>
      </c>
      <c r="X124" s="179">
        <f t="shared" si="41"/>
        <v>96852</v>
      </c>
      <c r="Y124" s="179">
        <f>'MSPL-2(LOT)'!N394+'MSPL-2(LOT)'!N427+'MSPL-2(LOT)'!N460+'MSPL-2(LOT)'!N491</f>
        <v>0</v>
      </c>
      <c r="Z124" s="179">
        <f t="shared" si="42"/>
        <v>96852</v>
      </c>
      <c r="AA124" s="179">
        <f t="shared" si="50"/>
        <v>0</v>
      </c>
      <c r="AB124" s="179">
        <f t="shared" si="43"/>
        <v>0</v>
      </c>
      <c r="AC124" s="179">
        <f t="shared" si="51"/>
        <v>0</v>
      </c>
      <c r="AD124" s="179">
        <f t="shared" si="44"/>
        <v>2324.4479999999999</v>
      </c>
      <c r="AE124" s="179">
        <f t="shared" si="52"/>
        <v>30.992639999999998</v>
      </c>
      <c r="AF124" s="179">
        <f t="shared" si="45"/>
        <v>0</v>
      </c>
      <c r="AG124" s="179">
        <f t="shared" si="53"/>
        <v>30.992639999999998</v>
      </c>
      <c r="AH124" s="6"/>
    </row>
    <row r="125" spans="1:34" s="43" customFormat="1" ht="15.75">
      <c r="A125" s="179">
        <v>11</v>
      </c>
      <c r="B125" s="180" t="s">
        <v>97</v>
      </c>
      <c r="C125" s="181" t="s">
        <v>94</v>
      </c>
      <c r="D125" s="182">
        <v>19.5</v>
      </c>
      <c r="E125" s="182"/>
      <c r="F125" s="179">
        <v>1700</v>
      </c>
      <c r="G125" s="179">
        <v>6150</v>
      </c>
      <c r="H125" s="179">
        <v>8196</v>
      </c>
      <c r="I125" s="179">
        <v>11741</v>
      </c>
      <c r="J125" s="179"/>
      <c r="K125" s="179">
        <f t="shared" si="46"/>
        <v>27787</v>
      </c>
      <c r="L125" s="179">
        <v>5.75</v>
      </c>
      <c r="M125" s="179">
        <v>22</v>
      </c>
      <c r="N125" s="10"/>
      <c r="O125" s="179">
        <f t="shared" si="47"/>
        <v>22</v>
      </c>
      <c r="P125" s="10"/>
      <c r="Q125" s="179">
        <f t="shared" si="48"/>
        <v>27787</v>
      </c>
      <c r="R125" s="179">
        <f t="shared" si="49"/>
        <v>159775.25</v>
      </c>
      <c r="S125" s="179">
        <f>'MSPL-2(LOT)'!H395+'MSPL-2(LOT)'!H428+'MSPL-2(LOT)'!H461+'MSPL-2(LOT)'!H492</f>
        <v>0</v>
      </c>
      <c r="T125" s="179">
        <f t="shared" si="38"/>
        <v>159775.25</v>
      </c>
      <c r="U125" s="179">
        <f t="shared" si="39"/>
        <v>0</v>
      </c>
      <c r="V125" s="179">
        <f t="shared" si="40"/>
        <v>27787</v>
      </c>
      <c r="W125" s="179">
        <f>'MSPL-2(LOT)'!L395+'MSPL-2(LOT)'!L428+'MSPL-2(LOT)'!L461+'MSPL-2(LOT)'!L492</f>
        <v>0</v>
      </c>
      <c r="X125" s="179">
        <f t="shared" si="41"/>
        <v>27787</v>
      </c>
      <c r="Y125" s="179">
        <f>'MSPL-2(LOT)'!N395+'MSPL-2(LOT)'!N428+'MSPL-2(LOT)'!N461+'MSPL-2(LOT)'!N492</f>
        <v>0</v>
      </c>
      <c r="Z125" s="179">
        <f t="shared" si="42"/>
        <v>27787</v>
      </c>
      <c r="AA125" s="179">
        <f t="shared" si="50"/>
        <v>0</v>
      </c>
      <c r="AB125" s="179">
        <f t="shared" si="43"/>
        <v>0</v>
      </c>
      <c r="AC125" s="179">
        <f t="shared" si="51"/>
        <v>0</v>
      </c>
      <c r="AD125" s="179">
        <f t="shared" si="44"/>
        <v>541.84649999999999</v>
      </c>
      <c r="AE125" s="179">
        <f t="shared" si="52"/>
        <v>7.2246199999999998</v>
      </c>
      <c r="AF125" s="179">
        <f t="shared" si="45"/>
        <v>0</v>
      </c>
      <c r="AG125" s="179">
        <f t="shared" si="53"/>
        <v>7.2246199999999998</v>
      </c>
      <c r="AH125" s="6"/>
    </row>
    <row r="126" spans="1:34" s="43" customFormat="1" ht="15.75">
      <c r="A126" s="179">
        <v>12</v>
      </c>
      <c r="B126" s="180" t="s">
        <v>98</v>
      </c>
      <c r="C126" s="181" t="s">
        <v>94</v>
      </c>
      <c r="D126" s="182">
        <v>27.5</v>
      </c>
      <c r="E126" s="182"/>
      <c r="F126" s="179">
        <v>19472</v>
      </c>
      <c r="G126" s="179">
        <v>27800</v>
      </c>
      <c r="H126" s="179">
        <v>1869</v>
      </c>
      <c r="I126" s="179">
        <v>10753</v>
      </c>
      <c r="J126" s="179"/>
      <c r="K126" s="179">
        <f t="shared" si="46"/>
        <v>59894</v>
      </c>
      <c r="L126" s="179">
        <v>7.75</v>
      </c>
      <c r="M126" s="179">
        <v>30</v>
      </c>
      <c r="N126" s="10"/>
      <c r="O126" s="179">
        <f t="shared" si="47"/>
        <v>30</v>
      </c>
      <c r="P126" s="10"/>
      <c r="Q126" s="179">
        <f t="shared" si="48"/>
        <v>59894</v>
      </c>
      <c r="R126" s="179">
        <f t="shared" si="49"/>
        <v>464178.5</v>
      </c>
      <c r="S126" s="179">
        <f>'MSPL-2(LOT)'!H396+'MSPL-2(LOT)'!H429+'MSPL-2(LOT)'!H462+'MSPL-2(LOT)'!H493</f>
        <v>0</v>
      </c>
      <c r="T126" s="179">
        <f t="shared" si="38"/>
        <v>464178.5</v>
      </c>
      <c r="U126" s="179">
        <f t="shared" si="39"/>
        <v>0</v>
      </c>
      <c r="V126" s="179">
        <f t="shared" si="40"/>
        <v>59894</v>
      </c>
      <c r="W126" s="179">
        <f>'MSPL-2(LOT)'!L396+'MSPL-2(LOT)'!L429+'MSPL-2(LOT)'!L462+'MSPL-2(LOT)'!L493</f>
        <v>0</v>
      </c>
      <c r="X126" s="179">
        <f t="shared" si="41"/>
        <v>59894</v>
      </c>
      <c r="Y126" s="179">
        <f>'MSPL-2(LOT)'!N396+'MSPL-2(LOT)'!N429+'MSPL-2(LOT)'!N462+'MSPL-2(LOT)'!N493</f>
        <v>0</v>
      </c>
      <c r="Z126" s="179">
        <f t="shared" si="42"/>
        <v>59894</v>
      </c>
      <c r="AA126" s="179">
        <f t="shared" si="50"/>
        <v>0</v>
      </c>
      <c r="AB126" s="179">
        <f t="shared" si="43"/>
        <v>0</v>
      </c>
      <c r="AC126" s="179">
        <f t="shared" si="51"/>
        <v>0</v>
      </c>
      <c r="AD126" s="179">
        <f t="shared" si="44"/>
        <v>1647.085</v>
      </c>
      <c r="AE126" s="179">
        <f t="shared" si="52"/>
        <v>21.961133333333333</v>
      </c>
      <c r="AF126" s="179">
        <f t="shared" si="45"/>
        <v>0</v>
      </c>
      <c r="AG126" s="179">
        <f t="shared" si="53"/>
        <v>21.961133333333333</v>
      </c>
      <c r="AH126" s="6"/>
    </row>
    <row r="127" spans="1:34" s="43" customFormat="1" ht="15.75">
      <c r="A127" s="179">
        <v>13</v>
      </c>
      <c r="B127" s="180" t="s">
        <v>99</v>
      </c>
      <c r="C127" s="181" t="s">
        <v>94</v>
      </c>
      <c r="D127" s="182">
        <v>24.5</v>
      </c>
      <c r="E127" s="182"/>
      <c r="F127" s="179"/>
      <c r="G127" s="179"/>
      <c r="H127" s="179"/>
      <c r="I127" s="179"/>
      <c r="J127" s="179"/>
      <c r="K127" s="179">
        <f t="shared" si="46"/>
        <v>0</v>
      </c>
      <c r="L127" s="179">
        <v>6.25</v>
      </c>
      <c r="M127" s="179">
        <v>0</v>
      </c>
      <c r="N127" s="10"/>
      <c r="O127" s="179">
        <f t="shared" si="47"/>
        <v>0</v>
      </c>
      <c r="P127" s="10"/>
      <c r="Q127" s="179">
        <f t="shared" si="48"/>
        <v>0</v>
      </c>
      <c r="R127" s="179">
        <f t="shared" si="49"/>
        <v>0</v>
      </c>
      <c r="S127" s="179">
        <f>'MSPL-2(LOT)'!H397+'MSPL-2(LOT)'!H430+'MSPL-2(LOT)'!H463+'MSPL-2(LOT)'!H494</f>
        <v>0</v>
      </c>
      <c r="T127" s="179">
        <f t="shared" si="38"/>
        <v>0</v>
      </c>
      <c r="U127" s="179">
        <f t="shared" si="39"/>
        <v>0</v>
      </c>
      <c r="V127" s="179">
        <f t="shared" si="40"/>
        <v>0</v>
      </c>
      <c r="W127" s="179">
        <f>'MSPL-2(LOT)'!L397+'MSPL-2(LOT)'!L430+'MSPL-2(LOT)'!L463+'MSPL-2(LOT)'!L494</f>
        <v>0</v>
      </c>
      <c r="X127" s="179">
        <f t="shared" si="41"/>
        <v>0</v>
      </c>
      <c r="Y127" s="179">
        <f>'MSPL-2(LOT)'!N397+'MSPL-2(LOT)'!N430+'MSPL-2(LOT)'!N463+'MSPL-2(LOT)'!N494</f>
        <v>0</v>
      </c>
      <c r="Z127" s="179">
        <f t="shared" si="42"/>
        <v>0</v>
      </c>
      <c r="AA127" s="179">
        <f t="shared" si="50"/>
        <v>0</v>
      </c>
      <c r="AB127" s="179">
        <f t="shared" si="43"/>
        <v>0</v>
      </c>
      <c r="AC127" s="179">
        <f t="shared" si="51"/>
        <v>0</v>
      </c>
      <c r="AD127" s="179">
        <f t="shared" si="44"/>
        <v>0</v>
      </c>
      <c r="AE127" s="179">
        <f t="shared" si="52"/>
        <v>0</v>
      </c>
      <c r="AF127" s="179">
        <f t="shared" si="45"/>
        <v>0</v>
      </c>
      <c r="AG127" s="179">
        <f t="shared" si="53"/>
        <v>0</v>
      </c>
      <c r="AH127" s="6"/>
    </row>
    <row r="128" spans="1:34" s="43" customFormat="1" ht="15.75">
      <c r="A128" s="179">
        <v>14</v>
      </c>
      <c r="B128" s="180" t="s">
        <v>148</v>
      </c>
      <c r="C128" s="181" t="s">
        <v>94</v>
      </c>
      <c r="D128" s="182">
        <v>43</v>
      </c>
      <c r="E128" s="182"/>
      <c r="F128" s="179"/>
      <c r="G128" s="179"/>
      <c r="H128" s="179"/>
      <c r="I128" s="179"/>
      <c r="J128" s="179"/>
      <c r="K128" s="179">
        <f t="shared" si="46"/>
        <v>0</v>
      </c>
      <c r="L128" s="179">
        <v>11.5</v>
      </c>
      <c r="M128" s="179">
        <v>0</v>
      </c>
      <c r="N128" s="10"/>
      <c r="O128" s="179">
        <f t="shared" si="47"/>
        <v>0</v>
      </c>
      <c r="P128" s="10"/>
      <c r="Q128" s="179">
        <f t="shared" si="48"/>
        <v>0</v>
      </c>
      <c r="R128" s="179">
        <f t="shared" si="49"/>
        <v>0</v>
      </c>
      <c r="S128" s="179">
        <f>'MSPL-2(LOT)'!H398+'MSPL-2(LOT)'!H431+'MSPL-2(LOT)'!H464+'MSPL-2(LOT)'!H495</f>
        <v>0</v>
      </c>
      <c r="T128" s="179">
        <f t="shared" si="38"/>
        <v>0</v>
      </c>
      <c r="U128" s="179">
        <f t="shared" si="39"/>
        <v>0</v>
      </c>
      <c r="V128" s="179">
        <f t="shared" si="40"/>
        <v>0</v>
      </c>
      <c r="W128" s="179">
        <f>'MSPL-2(LOT)'!L398+'MSPL-2(LOT)'!L431+'MSPL-2(LOT)'!L464+'MSPL-2(LOT)'!L495</f>
        <v>0</v>
      </c>
      <c r="X128" s="179">
        <f t="shared" si="41"/>
        <v>0</v>
      </c>
      <c r="Y128" s="179">
        <f>'MSPL-2(LOT)'!N398+'MSPL-2(LOT)'!N431+'MSPL-2(LOT)'!N464+'MSPL-2(LOT)'!N495</f>
        <v>0</v>
      </c>
      <c r="Z128" s="179">
        <f t="shared" si="42"/>
        <v>0</v>
      </c>
      <c r="AA128" s="179">
        <f t="shared" si="50"/>
        <v>0</v>
      </c>
      <c r="AB128" s="179">
        <f t="shared" si="43"/>
        <v>0</v>
      </c>
      <c r="AC128" s="179">
        <f t="shared" si="51"/>
        <v>0</v>
      </c>
      <c r="AD128" s="179">
        <f t="shared" si="44"/>
        <v>0</v>
      </c>
      <c r="AE128" s="179">
        <f t="shared" si="52"/>
        <v>0</v>
      </c>
      <c r="AF128" s="179">
        <f t="shared" si="45"/>
        <v>0</v>
      </c>
      <c r="AG128" s="179">
        <f t="shared" si="53"/>
        <v>0</v>
      </c>
      <c r="AH128" s="6"/>
    </row>
    <row r="129" spans="1:34" s="43" customFormat="1" ht="15.75">
      <c r="A129" s="179">
        <v>15</v>
      </c>
      <c r="B129" s="180" t="s">
        <v>112</v>
      </c>
      <c r="C129" s="181" t="s">
        <v>94</v>
      </c>
      <c r="D129" s="182">
        <v>21.5</v>
      </c>
      <c r="E129" s="182"/>
      <c r="F129" s="179"/>
      <c r="G129" s="179"/>
      <c r="H129" s="179"/>
      <c r="I129" s="179"/>
      <c r="J129" s="179"/>
      <c r="K129" s="179">
        <f t="shared" si="46"/>
        <v>0</v>
      </c>
      <c r="L129" s="179">
        <v>5.75</v>
      </c>
      <c r="M129" s="179">
        <v>0</v>
      </c>
      <c r="N129" s="10"/>
      <c r="O129" s="179">
        <f t="shared" si="47"/>
        <v>0</v>
      </c>
      <c r="P129" s="10"/>
      <c r="Q129" s="179">
        <f t="shared" si="48"/>
        <v>0</v>
      </c>
      <c r="R129" s="179">
        <f t="shared" si="49"/>
        <v>0</v>
      </c>
      <c r="S129" s="179">
        <f>'MSPL-2(LOT)'!H399+'MSPL-2(LOT)'!H432+'MSPL-2(LOT)'!H465+'MSPL-2(LOT)'!H496</f>
        <v>0</v>
      </c>
      <c r="T129" s="179">
        <f t="shared" si="38"/>
        <v>0</v>
      </c>
      <c r="U129" s="179">
        <f t="shared" si="39"/>
        <v>0</v>
      </c>
      <c r="V129" s="179">
        <f t="shared" si="40"/>
        <v>0</v>
      </c>
      <c r="W129" s="179">
        <f>'MSPL-2(LOT)'!L399+'MSPL-2(LOT)'!L432+'MSPL-2(LOT)'!L465+'MSPL-2(LOT)'!L496</f>
        <v>0</v>
      </c>
      <c r="X129" s="179">
        <f t="shared" si="41"/>
        <v>0</v>
      </c>
      <c r="Y129" s="179">
        <f>'MSPL-2(LOT)'!N399+'MSPL-2(LOT)'!N432+'MSPL-2(LOT)'!N465+'MSPL-2(LOT)'!N496</f>
        <v>0</v>
      </c>
      <c r="Z129" s="179">
        <f t="shared" si="42"/>
        <v>0</v>
      </c>
      <c r="AA129" s="179">
        <f t="shared" si="50"/>
        <v>0</v>
      </c>
      <c r="AB129" s="179">
        <f t="shared" si="43"/>
        <v>0</v>
      </c>
      <c r="AC129" s="179">
        <f t="shared" si="51"/>
        <v>0</v>
      </c>
      <c r="AD129" s="179">
        <f t="shared" si="44"/>
        <v>0</v>
      </c>
      <c r="AE129" s="179">
        <f t="shared" si="52"/>
        <v>0</v>
      </c>
      <c r="AF129" s="179">
        <f t="shared" si="45"/>
        <v>0</v>
      </c>
      <c r="AG129" s="179">
        <f t="shared" si="53"/>
        <v>0</v>
      </c>
      <c r="AH129" s="6"/>
    </row>
    <row r="130" spans="1:34" s="43" customFormat="1" ht="15.75">
      <c r="A130" s="179">
        <v>16</v>
      </c>
      <c r="B130" s="180" t="s">
        <v>149</v>
      </c>
      <c r="C130" s="181" t="s">
        <v>94</v>
      </c>
      <c r="D130" s="182">
        <v>22.5</v>
      </c>
      <c r="E130" s="193"/>
      <c r="F130" s="179"/>
      <c r="G130" s="179"/>
      <c r="H130" s="179"/>
      <c r="I130" s="179"/>
      <c r="J130" s="179"/>
      <c r="K130" s="179">
        <f t="shared" si="46"/>
        <v>0</v>
      </c>
      <c r="L130" s="179">
        <v>6.25</v>
      </c>
      <c r="M130" s="179">
        <v>0</v>
      </c>
      <c r="N130" s="10"/>
      <c r="O130" s="179">
        <f t="shared" si="47"/>
        <v>0</v>
      </c>
      <c r="P130" s="10"/>
      <c r="Q130" s="179">
        <f t="shared" si="48"/>
        <v>0</v>
      </c>
      <c r="R130" s="179">
        <f t="shared" si="49"/>
        <v>0</v>
      </c>
      <c r="S130" s="179">
        <f>'MSPL-2(LOT)'!H400+'MSPL-2(LOT)'!H433+'MSPL-2(LOT)'!H466+'MSPL-2(LOT)'!H497</f>
        <v>0</v>
      </c>
      <c r="T130" s="179">
        <f t="shared" si="38"/>
        <v>0</v>
      </c>
      <c r="U130" s="179">
        <f t="shared" si="39"/>
        <v>0</v>
      </c>
      <c r="V130" s="179">
        <f t="shared" si="40"/>
        <v>0</v>
      </c>
      <c r="W130" s="179">
        <f>'MSPL-2(LOT)'!L400+'MSPL-2(LOT)'!L433+'MSPL-2(LOT)'!L466+'MSPL-2(LOT)'!L497</f>
        <v>0</v>
      </c>
      <c r="X130" s="179">
        <f t="shared" si="41"/>
        <v>0</v>
      </c>
      <c r="Y130" s="179">
        <f>'MSPL-2(LOT)'!N400+'MSPL-2(LOT)'!N433+'MSPL-2(LOT)'!N466+'MSPL-2(LOT)'!N497</f>
        <v>0</v>
      </c>
      <c r="Z130" s="179">
        <f t="shared" si="42"/>
        <v>0</v>
      </c>
      <c r="AA130" s="179">
        <f t="shared" si="50"/>
        <v>0</v>
      </c>
      <c r="AB130" s="179">
        <f t="shared" si="43"/>
        <v>0</v>
      </c>
      <c r="AC130" s="179">
        <f t="shared" si="51"/>
        <v>0</v>
      </c>
      <c r="AD130" s="179">
        <f t="shared" si="44"/>
        <v>0</v>
      </c>
      <c r="AE130" s="179">
        <f t="shared" si="52"/>
        <v>0</v>
      </c>
      <c r="AF130" s="179">
        <f t="shared" si="45"/>
        <v>0</v>
      </c>
      <c r="AG130" s="179">
        <f t="shared" si="53"/>
        <v>0</v>
      </c>
      <c r="AH130" s="6"/>
    </row>
    <row r="131" spans="1:34" s="43" customFormat="1" ht="15.75">
      <c r="A131" s="383" t="s">
        <v>67</v>
      </c>
      <c r="B131" s="383"/>
      <c r="C131" s="383"/>
      <c r="D131" s="383"/>
      <c r="E131" s="74"/>
      <c r="F131" s="45">
        <f>SUM(F115:F130)</f>
        <v>305465</v>
      </c>
      <c r="G131" s="84">
        <f t="shared" ref="G131:AH131" si="54">SUM(G115:G130)</f>
        <v>346380</v>
      </c>
      <c r="H131" s="84">
        <f t="shared" si="54"/>
        <v>288238</v>
      </c>
      <c r="I131" s="84">
        <f t="shared" si="54"/>
        <v>306260</v>
      </c>
      <c r="J131" s="84">
        <f t="shared" si="54"/>
        <v>0</v>
      </c>
      <c r="K131" s="84">
        <f t="shared" si="54"/>
        <v>1246343</v>
      </c>
      <c r="L131" s="84">
        <f t="shared" si="54"/>
        <v>111.75</v>
      </c>
      <c r="M131" s="135">
        <f t="shared" ref="M131:Q131" si="55">SUM(M115:M130)</f>
        <v>752</v>
      </c>
      <c r="N131" s="135">
        <f t="shared" si="55"/>
        <v>0</v>
      </c>
      <c r="O131" s="135">
        <f t="shared" si="55"/>
        <v>752</v>
      </c>
      <c r="P131" s="143">
        <f t="shared" si="55"/>
        <v>0</v>
      </c>
      <c r="Q131" s="143">
        <f t="shared" si="55"/>
        <v>1246343</v>
      </c>
      <c r="R131" s="84">
        <f t="shared" si="54"/>
        <v>9731784.75</v>
      </c>
      <c r="S131" s="84">
        <f t="shared" si="54"/>
        <v>0</v>
      </c>
      <c r="T131" s="84">
        <f t="shared" si="54"/>
        <v>9731784.75</v>
      </c>
      <c r="U131" s="84">
        <f t="shared" si="54"/>
        <v>0</v>
      </c>
      <c r="V131" s="84">
        <f t="shared" si="54"/>
        <v>1246343</v>
      </c>
      <c r="W131" s="84">
        <f t="shared" si="54"/>
        <v>0</v>
      </c>
      <c r="X131" s="84">
        <f t="shared" si="54"/>
        <v>1246343</v>
      </c>
      <c r="Y131" s="84">
        <f t="shared" si="54"/>
        <v>0</v>
      </c>
      <c r="Z131" s="84">
        <f t="shared" si="54"/>
        <v>1246343</v>
      </c>
      <c r="AA131" s="84">
        <f t="shared" si="54"/>
        <v>0</v>
      </c>
      <c r="AB131" s="84">
        <f t="shared" si="54"/>
        <v>0</v>
      </c>
      <c r="AC131" s="143">
        <f t="shared" si="54"/>
        <v>0</v>
      </c>
      <c r="AD131" s="84">
        <f t="shared" si="54"/>
        <v>37139.7595</v>
      </c>
      <c r="AE131" s="84">
        <f t="shared" si="54"/>
        <v>495.19679333333329</v>
      </c>
      <c r="AF131" s="84">
        <f t="shared" si="54"/>
        <v>0</v>
      </c>
      <c r="AG131" s="84">
        <f t="shared" si="54"/>
        <v>495.19679333333329</v>
      </c>
      <c r="AH131" s="143">
        <f t="shared" si="54"/>
        <v>0</v>
      </c>
    </row>
    <row r="132" spans="1:34" s="43" customFormat="1">
      <c r="A132" s="30"/>
      <c r="B132" s="28"/>
      <c r="C132" s="30"/>
      <c r="D132" s="31"/>
      <c r="E132" s="31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0"/>
    </row>
    <row r="133" spans="1:34" s="43" customFormat="1">
      <c r="A133" s="30"/>
      <c r="B133" s="28"/>
      <c r="C133" s="30"/>
      <c r="D133" s="31"/>
      <c r="E133" s="31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122"/>
      <c r="Y133" s="122"/>
      <c r="Z133" s="122"/>
      <c r="AA133" s="122"/>
      <c r="AB133" s="67"/>
      <c r="AC133" s="67"/>
      <c r="AD133" s="67"/>
      <c r="AE133" s="67"/>
      <c r="AF133" s="67"/>
      <c r="AG133" s="67"/>
    </row>
    <row r="134" spans="1:34" s="63" customFormat="1" ht="15.75">
      <c r="A134" s="61"/>
      <c r="B134" s="61"/>
      <c r="C134" s="61"/>
      <c r="D134" s="61"/>
      <c r="E134" s="61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AB134" s="387" t="s">
        <v>254</v>
      </c>
      <c r="AC134" s="387"/>
      <c r="AD134" s="387"/>
      <c r="AE134" s="387"/>
      <c r="AF134" s="387"/>
      <c r="AG134" s="387"/>
    </row>
    <row r="135" spans="1:34" s="43" customFormat="1">
      <c r="A135" s="24"/>
      <c r="B135" s="29"/>
      <c r="C135" s="24"/>
      <c r="D135" s="31"/>
      <c r="E135" s="31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  <c r="AB135" s="24"/>
      <c r="AC135" s="24"/>
      <c r="AD135" s="24"/>
      <c r="AE135" s="24"/>
      <c r="AF135" s="24"/>
      <c r="AG135" s="24"/>
    </row>
    <row r="136" spans="1:34" s="43" customFormat="1">
      <c r="A136" s="24"/>
      <c r="B136" s="29"/>
      <c r="C136" s="24"/>
      <c r="D136" s="31"/>
      <c r="E136" s="31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  <c r="AB136" s="24"/>
      <c r="AC136" s="24"/>
      <c r="AD136" s="24"/>
      <c r="AE136" s="24"/>
      <c r="AF136" s="24"/>
      <c r="AG136" s="24"/>
    </row>
    <row r="137" spans="1:34" s="43" customFormat="1">
      <c r="A137" s="24"/>
      <c r="B137" s="29"/>
      <c r="C137" s="24"/>
      <c r="D137" s="31"/>
      <c r="E137" s="31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24"/>
    </row>
    <row r="138" spans="1:34" s="43" customFormat="1">
      <c r="A138" s="24"/>
      <c r="B138" s="29"/>
      <c r="C138" s="24"/>
      <c r="D138" s="31"/>
      <c r="E138" s="31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  <c r="AB138" s="24"/>
      <c r="AC138" s="24"/>
      <c r="AD138" s="24"/>
      <c r="AE138" s="24"/>
      <c r="AF138" s="24"/>
      <c r="AG138" s="24"/>
    </row>
    <row r="139" spans="1:34" s="43" customFormat="1">
      <c r="A139" s="24"/>
      <c r="B139" s="29"/>
      <c r="C139" s="24"/>
      <c r="D139" s="31"/>
      <c r="E139" s="31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</row>
    <row r="140" spans="1:34" s="43" customFormat="1">
      <c r="A140" s="24"/>
      <c r="B140" s="29"/>
      <c r="C140" s="24"/>
      <c r="D140" s="31"/>
      <c r="E140" s="31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  <c r="AB140" s="24"/>
      <c r="AC140" s="24"/>
      <c r="AD140" s="24"/>
      <c r="AE140" s="24"/>
      <c r="AF140" s="24"/>
      <c r="AG140" s="24"/>
    </row>
    <row r="141" spans="1:34" s="43" customFormat="1">
      <c r="A141" s="24"/>
      <c r="B141" s="29"/>
      <c r="C141" s="24"/>
      <c r="D141" s="31"/>
      <c r="E141" s="31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  <c r="AB141" s="24"/>
      <c r="AC141" s="24"/>
      <c r="AD141" s="24"/>
      <c r="AE141" s="24"/>
      <c r="AF141" s="24"/>
      <c r="AG141" s="24"/>
    </row>
    <row r="142" spans="1:34" s="43" customFormat="1">
      <c r="A142" s="24"/>
      <c r="B142" s="29"/>
      <c r="C142" s="24"/>
      <c r="D142" s="31"/>
      <c r="E142" s="31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</row>
    <row r="143" spans="1:34" s="43" customFormat="1">
      <c r="A143" s="24"/>
      <c r="B143" s="29"/>
      <c r="C143" s="24"/>
      <c r="D143" s="31"/>
      <c r="E143" s="31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  <c r="AB143" s="24"/>
      <c r="AC143" s="24"/>
      <c r="AD143" s="24"/>
      <c r="AE143" s="24"/>
      <c r="AF143" s="24"/>
      <c r="AG143" s="24"/>
    </row>
    <row r="144" spans="1:34" s="1" customFormat="1" ht="24" customHeight="1">
      <c r="A144" s="388" t="s">
        <v>178</v>
      </c>
      <c r="B144" s="388"/>
      <c r="C144" s="388"/>
      <c r="D144" s="388"/>
      <c r="E144" s="388"/>
      <c r="F144" s="388"/>
      <c r="G144" s="388"/>
      <c r="H144" s="388"/>
      <c r="I144" s="388"/>
      <c r="J144" s="388"/>
      <c r="K144" s="388"/>
      <c r="L144" s="388"/>
      <c r="M144" s="388"/>
      <c r="N144" s="388"/>
      <c r="O144" s="388"/>
      <c r="P144" s="388"/>
      <c r="Q144" s="388"/>
      <c r="R144" s="388"/>
      <c r="S144" s="388"/>
      <c r="T144" s="388"/>
      <c r="U144" s="388"/>
      <c r="V144" s="388"/>
      <c r="W144" s="388"/>
      <c r="X144" s="388"/>
      <c r="Y144" s="388"/>
      <c r="Z144" s="388"/>
      <c r="AA144" s="388"/>
      <c r="AB144" s="388"/>
      <c r="AC144" s="388"/>
      <c r="AD144" s="388"/>
      <c r="AE144" s="388"/>
      <c r="AF144" s="388"/>
      <c r="AG144" s="388"/>
    </row>
    <row r="145" spans="1:34" s="1" customFormat="1" ht="17.25" customHeight="1">
      <c r="A145" s="379" t="s">
        <v>253</v>
      </c>
      <c r="B145" s="379"/>
      <c r="C145" s="379"/>
      <c r="D145" s="379"/>
      <c r="E145" s="379"/>
      <c r="F145" s="379"/>
      <c r="G145" s="379"/>
      <c r="H145" s="379"/>
      <c r="I145" s="379"/>
      <c r="J145" s="379"/>
      <c r="K145" s="379"/>
      <c r="L145" s="379"/>
      <c r="M145" s="379"/>
      <c r="N145" s="379"/>
      <c r="O145" s="379"/>
      <c r="P145" s="379"/>
      <c r="Q145" s="379"/>
      <c r="R145" s="379"/>
      <c r="S145" s="379"/>
      <c r="T145" s="379"/>
      <c r="U145" s="379"/>
      <c r="V145" s="379"/>
      <c r="W145" s="379"/>
      <c r="X145" s="379"/>
      <c r="Y145" s="379"/>
      <c r="Z145" s="379"/>
      <c r="AA145" s="379"/>
      <c r="AB145" s="379"/>
      <c r="AC145" s="379"/>
      <c r="AD145" s="379"/>
      <c r="AE145" s="379"/>
      <c r="AF145" s="379"/>
      <c r="AG145" s="379"/>
    </row>
    <row r="146" spans="1:34" s="1" customFormat="1" ht="15.75" customHeight="1">
      <c r="A146" s="313" t="s">
        <v>274</v>
      </c>
      <c r="B146" s="313"/>
      <c r="C146" s="313"/>
      <c r="D146" s="313"/>
      <c r="E146" s="313"/>
      <c r="F146" s="313"/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  <c r="T146" s="313"/>
      <c r="U146" s="313"/>
      <c r="V146" s="313"/>
      <c r="W146" s="313"/>
      <c r="X146" s="313"/>
      <c r="Y146" s="313"/>
      <c r="Z146" s="313"/>
      <c r="AA146" s="313"/>
      <c r="AB146" s="313"/>
      <c r="AC146" s="313"/>
      <c r="AD146" s="313"/>
      <c r="AE146" s="313"/>
      <c r="AF146" s="313"/>
      <c r="AG146" s="313"/>
    </row>
    <row r="147" spans="1:34" s="1" customFormat="1" ht="19.5" customHeight="1">
      <c r="A147" s="386" t="s">
        <v>278</v>
      </c>
      <c r="B147" s="386"/>
      <c r="C147" s="386"/>
      <c r="D147" s="386"/>
      <c r="E147" s="386"/>
      <c r="F147" s="386"/>
      <c r="G147" s="386"/>
      <c r="H147" s="386"/>
      <c r="I147" s="386"/>
      <c r="J147" s="386"/>
      <c r="K147" s="386"/>
      <c r="L147" s="386"/>
      <c r="M147" s="386"/>
      <c r="N147" s="386"/>
      <c r="O147" s="386"/>
      <c r="P147" s="386"/>
      <c r="Q147" s="386"/>
      <c r="R147" s="386"/>
      <c r="S147" s="386"/>
      <c r="T147" s="386"/>
      <c r="U147" s="386"/>
      <c r="V147" s="386"/>
      <c r="W147" s="386"/>
      <c r="X147" s="386"/>
      <c r="Y147" s="386"/>
      <c r="Z147" s="386"/>
      <c r="AA147" s="386"/>
      <c r="AB147" s="386"/>
      <c r="AC147" s="226"/>
      <c r="AD147" s="378" t="str">
        <f>AD4</f>
        <v>ZvwiLt-02/08/26</v>
      </c>
      <c r="AE147" s="378"/>
      <c r="AF147" s="378"/>
      <c r="AG147" s="378"/>
    </row>
    <row r="148" spans="1:34" s="1" customFormat="1" ht="18.600000000000001" customHeight="1">
      <c r="A148" s="389" t="s">
        <v>15</v>
      </c>
      <c r="B148" s="389" t="s">
        <v>64</v>
      </c>
      <c r="C148" s="389" t="s">
        <v>65</v>
      </c>
      <c r="D148" s="380" t="s">
        <v>66</v>
      </c>
      <c r="E148" s="146"/>
      <c r="F148" s="391" t="s">
        <v>179</v>
      </c>
      <c r="G148" s="391"/>
      <c r="H148" s="391"/>
      <c r="I148" s="391"/>
      <c r="J148" s="391"/>
      <c r="K148" s="389" t="s">
        <v>88</v>
      </c>
      <c r="L148" s="145" t="s">
        <v>157</v>
      </c>
      <c r="M148" s="391" t="s">
        <v>325</v>
      </c>
      <c r="N148" s="391"/>
      <c r="O148" s="391"/>
      <c r="P148" s="384" t="s">
        <v>68</v>
      </c>
      <c r="Q148" s="385"/>
      <c r="R148" s="374" t="s">
        <v>138</v>
      </c>
      <c r="S148" s="375"/>
      <c r="T148" s="376"/>
      <c r="U148" s="377" t="s">
        <v>139</v>
      </c>
      <c r="V148" s="377"/>
      <c r="W148" s="377" t="s">
        <v>86</v>
      </c>
      <c r="X148" s="377"/>
      <c r="Y148" s="377" t="s">
        <v>25</v>
      </c>
      <c r="Z148" s="377"/>
      <c r="AA148" s="377" t="s">
        <v>87</v>
      </c>
      <c r="AB148" s="382" t="s">
        <v>199</v>
      </c>
      <c r="AC148" s="392" t="s">
        <v>455</v>
      </c>
      <c r="AD148" s="377" t="s">
        <v>140</v>
      </c>
      <c r="AE148" s="377"/>
      <c r="AF148" s="377"/>
      <c r="AG148" s="377"/>
      <c r="AH148" s="369" t="s">
        <v>142</v>
      </c>
    </row>
    <row r="149" spans="1:34" s="1" customFormat="1" ht="18.600000000000001" customHeight="1">
      <c r="A149" s="390"/>
      <c r="B149" s="390"/>
      <c r="C149" s="390"/>
      <c r="D149" s="381"/>
      <c r="E149" s="147"/>
      <c r="F149" s="145" t="s">
        <v>256</v>
      </c>
      <c r="G149" s="145"/>
      <c r="H149" s="145"/>
      <c r="I149" s="145"/>
      <c r="J149" s="145"/>
      <c r="K149" s="390"/>
      <c r="L149" s="145"/>
      <c r="M149" s="139" t="s">
        <v>428</v>
      </c>
      <c r="N149" s="145" t="s">
        <v>69</v>
      </c>
      <c r="O149" s="145" t="s">
        <v>70</v>
      </c>
      <c r="P149" s="145" t="s">
        <v>69</v>
      </c>
      <c r="Q149" s="145" t="s">
        <v>70</v>
      </c>
      <c r="R149" s="139" t="s">
        <v>189</v>
      </c>
      <c r="S149" s="145" t="s">
        <v>85</v>
      </c>
      <c r="T149" s="145" t="s">
        <v>70</v>
      </c>
      <c r="U149" s="148" t="s">
        <v>85</v>
      </c>
      <c r="V149" s="148" t="s">
        <v>70</v>
      </c>
      <c r="W149" s="145" t="s">
        <v>86</v>
      </c>
      <c r="X149" s="148" t="s">
        <v>70</v>
      </c>
      <c r="Y149" s="148" t="s">
        <v>25</v>
      </c>
      <c r="Z149" s="148" t="s">
        <v>70</v>
      </c>
      <c r="AA149" s="377"/>
      <c r="AB149" s="382"/>
      <c r="AC149" s="393"/>
      <c r="AD149" s="148" t="s">
        <v>155</v>
      </c>
      <c r="AE149" s="148" t="s">
        <v>156</v>
      </c>
      <c r="AF149" s="148" t="s">
        <v>141</v>
      </c>
      <c r="AG149" s="148" t="s">
        <v>70</v>
      </c>
      <c r="AH149" s="369"/>
    </row>
    <row r="150" spans="1:34" s="5" customFormat="1" ht="14.25">
      <c r="A150" s="179">
        <v>1</v>
      </c>
      <c r="B150" s="180" t="s">
        <v>32</v>
      </c>
      <c r="C150" s="181" t="s">
        <v>116</v>
      </c>
      <c r="D150" s="182">
        <v>31.5</v>
      </c>
      <c r="E150" s="182"/>
      <c r="F150" s="179">
        <v>34711</v>
      </c>
      <c r="G150" s="179"/>
      <c r="H150" s="179"/>
      <c r="I150" s="179"/>
      <c r="J150" s="179"/>
      <c r="K150" s="179">
        <f>SUM(F150:J150)</f>
        <v>34711</v>
      </c>
      <c r="L150" s="179">
        <v>2</v>
      </c>
      <c r="M150" s="179">
        <v>136</v>
      </c>
      <c r="N150" s="10"/>
      <c r="O150" s="179">
        <f>M150-N150</f>
        <v>136</v>
      </c>
      <c r="P150" s="10"/>
      <c r="Q150" s="179">
        <f>K150-P150</f>
        <v>34711</v>
      </c>
      <c r="R150" s="179">
        <f t="shared" ref="R150:R158" si="56">D150/L150*K150</f>
        <v>546698.25</v>
      </c>
      <c r="S150" s="179">
        <f>'MSPL-2(LOT)'!H515</f>
        <v>0</v>
      </c>
      <c r="T150" s="179">
        <f t="shared" ref="T150:T158" si="57">R150-S150</f>
        <v>546698.25</v>
      </c>
      <c r="U150" s="179">
        <f t="shared" ref="U150:U158" si="58">S150/D150*2</f>
        <v>0</v>
      </c>
      <c r="V150" s="179">
        <f t="shared" ref="V150:V158" si="59">K150-U150</f>
        <v>34711</v>
      </c>
      <c r="W150" s="179">
        <f>'MSPL-2(LOT)'!L515</f>
        <v>0</v>
      </c>
      <c r="X150" s="179">
        <f t="shared" ref="X150:X158" si="60">K150-W150</f>
        <v>34711</v>
      </c>
      <c r="Y150" s="179">
        <f>'MSPL-2(LOT)'!N515</f>
        <v>0</v>
      </c>
      <c r="Z150" s="179">
        <f t="shared" ref="Z150:Z158" si="61">F150-Y150</f>
        <v>34711</v>
      </c>
      <c r="AA150" s="179">
        <f>W150-Y150</f>
        <v>0</v>
      </c>
      <c r="AB150" s="179">
        <f t="shared" ref="AB150:AB158" si="62">D150*W150/1000</f>
        <v>0</v>
      </c>
      <c r="AC150" s="179">
        <f>U150-W150</f>
        <v>0</v>
      </c>
      <c r="AD150" s="179">
        <f t="shared" ref="AD150:AD158" si="63">D150*K150/1000</f>
        <v>1093.3965000000001</v>
      </c>
      <c r="AE150" s="179">
        <f>AD150/75</f>
        <v>14.578620000000001</v>
      </c>
      <c r="AF150" s="179">
        <f t="shared" ref="AF150:AF158" si="64">D150*U150/1000/75</f>
        <v>0</v>
      </c>
      <c r="AG150" s="179">
        <f>AE150-AF150</f>
        <v>14.578620000000001</v>
      </c>
      <c r="AH150" s="3"/>
    </row>
    <row r="151" spans="1:34" s="5" customFormat="1" ht="14.25">
      <c r="A151" s="179">
        <v>2</v>
      </c>
      <c r="B151" s="180" t="s">
        <v>73</v>
      </c>
      <c r="C151" s="181" t="s">
        <v>116</v>
      </c>
      <c r="D151" s="182">
        <v>17.5</v>
      </c>
      <c r="E151" s="182"/>
      <c r="F151" s="179">
        <v>77151</v>
      </c>
      <c r="G151" s="179"/>
      <c r="H151" s="179"/>
      <c r="I151" s="179"/>
      <c r="J151" s="179"/>
      <c r="K151" s="179">
        <f t="shared" ref="K151:K158" si="65">SUM(F151:J151)</f>
        <v>77151</v>
      </c>
      <c r="L151" s="179">
        <v>2</v>
      </c>
      <c r="M151" s="179">
        <v>144</v>
      </c>
      <c r="N151" s="10"/>
      <c r="O151" s="179">
        <f t="shared" ref="O151:O158" si="66">M151-N151</f>
        <v>144</v>
      </c>
      <c r="P151" s="10"/>
      <c r="Q151" s="179">
        <f t="shared" ref="Q151:Q158" si="67">K151-P151</f>
        <v>77151</v>
      </c>
      <c r="R151" s="179">
        <f t="shared" si="56"/>
        <v>675071.25</v>
      </c>
      <c r="S151" s="179">
        <f>'MSPL-2(LOT)'!H516</f>
        <v>0</v>
      </c>
      <c r="T151" s="179">
        <f t="shared" si="57"/>
        <v>675071.25</v>
      </c>
      <c r="U151" s="179">
        <f t="shared" si="58"/>
        <v>0</v>
      </c>
      <c r="V151" s="179">
        <f t="shared" si="59"/>
        <v>77151</v>
      </c>
      <c r="W151" s="179">
        <f>'MSPL-2(LOT)'!L516</f>
        <v>0</v>
      </c>
      <c r="X151" s="179">
        <f t="shared" si="60"/>
        <v>77151</v>
      </c>
      <c r="Y151" s="179">
        <f>'MSPL-2(LOT)'!N516</f>
        <v>0</v>
      </c>
      <c r="Z151" s="179">
        <f t="shared" si="61"/>
        <v>77151</v>
      </c>
      <c r="AA151" s="179">
        <f t="shared" ref="AA151:AA158" si="68">W151-Y151</f>
        <v>0</v>
      </c>
      <c r="AB151" s="179">
        <f t="shared" si="62"/>
        <v>0</v>
      </c>
      <c r="AC151" s="179">
        <f t="shared" ref="AC151:AC158" si="69">U151-W151</f>
        <v>0</v>
      </c>
      <c r="AD151" s="179">
        <f t="shared" si="63"/>
        <v>1350.1424999999999</v>
      </c>
      <c r="AE151" s="179">
        <f t="shared" ref="AE151:AE158" si="70">AD151/75</f>
        <v>18.001899999999999</v>
      </c>
      <c r="AF151" s="179">
        <f t="shared" si="64"/>
        <v>0</v>
      </c>
      <c r="AG151" s="179">
        <f t="shared" ref="AG151:AG158" si="71">AE151-AF151</f>
        <v>18.001899999999999</v>
      </c>
      <c r="AH151" s="3"/>
    </row>
    <row r="152" spans="1:34" s="5" customFormat="1" ht="14.25">
      <c r="A152" s="179">
        <v>3</v>
      </c>
      <c r="B152" s="180" t="s">
        <v>152</v>
      </c>
      <c r="C152" s="181" t="s">
        <v>116</v>
      </c>
      <c r="D152" s="182">
        <v>45.5</v>
      </c>
      <c r="E152" s="182"/>
      <c r="F152" s="179">
        <v>43005</v>
      </c>
      <c r="G152" s="179"/>
      <c r="H152" s="179"/>
      <c r="I152" s="179"/>
      <c r="J152" s="179"/>
      <c r="K152" s="179">
        <f t="shared" si="65"/>
        <v>43005</v>
      </c>
      <c r="L152" s="179">
        <v>2</v>
      </c>
      <c r="M152" s="179">
        <v>192</v>
      </c>
      <c r="N152" s="10"/>
      <c r="O152" s="179">
        <f t="shared" si="66"/>
        <v>192</v>
      </c>
      <c r="P152" s="10"/>
      <c r="Q152" s="179">
        <f t="shared" si="67"/>
        <v>43005</v>
      </c>
      <c r="R152" s="179">
        <f t="shared" si="56"/>
        <v>978363.75</v>
      </c>
      <c r="S152" s="179">
        <f>'MSPL-2(LOT)'!H517</f>
        <v>0</v>
      </c>
      <c r="T152" s="179">
        <f t="shared" si="57"/>
        <v>978363.75</v>
      </c>
      <c r="U152" s="179">
        <f t="shared" si="58"/>
        <v>0</v>
      </c>
      <c r="V152" s="179">
        <f t="shared" si="59"/>
        <v>43005</v>
      </c>
      <c r="W152" s="179">
        <f>'MSPL-2(LOT)'!L517</f>
        <v>0</v>
      </c>
      <c r="X152" s="179">
        <f t="shared" si="60"/>
        <v>43005</v>
      </c>
      <c r="Y152" s="179">
        <f>'MSPL-2(LOT)'!N517</f>
        <v>0</v>
      </c>
      <c r="Z152" s="179">
        <f t="shared" si="61"/>
        <v>43005</v>
      </c>
      <c r="AA152" s="179">
        <f t="shared" si="68"/>
        <v>0</v>
      </c>
      <c r="AB152" s="179">
        <f t="shared" si="62"/>
        <v>0</v>
      </c>
      <c r="AC152" s="179">
        <f t="shared" si="69"/>
        <v>0</v>
      </c>
      <c r="AD152" s="179">
        <f t="shared" si="63"/>
        <v>1956.7275</v>
      </c>
      <c r="AE152" s="179">
        <f t="shared" si="70"/>
        <v>26.089700000000001</v>
      </c>
      <c r="AF152" s="179">
        <f t="shared" si="64"/>
        <v>0</v>
      </c>
      <c r="AG152" s="179">
        <f t="shared" si="71"/>
        <v>26.089700000000001</v>
      </c>
      <c r="AH152" s="3"/>
    </row>
    <row r="153" spans="1:34" s="5" customFormat="1" ht="14.25">
      <c r="A153" s="179">
        <v>4</v>
      </c>
      <c r="B153" s="180" t="s">
        <v>93</v>
      </c>
      <c r="C153" s="181" t="s">
        <v>116</v>
      </c>
      <c r="D153" s="182">
        <v>38.5</v>
      </c>
      <c r="E153" s="182"/>
      <c r="F153" s="179">
        <v>43005</v>
      </c>
      <c r="G153" s="179"/>
      <c r="H153" s="179"/>
      <c r="I153" s="179"/>
      <c r="J153" s="179"/>
      <c r="K153" s="179">
        <f t="shared" si="65"/>
        <v>43005</v>
      </c>
      <c r="L153" s="179">
        <v>2</v>
      </c>
      <c r="M153" s="179">
        <v>160</v>
      </c>
      <c r="N153" s="10"/>
      <c r="O153" s="179">
        <f t="shared" si="66"/>
        <v>160</v>
      </c>
      <c r="P153" s="10"/>
      <c r="Q153" s="179">
        <f t="shared" si="67"/>
        <v>43005</v>
      </c>
      <c r="R153" s="179">
        <f t="shared" si="56"/>
        <v>827846.25</v>
      </c>
      <c r="S153" s="179">
        <f>'MSPL-2(LOT)'!H518</f>
        <v>0</v>
      </c>
      <c r="T153" s="179">
        <f t="shared" si="57"/>
        <v>827846.25</v>
      </c>
      <c r="U153" s="179">
        <f t="shared" si="58"/>
        <v>0</v>
      </c>
      <c r="V153" s="179">
        <f t="shared" si="59"/>
        <v>43005</v>
      </c>
      <c r="W153" s="179">
        <f>'MSPL-2(LOT)'!L518</f>
        <v>0</v>
      </c>
      <c r="X153" s="179">
        <f t="shared" si="60"/>
        <v>43005</v>
      </c>
      <c r="Y153" s="179">
        <f>'MSPL-2(LOT)'!N518</f>
        <v>0</v>
      </c>
      <c r="Z153" s="179">
        <f t="shared" si="61"/>
        <v>43005</v>
      </c>
      <c r="AA153" s="179">
        <f t="shared" si="68"/>
        <v>0</v>
      </c>
      <c r="AB153" s="179">
        <f t="shared" si="62"/>
        <v>0</v>
      </c>
      <c r="AC153" s="179">
        <f t="shared" si="69"/>
        <v>0</v>
      </c>
      <c r="AD153" s="179">
        <f t="shared" si="63"/>
        <v>1655.6925000000001</v>
      </c>
      <c r="AE153" s="179">
        <f t="shared" si="70"/>
        <v>22.075900000000001</v>
      </c>
      <c r="AF153" s="179">
        <f t="shared" si="64"/>
        <v>0</v>
      </c>
      <c r="AG153" s="179">
        <f t="shared" si="71"/>
        <v>22.075900000000001</v>
      </c>
      <c r="AH153" s="3"/>
    </row>
    <row r="154" spans="1:34" s="5" customFormat="1" ht="14.25">
      <c r="A154" s="179">
        <v>5</v>
      </c>
      <c r="B154" s="180" t="s">
        <v>153</v>
      </c>
      <c r="C154" s="181" t="s">
        <v>116</v>
      </c>
      <c r="D154" s="182">
        <v>40.5</v>
      </c>
      <c r="E154" s="182"/>
      <c r="F154" s="179">
        <v>43005</v>
      </c>
      <c r="G154" s="179"/>
      <c r="H154" s="179"/>
      <c r="I154" s="179"/>
      <c r="J154" s="179"/>
      <c r="K154" s="179">
        <f t="shared" si="65"/>
        <v>43005</v>
      </c>
      <c r="L154" s="179">
        <v>2</v>
      </c>
      <c r="M154" s="179">
        <v>168</v>
      </c>
      <c r="N154" s="10"/>
      <c r="O154" s="179">
        <f t="shared" si="66"/>
        <v>168</v>
      </c>
      <c r="P154" s="10"/>
      <c r="Q154" s="179">
        <f t="shared" si="67"/>
        <v>43005</v>
      </c>
      <c r="R154" s="179">
        <f t="shared" si="56"/>
        <v>870851.25</v>
      </c>
      <c r="S154" s="179">
        <f>'MSPL-2(LOT)'!H519</f>
        <v>0</v>
      </c>
      <c r="T154" s="179">
        <f t="shared" si="57"/>
        <v>870851.25</v>
      </c>
      <c r="U154" s="179">
        <f t="shared" si="58"/>
        <v>0</v>
      </c>
      <c r="V154" s="179">
        <f t="shared" si="59"/>
        <v>43005</v>
      </c>
      <c r="W154" s="179">
        <f>'MSPL-2(LOT)'!L519</f>
        <v>0</v>
      </c>
      <c r="X154" s="179">
        <f t="shared" si="60"/>
        <v>43005</v>
      </c>
      <c r="Y154" s="179">
        <f>'MSPL-2(LOT)'!N519</f>
        <v>0</v>
      </c>
      <c r="Z154" s="179">
        <f t="shared" si="61"/>
        <v>43005</v>
      </c>
      <c r="AA154" s="179">
        <f t="shared" si="68"/>
        <v>0</v>
      </c>
      <c r="AB154" s="179">
        <f t="shared" si="62"/>
        <v>0</v>
      </c>
      <c r="AC154" s="179">
        <f t="shared" si="69"/>
        <v>0</v>
      </c>
      <c r="AD154" s="179">
        <f t="shared" si="63"/>
        <v>1741.7025000000001</v>
      </c>
      <c r="AE154" s="179">
        <f t="shared" si="70"/>
        <v>23.2227</v>
      </c>
      <c r="AF154" s="179">
        <f t="shared" si="64"/>
        <v>0</v>
      </c>
      <c r="AG154" s="179">
        <f t="shared" si="71"/>
        <v>23.2227</v>
      </c>
      <c r="AH154" s="3"/>
    </row>
    <row r="155" spans="1:34" s="5" customFormat="1" ht="14.25">
      <c r="A155" s="179">
        <v>6</v>
      </c>
      <c r="B155" s="180" t="s">
        <v>73</v>
      </c>
      <c r="C155" s="181" t="s">
        <v>117</v>
      </c>
      <c r="D155" s="182">
        <v>17.5</v>
      </c>
      <c r="E155" s="182"/>
      <c r="F155" s="179">
        <v>26602</v>
      </c>
      <c r="G155" s="179"/>
      <c r="H155" s="179"/>
      <c r="I155" s="179"/>
      <c r="J155" s="179"/>
      <c r="K155" s="179">
        <f t="shared" si="65"/>
        <v>26602</v>
      </c>
      <c r="L155" s="179">
        <v>2</v>
      </c>
      <c r="M155" s="179">
        <v>80</v>
      </c>
      <c r="N155" s="10"/>
      <c r="O155" s="179">
        <f t="shared" si="66"/>
        <v>80</v>
      </c>
      <c r="P155" s="10"/>
      <c r="Q155" s="179">
        <f t="shared" si="67"/>
        <v>26602</v>
      </c>
      <c r="R155" s="179">
        <f t="shared" si="56"/>
        <v>232767.5</v>
      </c>
      <c r="S155" s="179">
        <f>'MSPL-2(LOT)'!H520</f>
        <v>0</v>
      </c>
      <c r="T155" s="179">
        <f t="shared" si="57"/>
        <v>232767.5</v>
      </c>
      <c r="U155" s="179">
        <f t="shared" si="58"/>
        <v>0</v>
      </c>
      <c r="V155" s="179">
        <f t="shared" si="59"/>
        <v>26602</v>
      </c>
      <c r="W155" s="179">
        <f>'MSPL-2(LOT)'!L520</f>
        <v>0</v>
      </c>
      <c r="X155" s="179">
        <f t="shared" si="60"/>
        <v>26602</v>
      </c>
      <c r="Y155" s="179">
        <f>'MSPL-2(LOT)'!N520</f>
        <v>0</v>
      </c>
      <c r="Z155" s="179">
        <f t="shared" si="61"/>
        <v>26602</v>
      </c>
      <c r="AA155" s="179">
        <f t="shared" si="68"/>
        <v>0</v>
      </c>
      <c r="AB155" s="179">
        <f t="shared" si="62"/>
        <v>0</v>
      </c>
      <c r="AC155" s="179">
        <f t="shared" si="69"/>
        <v>0</v>
      </c>
      <c r="AD155" s="179">
        <f t="shared" si="63"/>
        <v>465.53500000000003</v>
      </c>
      <c r="AE155" s="179">
        <f t="shared" si="70"/>
        <v>6.2071333333333341</v>
      </c>
      <c r="AF155" s="179">
        <f t="shared" si="64"/>
        <v>0</v>
      </c>
      <c r="AG155" s="179">
        <f t="shared" si="71"/>
        <v>6.2071333333333341</v>
      </c>
      <c r="AH155" s="3"/>
    </row>
    <row r="156" spans="1:34" s="5" customFormat="1" ht="14.25">
      <c r="A156" s="179">
        <v>7</v>
      </c>
      <c r="B156" s="180" t="s">
        <v>152</v>
      </c>
      <c r="C156" s="181" t="s">
        <v>117</v>
      </c>
      <c r="D156" s="182">
        <v>45.5</v>
      </c>
      <c r="E156" s="182"/>
      <c r="F156" s="179">
        <v>9265</v>
      </c>
      <c r="G156" s="179"/>
      <c r="H156" s="179"/>
      <c r="I156" s="179"/>
      <c r="J156" s="179"/>
      <c r="K156" s="179">
        <f t="shared" si="65"/>
        <v>9265</v>
      </c>
      <c r="L156" s="179">
        <v>2</v>
      </c>
      <c r="M156" s="179">
        <v>192</v>
      </c>
      <c r="N156" s="10"/>
      <c r="O156" s="179">
        <f t="shared" si="66"/>
        <v>192</v>
      </c>
      <c r="P156" s="10"/>
      <c r="Q156" s="179">
        <f t="shared" si="67"/>
        <v>9265</v>
      </c>
      <c r="R156" s="179">
        <f t="shared" si="56"/>
        <v>210778.75</v>
      </c>
      <c r="S156" s="179">
        <f>'MSPL-2(LOT)'!H521</f>
        <v>0</v>
      </c>
      <c r="T156" s="179">
        <f t="shared" si="57"/>
        <v>210778.75</v>
      </c>
      <c r="U156" s="179">
        <f t="shared" si="58"/>
        <v>0</v>
      </c>
      <c r="V156" s="179">
        <f t="shared" si="59"/>
        <v>9265</v>
      </c>
      <c r="W156" s="179">
        <f>'MSPL-2(LOT)'!L521</f>
        <v>0</v>
      </c>
      <c r="X156" s="179">
        <f t="shared" si="60"/>
        <v>9265</v>
      </c>
      <c r="Y156" s="179">
        <f>'MSPL-2(LOT)'!N521</f>
        <v>0</v>
      </c>
      <c r="Z156" s="179">
        <f t="shared" si="61"/>
        <v>9265</v>
      </c>
      <c r="AA156" s="179">
        <f t="shared" si="68"/>
        <v>0</v>
      </c>
      <c r="AB156" s="179">
        <f t="shared" si="62"/>
        <v>0</v>
      </c>
      <c r="AC156" s="179">
        <f t="shared" si="69"/>
        <v>0</v>
      </c>
      <c r="AD156" s="179">
        <f t="shared" si="63"/>
        <v>421.5575</v>
      </c>
      <c r="AE156" s="179">
        <f t="shared" si="70"/>
        <v>5.6207666666666665</v>
      </c>
      <c r="AF156" s="179">
        <f t="shared" si="64"/>
        <v>0</v>
      </c>
      <c r="AG156" s="179">
        <f t="shared" si="71"/>
        <v>5.6207666666666665</v>
      </c>
      <c r="AH156" s="3"/>
    </row>
    <row r="157" spans="1:34" s="5" customFormat="1" ht="14.25">
      <c r="A157" s="179">
        <v>8</v>
      </c>
      <c r="B157" s="180" t="s">
        <v>93</v>
      </c>
      <c r="C157" s="181" t="s">
        <v>117</v>
      </c>
      <c r="D157" s="182">
        <v>38.5</v>
      </c>
      <c r="E157" s="182"/>
      <c r="F157" s="179">
        <v>9265</v>
      </c>
      <c r="G157" s="179"/>
      <c r="H157" s="179"/>
      <c r="I157" s="179"/>
      <c r="J157" s="179"/>
      <c r="K157" s="179">
        <f t="shared" si="65"/>
        <v>9265</v>
      </c>
      <c r="L157" s="179">
        <v>2</v>
      </c>
      <c r="M157" s="179">
        <v>160</v>
      </c>
      <c r="N157" s="10"/>
      <c r="O157" s="179">
        <f t="shared" si="66"/>
        <v>160</v>
      </c>
      <c r="P157" s="10"/>
      <c r="Q157" s="179">
        <f t="shared" si="67"/>
        <v>9265</v>
      </c>
      <c r="R157" s="179">
        <f t="shared" si="56"/>
        <v>178351.25</v>
      </c>
      <c r="S157" s="179">
        <f>'MSPL-2(LOT)'!H522</f>
        <v>0</v>
      </c>
      <c r="T157" s="179">
        <f t="shared" si="57"/>
        <v>178351.25</v>
      </c>
      <c r="U157" s="179">
        <f t="shared" si="58"/>
        <v>0</v>
      </c>
      <c r="V157" s="179">
        <f t="shared" si="59"/>
        <v>9265</v>
      </c>
      <c r="W157" s="179">
        <f>'MSPL-2(LOT)'!L522</f>
        <v>0</v>
      </c>
      <c r="X157" s="179">
        <f t="shared" si="60"/>
        <v>9265</v>
      </c>
      <c r="Y157" s="179">
        <f>'MSPL-2(LOT)'!N522</f>
        <v>0</v>
      </c>
      <c r="Z157" s="179">
        <f t="shared" si="61"/>
        <v>9265</v>
      </c>
      <c r="AA157" s="179">
        <f t="shared" si="68"/>
        <v>0</v>
      </c>
      <c r="AB157" s="179">
        <f t="shared" si="62"/>
        <v>0</v>
      </c>
      <c r="AC157" s="179">
        <f t="shared" si="69"/>
        <v>0</v>
      </c>
      <c r="AD157" s="179">
        <f t="shared" si="63"/>
        <v>356.70249999999999</v>
      </c>
      <c r="AE157" s="179">
        <f t="shared" si="70"/>
        <v>4.7560333333333329</v>
      </c>
      <c r="AF157" s="179">
        <f t="shared" si="64"/>
        <v>0</v>
      </c>
      <c r="AG157" s="179">
        <f t="shared" si="71"/>
        <v>4.7560333333333329</v>
      </c>
      <c r="AH157" s="3"/>
    </row>
    <row r="158" spans="1:34" s="5" customFormat="1" ht="14.25">
      <c r="A158" s="179">
        <v>9</v>
      </c>
      <c r="B158" s="180" t="s">
        <v>153</v>
      </c>
      <c r="C158" s="181" t="s">
        <v>117</v>
      </c>
      <c r="D158" s="182">
        <v>40.5</v>
      </c>
      <c r="E158" s="182"/>
      <c r="F158" s="179">
        <v>9265</v>
      </c>
      <c r="G158" s="179"/>
      <c r="H158" s="179"/>
      <c r="I158" s="179"/>
      <c r="J158" s="179"/>
      <c r="K158" s="179">
        <f t="shared" si="65"/>
        <v>9265</v>
      </c>
      <c r="L158" s="179">
        <v>2</v>
      </c>
      <c r="M158" s="179">
        <v>168</v>
      </c>
      <c r="N158" s="10"/>
      <c r="O158" s="179">
        <f t="shared" si="66"/>
        <v>168</v>
      </c>
      <c r="P158" s="10"/>
      <c r="Q158" s="179">
        <f t="shared" si="67"/>
        <v>9265</v>
      </c>
      <c r="R158" s="179">
        <f t="shared" si="56"/>
        <v>187616.25</v>
      </c>
      <c r="S158" s="179">
        <f>'MSPL-2(LOT)'!H523</f>
        <v>0</v>
      </c>
      <c r="T158" s="179">
        <f t="shared" si="57"/>
        <v>187616.25</v>
      </c>
      <c r="U158" s="179">
        <f t="shared" si="58"/>
        <v>0</v>
      </c>
      <c r="V158" s="179">
        <f t="shared" si="59"/>
        <v>9265</v>
      </c>
      <c r="W158" s="179">
        <f>'MSPL-2(LOT)'!L523</f>
        <v>0</v>
      </c>
      <c r="X158" s="179">
        <f t="shared" si="60"/>
        <v>9265</v>
      </c>
      <c r="Y158" s="179">
        <f>'MSPL-2(LOT)'!N523</f>
        <v>0</v>
      </c>
      <c r="Z158" s="179">
        <f t="shared" si="61"/>
        <v>9265</v>
      </c>
      <c r="AA158" s="179">
        <f t="shared" si="68"/>
        <v>0</v>
      </c>
      <c r="AB158" s="179">
        <f t="shared" si="62"/>
        <v>0</v>
      </c>
      <c r="AC158" s="179">
        <f t="shared" si="69"/>
        <v>0</v>
      </c>
      <c r="AD158" s="179">
        <f t="shared" si="63"/>
        <v>375.23250000000002</v>
      </c>
      <c r="AE158" s="179">
        <f t="shared" si="70"/>
        <v>5.0030999999999999</v>
      </c>
      <c r="AF158" s="179">
        <f t="shared" si="64"/>
        <v>0</v>
      </c>
      <c r="AG158" s="179">
        <f t="shared" si="71"/>
        <v>5.0030999999999999</v>
      </c>
      <c r="AH158" s="3"/>
    </row>
    <row r="159" spans="1:34" s="5" customFormat="1" ht="14.25">
      <c r="A159" s="383" t="s">
        <v>67</v>
      </c>
      <c r="B159" s="383"/>
      <c r="C159" s="383"/>
      <c r="D159" s="383"/>
      <c r="E159" s="74"/>
      <c r="F159" s="45">
        <f>SUM(F150:F158)</f>
        <v>295274</v>
      </c>
      <c r="G159" s="84">
        <f t="shared" ref="G159:AH159" si="72">SUM(G150:G158)</f>
        <v>0</v>
      </c>
      <c r="H159" s="84">
        <f t="shared" si="72"/>
        <v>0</v>
      </c>
      <c r="I159" s="84">
        <f t="shared" si="72"/>
        <v>0</v>
      </c>
      <c r="J159" s="84">
        <f t="shared" si="72"/>
        <v>0</v>
      </c>
      <c r="K159" s="84">
        <f t="shared" si="72"/>
        <v>295274</v>
      </c>
      <c r="L159" s="84">
        <f t="shared" si="72"/>
        <v>18</v>
      </c>
      <c r="M159" s="135">
        <f t="shared" ref="M159:Q159" si="73">SUM(M150:M158)</f>
        <v>1400</v>
      </c>
      <c r="N159" s="143">
        <f t="shared" si="73"/>
        <v>0</v>
      </c>
      <c r="O159" s="135">
        <f t="shared" si="73"/>
        <v>1400</v>
      </c>
      <c r="P159" s="143">
        <f t="shared" si="73"/>
        <v>0</v>
      </c>
      <c r="Q159" s="143">
        <f t="shared" si="73"/>
        <v>295274</v>
      </c>
      <c r="R159" s="84">
        <f t="shared" si="72"/>
        <v>4708344.5</v>
      </c>
      <c r="S159" s="84">
        <f t="shared" si="72"/>
        <v>0</v>
      </c>
      <c r="T159" s="84">
        <f t="shared" si="72"/>
        <v>4708344.5</v>
      </c>
      <c r="U159" s="84">
        <f t="shared" si="72"/>
        <v>0</v>
      </c>
      <c r="V159" s="84">
        <f t="shared" si="72"/>
        <v>295274</v>
      </c>
      <c r="W159" s="84">
        <f t="shared" si="72"/>
        <v>0</v>
      </c>
      <c r="X159" s="84">
        <f t="shared" si="72"/>
        <v>295274</v>
      </c>
      <c r="Y159" s="84">
        <f t="shared" si="72"/>
        <v>0</v>
      </c>
      <c r="Z159" s="84">
        <f t="shared" si="72"/>
        <v>295274</v>
      </c>
      <c r="AA159" s="84">
        <f t="shared" si="72"/>
        <v>0</v>
      </c>
      <c r="AB159" s="84">
        <f t="shared" si="72"/>
        <v>0</v>
      </c>
      <c r="AC159" s="143">
        <f t="shared" si="72"/>
        <v>0</v>
      </c>
      <c r="AD159" s="84">
        <f t="shared" si="72"/>
        <v>9416.6890000000003</v>
      </c>
      <c r="AE159" s="84">
        <f t="shared" si="72"/>
        <v>125.55585333333335</v>
      </c>
      <c r="AF159" s="84">
        <f t="shared" si="72"/>
        <v>0</v>
      </c>
      <c r="AG159" s="84">
        <f t="shared" si="72"/>
        <v>125.55585333333335</v>
      </c>
      <c r="AH159" s="143">
        <f t="shared" si="72"/>
        <v>0</v>
      </c>
    </row>
    <row r="160" spans="1:34" s="43" customFormat="1">
      <c r="A160" s="30"/>
      <c r="B160" s="28"/>
      <c r="C160" s="30"/>
      <c r="D160" s="31"/>
      <c r="E160" s="31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0"/>
    </row>
    <row r="161" spans="1:33" s="43" customFormat="1">
      <c r="A161" s="30"/>
      <c r="B161" s="28"/>
      <c r="C161" s="30"/>
      <c r="D161" s="31"/>
      <c r="E161" s="31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122"/>
      <c r="Y161" s="122"/>
      <c r="Z161" s="122"/>
      <c r="AA161" s="122"/>
      <c r="AB161" s="67"/>
      <c r="AC161" s="67"/>
      <c r="AD161" s="67"/>
      <c r="AE161" s="67"/>
      <c r="AF161" s="67"/>
      <c r="AG161" s="67"/>
    </row>
    <row r="162" spans="1:33" s="63" customFormat="1" ht="15.75">
      <c r="A162" s="61"/>
      <c r="B162" s="61"/>
      <c r="C162" s="61"/>
      <c r="D162" s="61"/>
      <c r="E162" s="61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AB162" s="387" t="s">
        <v>254</v>
      </c>
      <c r="AC162" s="387"/>
      <c r="AD162" s="387"/>
      <c r="AE162" s="387"/>
      <c r="AF162" s="387"/>
      <c r="AG162" s="387"/>
    </row>
    <row r="163" spans="1:33" s="5" customFormat="1" ht="14.25">
      <c r="A163" s="64"/>
      <c r="B163" s="64"/>
      <c r="C163" s="64"/>
      <c r="D163" s="64"/>
      <c r="E163" s="64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  <c r="AB163" s="65"/>
      <c r="AC163" s="65"/>
      <c r="AD163" s="65"/>
      <c r="AE163" s="65"/>
      <c r="AF163" s="65"/>
      <c r="AG163" s="65"/>
    </row>
    <row r="164" spans="1:33" s="5" customFormat="1" ht="14.25">
      <c r="A164" s="64"/>
      <c r="B164" s="64"/>
      <c r="C164" s="64"/>
      <c r="D164" s="64"/>
      <c r="E164" s="64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  <c r="AB164" s="65"/>
      <c r="AC164" s="65"/>
      <c r="AD164" s="65"/>
      <c r="AE164" s="65"/>
      <c r="AF164" s="65"/>
      <c r="AG164" s="65"/>
    </row>
    <row r="165" spans="1:33" s="5" customFormat="1" ht="14.25">
      <c r="A165" s="64"/>
      <c r="B165" s="64"/>
      <c r="C165" s="64"/>
      <c r="D165" s="64"/>
      <c r="E165" s="64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  <c r="AB165" s="65"/>
      <c r="AC165" s="65"/>
      <c r="AD165" s="65"/>
      <c r="AE165" s="65"/>
      <c r="AF165" s="65"/>
      <c r="AG165" s="65"/>
    </row>
    <row r="166" spans="1:33" s="5" customFormat="1" ht="14.25">
      <c r="A166" s="64"/>
      <c r="B166" s="64"/>
      <c r="C166" s="64"/>
      <c r="D166" s="64"/>
      <c r="E166" s="64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  <c r="AB166" s="65"/>
      <c r="AC166" s="65"/>
      <c r="AD166" s="65"/>
      <c r="AE166" s="65"/>
      <c r="AF166" s="65"/>
      <c r="AG166" s="65"/>
    </row>
    <row r="167" spans="1:33" s="5" customFormat="1" ht="14.25">
      <c r="A167" s="64"/>
      <c r="B167" s="64"/>
      <c r="C167" s="64"/>
      <c r="D167" s="64"/>
      <c r="E167" s="64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  <c r="AB167" s="65"/>
      <c r="AC167" s="65"/>
      <c r="AD167" s="65"/>
      <c r="AE167" s="65"/>
      <c r="AF167" s="65"/>
      <c r="AG167" s="65"/>
    </row>
    <row r="168" spans="1:33" s="5" customFormat="1" ht="14.25">
      <c r="A168" s="64"/>
      <c r="B168" s="64"/>
      <c r="C168" s="64"/>
      <c r="D168" s="64"/>
      <c r="E168" s="64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  <c r="AB168" s="65"/>
      <c r="AC168" s="65"/>
      <c r="AD168" s="65"/>
      <c r="AE168" s="65"/>
      <c r="AF168" s="65"/>
      <c r="AG168" s="65"/>
    </row>
    <row r="169" spans="1:33" s="5" customFormat="1" ht="14.25">
      <c r="A169" s="64"/>
      <c r="B169" s="64"/>
      <c r="C169" s="64"/>
      <c r="D169" s="64"/>
      <c r="E169" s="64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  <c r="AB169" s="65"/>
      <c r="AC169" s="65"/>
      <c r="AD169" s="65"/>
      <c r="AE169" s="65"/>
      <c r="AF169" s="65"/>
      <c r="AG169" s="65"/>
    </row>
    <row r="170" spans="1:33" s="5" customFormat="1" ht="14.25">
      <c r="A170" s="64"/>
      <c r="B170" s="64"/>
      <c r="C170" s="64"/>
      <c r="D170" s="64"/>
      <c r="E170" s="64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  <c r="AB170" s="65"/>
      <c r="AC170" s="65"/>
      <c r="AD170" s="65"/>
      <c r="AE170" s="65"/>
      <c r="AF170" s="65"/>
      <c r="AG170" s="65"/>
    </row>
    <row r="171" spans="1:33" s="5" customFormat="1" ht="14.25">
      <c r="A171" s="64"/>
      <c r="B171" s="64"/>
      <c r="C171" s="64"/>
      <c r="D171" s="64"/>
      <c r="E171" s="64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  <c r="AB171" s="65"/>
      <c r="AC171" s="65"/>
      <c r="AD171" s="65"/>
      <c r="AE171" s="65"/>
      <c r="AF171" s="65"/>
      <c r="AG171" s="65"/>
    </row>
    <row r="172" spans="1:33" s="5" customFormat="1" ht="14.25">
      <c r="A172" s="64"/>
      <c r="B172" s="64"/>
      <c r="C172" s="64"/>
      <c r="D172" s="64"/>
      <c r="E172" s="64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  <c r="AB172" s="65"/>
      <c r="AC172" s="65"/>
      <c r="AD172" s="65"/>
      <c r="AE172" s="65"/>
      <c r="AF172" s="65"/>
      <c r="AG172" s="65"/>
    </row>
    <row r="173" spans="1:33" s="5" customFormat="1" ht="14.25">
      <c r="A173" s="64"/>
      <c r="B173" s="64"/>
      <c r="C173" s="64"/>
      <c r="D173" s="64"/>
      <c r="E173" s="64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  <c r="AB173" s="65"/>
      <c r="AC173" s="65"/>
      <c r="AD173" s="65"/>
      <c r="AE173" s="65"/>
      <c r="AF173" s="65"/>
      <c r="AG173" s="65"/>
    </row>
    <row r="174" spans="1:33" s="5" customFormat="1" ht="14.25">
      <c r="A174" s="64"/>
      <c r="B174" s="64"/>
      <c r="C174" s="64"/>
      <c r="D174" s="64"/>
      <c r="E174" s="64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  <c r="AB174" s="65"/>
      <c r="AC174" s="65"/>
      <c r="AD174" s="65"/>
      <c r="AE174" s="65"/>
      <c r="AF174" s="65"/>
      <c r="AG174" s="65"/>
    </row>
    <row r="175" spans="1:33" s="5" customFormat="1" ht="14.25">
      <c r="A175" s="64"/>
      <c r="B175" s="64"/>
      <c r="C175" s="64"/>
      <c r="D175" s="64"/>
      <c r="E175" s="64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  <c r="AB175" s="65"/>
      <c r="AC175" s="65"/>
      <c r="AD175" s="65"/>
      <c r="AE175" s="65"/>
      <c r="AF175" s="65"/>
      <c r="AG175" s="65"/>
    </row>
    <row r="176" spans="1:33" s="5" customFormat="1" ht="14.25">
      <c r="A176" s="64"/>
      <c r="B176" s="64"/>
      <c r="C176" s="64"/>
      <c r="D176" s="64"/>
      <c r="E176" s="64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  <c r="AB176" s="65"/>
      <c r="AC176" s="65"/>
      <c r="AD176" s="65"/>
      <c r="AE176" s="65"/>
      <c r="AF176" s="65"/>
      <c r="AG176" s="65"/>
    </row>
    <row r="177" spans="1:34" s="5" customFormat="1" ht="14.25">
      <c r="A177" s="64"/>
      <c r="B177" s="64"/>
      <c r="C177" s="64"/>
      <c r="D177" s="64"/>
      <c r="E177" s="64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  <c r="AB177" s="65"/>
      <c r="AC177" s="65"/>
      <c r="AD177" s="65"/>
      <c r="AE177" s="65"/>
      <c r="AF177" s="65"/>
      <c r="AG177" s="65"/>
    </row>
    <row r="178" spans="1:34" s="5" customFormat="1" ht="14.25">
      <c r="A178" s="64"/>
      <c r="B178" s="64"/>
      <c r="C178" s="64"/>
      <c r="D178" s="64"/>
      <c r="E178" s="64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  <c r="AB178" s="65"/>
      <c r="AC178" s="65"/>
      <c r="AD178" s="65"/>
      <c r="AE178" s="65"/>
      <c r="AF178" s="65"/>
      <c r="AG178" s="65"/>
    </row>
    <row r="179" spans="1:34" s="5" customFormat="1" ht="14.25">
      <c r="A179" s="64"/>
      <c r="B179" s="64"/>
      <c r="C179" s="64"/>
      <c r="D179" s="64"/>
      <c r="E179" s="64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  <c r="AB179" s="65"/>
      <c r="AC179" s="65"/>
      <c r="AD179" s="65"/>
      <c r="AE179" s="65"/>
      <c r="AF179" s="65"/>
      <c r="AG179" s="65"/>
    </row>
    <row r="180" spans="1:34" s="5" customFormat="1" ht="14.25">
      <c r="A180" s="64"/>
      <c r="B180" s="64"/>
      <c r="C180" s="64"/>
      <c r="D180" s="64"/>
      <c r="E180" s="64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  <c r="AB180" s="65"/>
      <c r="AC180" s="65"/>
      <c r="AD180" s="65"/>
      <c r="AE180" s="65"/>
      <c r="AF180" s="65"/>
      <c r="AG180" s="65"/>
    </row>
    <row r="181" spans="1:34" s="5" customFormat="1" ht="14.25">
      <c r="A181" s="64"/>
      <c r="B181" s="64"/>
      <c r="C181" s="64"/>
      <c r="D181" s="64"/>
      <c r="E181" s="64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  <c r="AB181" s="65"/>
      <c r="AC181" s="65"/>
      <c r="AD181" s="65"/>
      <c r="AE181" s="65"/>
      <c r="AF181" s="65"/>
      <c r="AG181" s="65"/>
    </row>
    <row r="182" spans="1:34" s="1" customFormat="1" ht="24" customHeight="1">
      <c r="A182" s="388" t="s">
        <v>178</v>
      </c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  <c r="V182" s="388"/>
      <c r="W182" s="388"/>
      <c r="X182" s="388"/>
      <c r="Y182" s="388"/>
      <c r="Z182" s="388"/>
      <c r="AA182" s="388"/>
      <c r="AB182" s="388"/>
      <c r="AC182" s="388"/>
      <c r="AD182" s="388"/>
      <c r="AE182" s="388"/>
      <c r="AF182" s="388"/>
      <c r="AG182" s="388"/>
    </row>
    <row r="183" spans="1:34" s="1" customFormat="1" ht="17.25" customHeight="1">
      <c r="A183" s="379" t="s">
        <v>253</v>
      </c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  <c r="V183" s="379"/>
      <c r="W183" s="379"/>
      <c r="X183" s="379"/>
      <c r="Y183" s="379"/>
      <c r="Z183" s="379"/>
      <c r="AA183" s="379"/>
      <c r="AB183" s="379"/>
      <c r="AC183" s="379"/>
      <c r="AD183" s="379"/>
      <c r="AE183" s="379"/>
      <c r="AF183" s="379"/>
      <c r="AG183" s="379"/>
    </row>
    <row r="184" spans="1:34" s="1" customFormat="1" ht="15.75" customHeight="1">
      <c r="A184" s="313" t="s">
        <v>274</v>
      </c>
      <c r="B184" s="313"/>
      <c r="C184" s="313"/>
      <c r="D184" s="313"/>
      <c r="E184" s="313"/>
      <c r="F184" s="313"/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  <c r="T184" s="313"/>
      <c r="U184" s="313"/>
      <c r="V184" s="313"/>
      <c r="W184" s="313"/>
      <c r="X184" s="313"/>
      <c r="Y184" s="313"/>
      <c r="Z184" s="313"/>
      <c r="AA184" s="313"/>
      <c r="AB184" s="313"/>
      <c r="AC184" s="313"/>
      <c r="AD184" s="313"/>
      <c r="AE184" s="313"/>
      <c r="AF184" s="313"/>
      <c r="AG184" s="313"/>
    </row>
    <row r="185" spans="1:34" s="1" customFormat="1" ht="19.5" customHeight="1">
      <c r="A185" s="386" t="s">
        <v>279</v>
      </c>
      <c r="B185" s="386"/>
      <c r="C185" s="386"/>
      <c r="D185" s="386"/>
      <c r="E185" s="386"/>
      <c r="F185" s="386"/>
      <c r="G185" s="386"/>
      <c r="H185" s="386"/>
      <c r="I185" s="386"/>
      <c r="J185" s="386"/>
      <c r="K185" s="386"/>
      <c r="L185" s="386"/>
      <c r="M185" s="386"/>
      <c r="N185" s="386"/>
      <c r="O185" s="386"/>
      <c r="P185" s="386"/>
      <c r="Q185" s="386"/>
      <c r="R185" s="386"/>
      <c r="S185" s="386"/>
      <c r="T185" s="386"/>
      <c r="U185" s="386"/>
      <c r="V185" s="386"/>
      <c r="W185" s="386"/>
      <c r="X185" s="386"/>
      <c r="Y185" s="386"/>
      <c r="Z185" s="386"/>
      <c r="AA185" s="386"/>
      <c r="AB185" s="386"/>
      <c r="AC185" s="226"/>
      <c r="AD185" s="378" t="str">
        <f>AD4</f>
        <v>ZvwiLt-02/08/26</v>
      </c>
      <c r="AE185" s="378"/>
      <c r="AF185" s="378"/>
      <c r="AG185" s="378"/>
    </row>
    <row r="186" spans="1:34" s="1" customFormat="1" ht="18.600000000000001" customHeight="1">
      <c r="A186" s="389" t="s">
        <v>15</v>
      </c>
      <c r="B186" s="389" t="s">
        <v>64</v>
      </c>
      <c r="C186" s="389" t="s">
        <v>65</v>
      </c>
      <c r="D186" s="380" t="s">
        <v>66</v>
      </c>
      <c r="E186" s="146"/>
      <c r="F186" s="391" t="s">
        <v>179</v>
      </c>
      <c r="G186" s="391"/>
      <c r="H186" s="391"/>
      <c r="I186" s="391"/>
      <c r="J186" s="391"/>
      <c r="K186" s="389" t="s">
        <v>88</v>
      </c>
      <c r="L186" s="145" t="s">
        <v>157</v>
      </c>
      <c r="M186" s="391" t="s">
        <v>325</v>
      </c>
      <c r="N186" s="391"/>
      <c r="O186" s="391"/>
      <c r="P186" s="384" t="s">
        <v>68</v>
      </c>
      <c r="Q186" s="385"/>
      <c r="R186" s="374" t="s">
        <v>138</v>
      </c>
      <c r="S186" s="375"/>
      <c r="T186" s="376"/>
      <c r="U186" s="377" t="s">
        <v>139</v>
      </c>
      <c r="V186" s="377"/>
      <c r="W186" s="377" t="s">
        <v>86</v>
      </c>
      <c r="X186" s="377"/>
      <c r="Y186" s="377" t="s">
        <v>25</v>
      </c>
      <c r="Z186" s="377"/>
      <c r="AA186" s="377" t="s">
        <v>87</v>
      </c>
      <c r="AB186" s="382" t="s">
        <v>199</v>
      </c>
      <c r="AC186" s="392" t="s">
        <v>455</v>
      </c>
      <c r="AD186" s="377" t="s">
        <v>140</v>
      </c>
      <c r="AE186" s="377"/>
      <c r="AF186" s="377"/>
      <c r="AG186" s="377"/>
      <c r="AH186" s="369" t="s">
        <v>142</v>
      </c>
    </row>
    <row r="187" spans="1:34" s="1" customFormat="1" ht="18.600000000000001" customHeight="1">
      <c r="A187" s="390"/>
      <c r="B187" s="390"/>
      <c r="C187" s="390"/>
      <c r="D187" s="381"/>
      <c r="E187" s="147"/>
      <c r="F187" s="145" t="s">
        <v>257</v>
      </c>
      <c r="G187" s="145"/>
      <c r="H187" s="145"/>
      <c r="I187" s="145"/>
      <c r="J187" s="145"/>
      <c r="K187" s="390"/>
      <c r="L187" s="145"/>
      <c r="M187" s="139" t="s">
        <v>428</v>
      </c>
      <c r="N187" s="145" t="s">
        <v>69</v>
      </c>
      <c r="O187" s="145" t="s">
        <v>70</v>
      </c>
      <c r="P187" s="145" t="s">
        <v>69</v>
      </c>
      <c r="Q187" s="145" t="s">
        <v>70</v>
      </c>
      <c r="R187" s="139" t="s">
        <v>189</v>
      </c>
      <c r="S187" s="145" t="s">
        <v>85</v>
      </c>
      <c r="T187" s="145" t="s">
        <v>70</v>
      </c>
      <c r="U187" s="148" t="s">
        <v>85</v>
      </c>
      <c r="V187" s="148" t="s">
        <v>70</v>
      </c>
      <c r="W187" s="145" t="s">
        <v>86</v>
      </c>
      <c r="X187" s="148" t="s">
        <v>70</v>
      </c>
      <c r="Y187" s="148" t="s">
        <v>25</v>
      </c>
      <c r="Z187" s="148" t="s">
        <v>70</v>
      </c>
      <c r="AA187" s="377"/>
      <c r="AB187" s="382"/>
      <c r="AC187" s="393"/>
      <c r="AD187" s="148" t="s">
        <v>155</v>
      </c>
      <c r="AE187" s="148" t="s">
        <v>156</v>
      </c>
      <c r="AF187" s="148" t="s">
        <v>141</v>
      </c>
      <c r="AG187" s="148" t="s">
        <v>70</v>
      </c>
      <c r="AH187" s="369"/>
    </row>
    <row r="188" spans="1:34" s="43" customFormat="1" ht="15.75">
      <c r="A188" s="179">
        <v>1</v>
      </c>
      <c r="B188" s="180" t="s">
        <v>28</v>
      </c>
      <c r="C188" s="181" t="s">
        <v>94</v>
      </c>
      <c r="D188" s="182">
        <v>57</v>
      </c>
      <c r="E188" s="182"/>
      <c r="F188" s="179">
        <v>19075</v>
      </c>
      <c r="G188" s="179"/>
      <c r="H188" s="179"/>
      <c r="I188" s="179"/>
      <c r="J188" s="179"/>
      <c r="K188" s="179">
        <f>SUM(F188:J188)</f>
        <v>19075</v>
      </c>
      <c r="L188" s="179">
        <v>14.5</v>
      </c>
      <c r="M188" s="179">
        <v>58</v>
      </c>
      <c r="N188" s="10"/>
      <c r="O188" s="179">
        <f>M188-N188</f>
        <v>58</v>
      </c>
      <c r="P188" s="10"/>
      <c r="Q188" s="179">
        <f>K188-P188</f>
        <v>19075</v>
      </c>
      <c r="R188" s="179">
        <f>K188*L188</f>
        <v>276587.5</v>
      </c>
      <c r="S188" s="179">
        <f>'MSPL-2(LOT)'!H549</f>
        <v>0</v>
      </c>
      <c r="T188" s="179">
        <f t="shared" ref="T188:T205" si="74">R188-S188</f>
        <v>276587.5</v>
      </c>
      <c r="U188" s="179">
        <f t="shared" ref="U188:U205" si="75">S188/L188</f>
        <v>0</v>
      </c>
      <c r="V188" s="179">
        <f t="shared" ref="V188:V205" si="76">K188-U188</f>
        <v>19075</v>
      </c>
      <c r="W188" s="179">
        <f>'MSPL-2(LOT)'!L549</f>
        <v>0</v>
      </c>
      <c r="X188" s="179">
        <f t="shared" ref="X188:X205" si="77">K188-W188</f>
        <v>19075</v>
      </c>
      <c r="Y188" s="179">
        <f>'MSPL-2(LOT)'!N549</f>
        <v>0</v>
      </c>
      <c r="Z188" s="179">
        <f t="shared" ref="Z188:Z205" si="78">K188-Y188</f>
        <v>19075</v>
      </c>
      <c r="AA188" s="179">
        <f>W188-Y188</f>
        <v>0</v>
      </c>
      <c r="AB188" s="179">
        <f t="shared" ref="AB188:AB205" si="79">D188*W188/1000</f>
        <v>0</v>
      </c>
      <c r="AC188" s="179">
        <f>U188-W188</f>
        <v>0</v>
      </c>
      <c r="AD188" s="179">
        <f t="shared" ref="AD188:AD205" si="80">D188*K188/1000</f>
        <v>1087.2750000000001</v>
      </c>
      <c r="AE188" s="179">
        <f>AD188/75</f>
        <v>14.497000000000002</v>
      </c>
      <c r="AF188" s="179">
        <f t="shared" ref="AF188:AF205" si="81">D188*U188/1000/75</f>
        <v>0</v>
      </c>
      <c r="AG188" s="179">
        <f>AE188-AF188</f>
        <v>14.497000000000002</v>
      </c>
      <c r="AH188" s="6"/>
    </row>
    <row r="189" spans="1:34" s="43" customFormat="1" ht="15.75">
      <c r="A189" s="179">
        <v>2</v>
      </c>
      <c r="B189" s="180" t="s">
        <v>182</v>
      </c>
      <c r="C189" s="181" t="s">
        <v>94</v>
      </c>
      <c r="D189" s="182">
        <v>46</v>
      </c>
      <c r="E189" s="182"/>
      <c r="F189" s="179">
        <v>19075</v>
      </c>
      <c r="G189" s="179"/>
      <c r="H189" s="179"/>
      <c r="I189" s="179"/>
      <c r="J189" s="179"/>
      <c r="K189" s="179">
        <f t="shared" ref="K189:K205" si="82">SUM(F189:J189)</f>
        <v>19075</v>
      </c>
      <c r="L189" s="179">
        <v>12</v>
      </c>
      <c r="M189" s="179">
        <v>46</v>
      </c>
      <c r="N189" s="10"/>
      <c r="O189" s="179">
        <f t="shared" ref="O189:O205" si="83">M189-N189</f>
        <v>46</v>
      </c>
      <c r="P189" s="10"/>
      <c r="Q189" s="179">
        <f t="shared" ref="Q189:Q205" si="84">K189-P189</f>
        <v>19075</v>
      </c>
      <c r="R189" s="179">
        <f t="shared" ref="R189:R205" si="85">K189*L189</f>
        <v>228900</v>
      </c>
      <c r="S189" s="179">
        <f>'MSPL-2(LOT)'!H550</f>
        <v>0</v>
      </c>
      <c r="T189" s="179">
        <f t="shared" si="74"/>
        <v>228900</v>
      </c>
      <c r="U189" s="179">
        <f t="shared" si="75"/>
        <v>0</v>
      </c>
      <c r="V189" s="179">
        <f t="shared" si="76"/>
        <v>19075</v>
      </c>
      <c r="W189" s="179">
        <f>'MSPL-2(LOT)'!L550</f>
        <v>0</v>
      </c>
      <c r="X189" s="179">
        <f t="shared" si="77"/>
        <v>19075</v>
      </c>
      <c r="Y189" s="179">
        <f>'MSPL-2(LOT)'!N550</f>
        <v>0</v>
      </c>
      <c r="Z189" s="179">
        <f t="shared" si="78"/>
        <v>19075</v>
      </c>
      <c r="AA189" s="179">
        <f t="shared" ref="AA189:AA205" si="86">W189-Y189</f>
        <v>0</v>
      </c>
      <c r="AB189" s="179">
        <f t="shared" si="79"/>
        <v>0</v>
      </c>
      <c r="AC189" s="179">
        <f t="shared" ref="AC189:AC205" si="87">U189-W189</f>
        <v>0</v>
      </c>
      <c r="AD189" s="179">
        <f t="shared" si="80"/>
        <v>877.45</v>
      </c>
      <c r="AE189" s="179">
        <f t="shared" ref="AE189:AE205" si="88">AD189/75</f>
        <v>11.699333333333334</v>
      </c>
      <c r="AF189" s="179">
        <f t="shared" si="81"/>
        <v>0</v>
      </c>
      <c r="AG189" s="179">
        <f t="shared" ref="AG189:AG205" si="89">AE189-AF189</f>
        <v>11.699333333333334</v>
      </c>
      <c r="AH189" s="6"/>
    </row>
    <row r="190" spans="1:34" s="43" customFormat="1" ht="15.75">
      <c r="A190" s="179">
        <v>3</v>
      </c>
      <c r="B190" s="180" t="s">
        <v>29</v>
      </c>
      <c r="C190" s="181" t="s">
        <v>94</v>
      </c>
      <c r="D190" s="182">
        <v>33.5</v>
      </c>
      <c r="E190" s="182"/>
      <c r="F190" s="179">
        <v>19075</v>
      </c>
      <c r="G190" s="179"/>
      <c r="H190" s="179"/>
      <c r="I190" s="179"/>
      <c r="J190" s="179"/>
      <c r="K190" s="179">
        <f t="shared" si="82"/>
        <v>19075</v>
      </c>
      <c r="L190" s="179">
        <v>8.75</v>
      </c>
      <c r="M190" s="179">
        <v>36</v>
      </c>
      <c r="N190" s="10"/>
      <c r="O190" s="179">
        <f t="shared" si="83"/>
        <v>36</v>
      </c>
      <c r="P190" s="10"/>
      <c r="Q190" s="179">
        <f t="shared" si="84"/>
        <v>19075</v>
      </c>
      <c r="R190" s="179">
        <f t="shared" si="85"/>
        <v>166906.25</v>
      </c>
      <c r="S190" s="179">
        <f>'MSPL-2(LOT)'!H551</f>
        <v>0</v>
      </c>
      <c r="T190" s="179">
        <f t="shared" si="74"/>
        <v>166906.25</v>
      </c>
      <c r="U190" s="179">
        <f t="shared" si="75"/>
        <v>0</v>
      </c>
      <c r="V190" s="179">
        <f t="shared" si="76"/>
        <v>19075</v>
      </c>
      <c r="W190" s="179">
        <f>'MSPL-2(LOT)'!L551</f>
        <v>0</v>
      </c>
      <c r="X190" s="179">
        <f t="shared" si="77"/>
        <v>19075</v>
      </c>
      <c r="Y190" s="179">
        <f>'MSPL-2(LOT)'!N551</f>
        <v>0</v>
      </c>
      <c r="Z190" s="179">
        <f t="shared" si="78"/>
        <v>19075</v>
      </c>
      <c r="AA190" s="179">
        <f t="shared" si="86"/>
        <v>0</v>
      </c>
      <c r="AB190" s="179">
        <f t="shared" si="79"/>
        <v>0</v>
      </c>
      <c r="AC190" s="179">
        <f t="shared" si="87"/>
        <v>0</v>
      </c>
      <c r="AD190" s="179">
        <f t="shared" si="80"/>
        <v>639.01250000000005</v>
      </c>
      <c r="AE190" s="179">
        <f t="shared" si="88"/>
        <v>8.5201666666666664</v>
      </c>
      <c r="AF190" s="179">
        <f t="shared" si="81"/>
        <v>0</v>
      </c>
      <c r="AG190" s="179">
        <f t="shared" si="89"/>
        <v>8.5201666666666664</v>
      </c>
      <c r="AH190" s="6"/>
    </row>
    <row r="191" spans="1:34" s="43" customFormat="1" ht="15.75">
      <c r="A191" s="179">
        <v>4</v>
      </c>
      <c r="B191" s="180" t="s">
        <v>183</v>
      </c>
      <c r="C191" s="181" t="s">
        <v>94</v>
      </c>
      <c r="D191" s="182">
        <v>20.5</v>
      </c>
      <c r="E191" s="182"/>
      <c r="F191" s="179">
        <v>19075</v>
      </c>
      <c r="G191" s="179"/>
      <c r="H191" s="179"/>
      <c r="I191" s="179"/>
      <c r="J191" s="179"/>
      <c r="K191" s="179">
        <f t="shared" si="82"/>
        <v>19075</v>
      </c>
      <c r="L191" s="179">
        <v>6.25</v>
      </c>
      <c r="M191" s="179">
        <v>22</v>
      </c>
      <c r="N191" s="10"/>
      <c r="O191" s="179">
        <f t="shared" si="83"/>
        <v>22</v>
      </c>
      <c r="P191" s="10"/>
      <c r="Q191" s="179">
        <f t="shared" si="84"/>
        <v>19075</v>
      </c>
      <c r="R191" s="179">
        <f t="shared" si="85"/>
        <v>119218.75</v>
      </c>
      <c r="S191" s="179">
        <f>'MSPL-2(LOT)'!H552</f>
        <v>0</v>
      </c>
      <c r="T191" s="179">
        <f t="shared" si="74"/>
        <v>119218.75</v>
      </c>
      <c r="U191" s="179">
        <f t="shared" si="75"/>
        <v>0</v>
      </c>
      <c r="V191" s="179">
        <f t="shared" si="76"/>
        <v>19075</v>
      </c>
      <c r="W191" s="179">
        <f>'MSPL-2(LOT)'!L552</f>
        <v>0</v>
      </c>
      <c r="X191" s="179">
        <f t="shared" si="77"/>
        <v>19075</v>
      </c>
      <c r="Y191" s="179">
        <f>'MSPL-2(LOT)'!N552</f>
        <v>0</v>
      </c>
      <c r="Z191" s="179">
        <f t="shared" si="78"/>
        <v>19075</v>
      </c>
      <c r="AA191" s="179">
        <f t="shared" si="86"/>
        <v>0</v>
      </c>
      <c r="AB191" s="179">
        <f t="shared" si="79"/>
        <v>0</v>
      </c>
      <c r="AC191" s="179">
        <f t="shared" si="87"/>
        <v>0</v>
      </c>
      <c r="AD191" s="179">
        <f t="shared" si="80"/>
        <v>391.03750000000002</v>
      </c>
      <c r="AE191" s="179">
        <f t="shared" si="88"/>
        <v>5.2138333333333335</v>
      </c>
      <c r="AF191" s="179">
        <f t="shared" si="81"/>
        <v>0</v>
      </c>
      <c r="AG191" s="179">
        <f t="shared" si="89"/>
        <v>5.2138333333333335</v>
      </c>
      <c r="AH191" s="6"/>
    </row>
    <row r="192" spans="1:34" s="1" customFormat="1" ht="15.75">
      <c r="A192" s="179">
        <v>5</v>
      </c>
      <c r="B192" s="180" t="s">
        <v>184</v>
      </c>
      <c r="C192" s="181" t="s">
        <v>94</v>
      </c>
      <c r="D192" s="182">
        <v>32.5</v>
      </c>
      <c r="E192" s="182"/>
      <c r="F192" s="179">
        <v>19075</v>
      </c>
      <c r="G192" s="179"/>
      <c r="H192" s="179"/>
      <c r="I192" s="179"/>
      <c r="J192" s="179"/>
      <c r="K192" s="179">
        <f t="shared" si="82"/>
        <v>19075</v>
      </c>
      <c r="L192" s="179">
        <v>8.25</v>
      </c>
      <c r="M192" s="179">
        <v>34</v>
      </c>
      <c r="N192" s="10"/>
      <c r="O192" s="179">
        <f t="shared" si="83"/>
        <v>34</v>
      </c>
      <c r="P192" s="10"/>
      <c r="Q192" s="179">
        <f t="shared" si="84"/>
        <v>19075</v>
      </c>
      <c r="R192" s="179">
        <f t="shared" si="85"/>
        <v>157368.75</v>
      </c>
      <c r="S192" s="179">
        <f>'MSPL-2(LOT)'!H553</f>
        <v>0</v>
      </c>
      <c r="T192" s="179">
        <f t="shared" si="74"/>
        <v>157368.75</v>
      </c>
      <c r="U192" s="179">
        <f t="shared" si="75"/>
        <v>0</v>
      </c>
      <c r="V192" s="179">
        <f t="shared" si="76"/>
        <v>19075</v>
      </c>
      <c r="W192" s="179">
        <f>'MSPL-2(LOT)'!L553</f>
        <v>0</v>
      </c>
      <c r="X192" s="179">
        <f t="shared" si="77"/>
        <v>19075</v>
      </c>
      <c r="Y192" s="179">
        <f>'MSPL-2(LOT)'!N553</f>
        <v>0</v>
      </c>
      <c r="Z192" s="179">
        <f t="shared" si="78"/>
        <v>19075</v>
      </c>
      <c r="AA192" s="179">
        <f t="shared" si="86"/>
        <v>0</v>
      </c>
      <c r="AB192" s="179">
        <f t="shared" si="79"/>
        <v>0</v>
      </c>
      <c r="AC192" s="179">
        <f t="shared" si="87"/>
        <v>0</v>
      </c>
      <c r="AD192" s="179">
        <f t="shared" si="80"/>
        <v>619.9375</v>
      </c>
      <c r="AE192" s="179">
        <f t="shared" si="88"/>
        <v>8.2658333333333331</v>
      </c>
      <c r="AF192" s="179">
        <f t="shared" si="81"/>
        <v>0</v>
      </c>
      <c r="AG192" s="179">
        <f t="shared" si="89"/>
        <v>8.2658333333333331</v>
      </c>
      <c r="AH192" s="7"/>
    </row>
    <row r="193" spans="1:34" s="43" customFormat="1" ht="15.75">
      <c r="A193" s="179">
        <v>6</v>
      </c>
      <c r="B193" s="180" t="s">
        <v>26</v>
      </c>
      <c r="C193" s="181" t="s">
        <v>94</v>
      </c>
      <c r="D193" s="182">
        <v>32.5</v>
      </c>
      <c r="E193" s="182"/>
      <c r="F193" s="179">
        <v>19075</v>
      </c>
      <c r="G193" s="179"/>
      <c r="H193" s="179"/>
      <c r="I193" s="179"/>
      <c r="J193" s="179"/>
      <c r="K193" s="179">
        <f t="shared" si="82"/>
        <v>19075</v>
      </c>
      <c r="L193" s="179">
        <v>8.25</v>
      </c>
      <c r="M193" s="179">
        <v>34</v>
      </c>
      <c r="N193" s="10"/>
      <c r="O193" s="179">
        <f t="shared" si="83"/>
        <v>34</v>
      </c>
      <c r="P193" s="10"/>
      <c r="Q193" s="179">
        <f t="shared" si="84"/>
        <v>19075</v>
      </c>
      <c r="R193" s="179">
        <f t="shared" si="85"/>
        <v>157368.75</v>
      </c>
      <c r="S193" s="179">
        <f>'MSPL-2(LOT)'!H554</f>
        <v>0</v>
      </c>
      <c r="T193" s="179">
        <f t="shared" si="74"/>
        <v>157368.75</v>
      </c>
      <c r="U193" s="179">
        <f t="shared" si="75"/>
        <v>0</v>
      </c>
      <c r="V193" s="179">
        <f t="shared" si="76"/>
        <v>19075</v>
      </c>
      <c r="W193" s="179">
        <f>'MSPL-2(LOT)'!L554</f>
        <v>0</v>
      </c>
      <c r="X193" s="179">
        <f t="shared" si="77"/>
        <v>19075</v>
      </c>
      <c r="Y193" s="179">
        <f>'MSPL-2(LOT)'!N554</f>
        <v>0</v>
      </c>
      <c r="Z193" s="179">
        <f t="shared" si="78"/>
        <v>19075</v>
      </c>
      <c r="AA193" s="179">
        <f t="shared" si="86"/>
        <v>0</v>
      </c>
      <c r="AB193" s="179">
        <f t="shared" si="79"/>
        <v>0</v>
      </c>
      <c r="AC193" s="179">
        <f t="shared" si="87"/>
        <v>0</v>
      </c>
      <c r="AD193" s="179">
        <f t="shared" si="80"/>
        <v>619.9375</v>
      </c>
      <c r="AE193" s="179">
        <f t="shared" si="88"/>
        <v>8.2658333333333331</v>
      </c>
      <c r="AF193" s="179">
        <f t="shared" si="81"/>
        <v>0</v>
      </c>
      <c r="AG193" s="179">
        <f t="shared" si="89"/>
        <v>8.2658333333333331</v>
      </c>
      <c r="AH193" s="6"/>
    </row>
    <row r="194" spans="1:34" s="43" customFormat="1" ht="15.75">
      <c r="A194" s="179">
        <v>7</v>
      </c>
      <c r="B194" s="180" t="s">
        <v>27</v>
      </c>
      <c r="C194" s="181" t="s">
        <v>94</v>
      </c>
      <c r="D194" s="182">
        <v>26.5</v>
      </c>
      <c r="E194" s="182"/>
      <c r="F194" s="179">
        <v>19075</v>
      </c>
      <c r="G194" s="179"/>
      <c r="H194" s="179"/>
      <c r="I194" s="179"/>
      <c r="J194" s="179"/>
      <c r="K194" s="179">
        <f t="shared" si="82"/>
        <v>19075</v>
      </c>
      <c r="L194" s="179">
        <v>7.25</v>
      </c>
      <c r="M194" s="179">
        <v>28</v>
      </c>
      <c r="N194" s="10"/>
      <c r="O194" s="179">
        <f t="shared" si="83"/>
        <v>28</v>
      </c>
      <c r="P194" s="10"/>
      <c r="Q194" s="179">
        <f t="shared" si="84"/>
        <v>19075</v>
      </c>
      <c r="R194" s="179">
        <f t="shared" si="85"/>
        <v>138293.75</v>
      </c>
      <c r="S194" s="179">
        <f>'MSPL-2(LOT)'!H555</f>
        <v>0</v>
      </c>
      <c r="T194" s="179">
        <f t="shared" si="74"/>
        <v>138293.75</v>
      </c>
      <c r="U194" s="179">
        <f t="shared" si="75"/>
        <v>0</v>
      </c>
      <c r="V194" s="179">
        <f t="shared" si="76"/>
        <v>19075</v>
      </c>
      <c r="W194" s="179">
        <f>'MSPL-2(LOT)'!L555</f>
        <v>0</v>
      </c>
      <c r="X194" s="179">
        <f t="shared" si="77"/>
        <v>19075</v>
      </c>
      <c r="Y194" s="179">
        <f>'MSPL-2(LOT)'!N555</f>
        <v>0</v>
      </c>
      <c r="Z194" s="179">
        <f t="shared" si="78"/>
        <v>19075</v>
      </c>
      <c r="AA194" s="179">
        <f t="shared" si="86"/>
        <v>0</v>
      </c>
      <c r="AB194" s="179">
        <f t="shared" si="79"/>
        <v>0</v>
      </c>
      <c r="AC194" s="179">
        <f t="shared" si="87"/>
        <v>0</v>
      </c>
      <c r="AD194" s="179">
        <f t="shared" si="80"/>
        <v>505.48750000000001</v>
      </c>
      <c r="AE194" s="179">
        <f t="shared" si="88"/>
        <v>6.7398333333333333</v>
      </c>
      <c r="AF194" s="179">
        <f t="shared" si="81"/>
        <v>0</v>
      </c>
      <c r="AG194" s="179">
        <f t="shared" si="89"/>
        <v>6.7398333333333333</v>
      </c>
      <c r="AH194" s="6"/>
    </row>
    <row r="195" spans="1:34" s="43" customFormat="1" ht="15.75">
      <c r="A195" s="179">
        <v>8</v>
      </c>
      <c r="B195" s="180" t="s">
        <v>31</v>
      </c>
      <c r="C195" s="181" t="s">
        <v>94</v>
      </c>
      <c r="D195" s="182">
        <v>45</v>
      </c>
      <c r="E195" s="182"/>
      <c r="F195" s="179">
        <v>19075</v>
      </c>
      <c r="G195" s="179"/>
      <c r="H195" s="179"/>
      <c r="I195" s="179"/>
      <c r="J195" s="179"/>
      <c r="K195" s="179">
        <f t="shared" si="82"/>
        <v>19075</v>
      </c>
      <c r="L195" s="179">
        <v>11.5</v>
      </c>
      <c r="M195" s="179">
        <v>46</v>
      </c>
      <c r="N195" s="10"/>
      <c r="O195" s="179">
        <f t="shared" si="83"/>
        <v>46</v>
      </c>
      <c r="P195" s="10"/>
      <c r="Q195" s="179">
        <f t="shared" si="84"/>
        <v>19075</v>
      </c>
      <c r="R195" s="179">
        <f t="shared" si="85"/>
        <v>219362.5</v>
      </c>
      <c r="S195" s="179">
        <f>'MSPL-2(LOT)'!H556</f>
        <v>0</v>
      </c>
      <c r="T195" s="179">
        <f t="shared" si="74"/>
        <v>219362.5</v>
      </c>
      <c r="U195" s="179">
        <f t="shared" si="75"/>
        <v>0</v>
      </c>
      <c r="V195" s="179">
        <f t="shared" si="76"/>
        <v>19075</v>
      </c>
      <c r="W195" s="179">
        <f>'MSPL-2(LOT)'!L556</f>
        <v>0</v>
      </c>
      <c r="X195" s="179">
        <f t="shared" si="77"/>
        <v>19075</v>
      </c>
      <c r="Y195" s="179">
        <f>'MSPL-2(LOT)'!N556</f>
        <v>0</v>
      </c>
      <c r="Z195" s="179">
        <f t="shared" si="78"/>
        <v>19075</v>
      </c>
      <c r="AA195" s="179">
        <f t="shared" si="86"/>
        <v>0</v>
      </c>
      <c r="AB195" s="179">
        <f t="shared" si="79"/>
        <v>0</v>
      </c>
      <c r="AC195" s="179">
        <f t="shared" si="87"/>
        <v>0</v>
      </c>
      <c r="AD195" s="179">
        <f t="shared" si="80"/>
        <v>858.375</v>
      </c>
      <c r="AE195" s="179">
        <f t="shared" si="88"/>
        <v>11.445</v>
      </c>
      <c r="AF195" s="179">
        <f t="shared" si="81"/>
        <v>0</v>
      </c>
      <c r="AG195" s="179">
        <f t="shared" si="89"/>
        <v>11.445</v>
      </c>
      <c r="AH195" s="6"/>
    </row>
    <row r="196" spans="1:34" s="43" customFormat="1" ht="15.75">
      <c r="A196" s="179">
        <v>9</v>
      </c>
      <c r="B196" s="180" t="s">
        <v>56</v>
      </c>
      <c r="C196" s="181" t="s">
        <v>94</v>
      </c>
      <c r="D196" s="182">
        <v>27</v>
      </c>
      <c r="E196" s="182"/>
      <c r="F196" s="179">
        <v>19075</v>
      </c>
      <c r="G196" s="179"/>
      <c r="H196" s="179"/>
      <c r="I196" s="179"/>
      <c r="J196" s="179"/>
      <c r="K196" s="179">
        <f t="shared" si="82"/>
        <v>19075</v>
      </c>
      <c r="L196" s="179">
        <v>7.5</v>
      </c>
      <c r="M196" s="179">
        <v>28</v>
      </c>
      <c r="N196" s="10"/>
      <c r="O196" s="179">
        <f t="shared" si="83"/>
        <v>28</v>
      </c>
      <c r="P196" s="10"/>
      <c r="Q196" s="179">
        <f t="shared" si="84"/>
        <v>19075</v>
      </c>
      <c r="R196" s="179">
        <f t="shared" si="85"/>
        <v>143062.5</v>
      </c>
      <c r="S196" s="179">
        <f>'MSPL-2(LOT)'!H557</f>
        <v>0</v>
      </c>
      <c r="T196" s="179">
        <f t="shared" si="74"/>
        <v>143062.5</v>
      </c>
      <c r="U196" s="179">
        <f t="shared" si="75"/>
        <v>0</v>
      </c>
      <c r="V196" s="179">
        <f t="shared" si="76"/>
        <v>19075</v>
      </c>
      <c r="W196" s="179">
        <f>'MSPL-2(LOT)'!L557</f>
        <v>0</v>
      </c>
      <c r="X196" s="179">
        <f t="shared" si="77"/>
        <v>19075</v>
      </c>
      <c r="Y196" s="179">
        <f>'MSPL-2(LOT)'!N557</f>
        <v>0</v>
      </c>
      <c r="Z196" s="179">
        <f t="shared" si="78"/>
        <v>19075</v>
      </c>
      <c r="AA196" s="179">
        <f t="shared" si="86"/>
        <v>0</v>
      </c>
      <c r="AB196" s="179">
        <f t="shared" si="79"/>
        <v>0</v>
      </c>
      <c r="AC196" s="179">
        <f t="shared" si="87"/>
        <v>0</v>
      </c>
      <c r="AD196" s="179">
        <f t="shared" si="80"/>
        <v>515.02499999999998</v>
      </c>
      <c r="AE196" s="179">
        <f t="shared" si="88"/>
        <v>6.867</v>
      </c>
      <c r="AF196" s="179">
        <f t="shared" si="81"/>
        <v>0</v>
      </c>
      <c r="AG196" s="179">
        <f t="shared" si="89"/>
        <v>6.867</v>
      </c>
      <c r="AH196" s="6"/>
    </row>
    <row r="197" spans="1:34" s="43" customFormat="1" ht="15.75">
      <c r="A197" s="179">
        <v>10</v>
      </c>
      <c r="B197" s="180" t="s">
        <v>175</v>
      </c>
      <c r="C197" s="181" t="s">
        <v>94</v>
      </c>
      <c r="D197" s="182">
        <v>40</v>
      </c>
      <c r="E197" s="182"/>
      <c r="F197" s="179">
        <v>19075</v>
      </c>
      <c r="G197" s="179"/>
      <c r="H197" s="179"/>
      <c r="I197" s="179"/>
      <c r="J197" s="179"/>
      <c r="K197" s="179">
        <f t="shared" si="82"/>
        <v>19075</v>
      </c>
      <c r="L197" s="179">
        <v>10</v>
      </c>
      <c r="M197" s="179">
        <v>40</v>
      </c>
      <c r="N197" s="10"/>
      <c r="O197" s="179">
        <f t="shared" si="83"/>
        <v>40</v>
      </c>
      <c r="P197" s="10"/>
      <c r="Q197" s="179">
        <f t="shared" si="84"/>
        <v>19075</v>
      </c>
      <c r="R197" s="179">
        <f t="shared" si="85"/>
        <v>190750</v>
      </c>
      <c r="S197" s="179">
        <f>'MSPL-2(LOT)'!H558</f>
        <v>0</v>
      </c>
      <c r="T197" s="179">
        <f t="shared" si="74"/>
        <v>190750</v>
      </c>
      <c r="U197" s="179">
        <f t="shared" si="75"/>
        <v>0</v>
      </c>
      <c r="V197" s="179">
        <f t="shared" si="76"/>
        <v>19075</v>
      </c>
      <c r="W197" s="179">
        <f>'MSPL-2(LOT)'!L558</f>
        <v>0</v>
      </c>
      <c r="X197" s="179">
        <f t="shared" si="77"/>
        <v>19075</v>
      </c>
      <c r="Y197" s="179">
        <f>'MSPL-2(LOT)'!N558</f>
        <v>0</v>
      </c>
      <c r="Z197" s="179">
        <f t="shared" si="78"/>
        <v>19075</v>
      </c>
      <c r="AA197" s="179">
        <f t="shared" si="86"/>
        <v>0</v>
      </c>
      <c r="AB197" s="179">
        <f t="shared" si="79"/>
        <v>0</v>
      </c>
      <c r="AC197" s="179">
        <f t="shared" si="87"/>
        <v>0</v>
      </c>
      <c r="AD197" s="179">
        <f t="shared" si="80"/>
        <v>763</v>
      </c>
      <c r="AE197" s="179">
        <f t="shared" si="88"/>
        <v>10.173333333333334</v>
      </c>
      <c r="AF197" s="179">
        <f t="shared" si="81"/>
        <v>0</v>
      </c>
      <c r="AG197" s="179">
        <f t="shared" si="89"/>
        <v>10.173333333333334</v>
      </c>
      <c r="AH197" s="6"/>
    </row>
    <row r="198" spans="1:34" s="43" customFormat="1" ht="15.75">
      <c r="A198" s="179">
        <v>11</v>
      </c>
      <c r="B198" s="180" t="s">
        <v>185</v>
      </c>
      <c r="C198" s="181" t="s">
        <v>94</v>
      </c>
      <c r="D198" s="182">
        <v>25.5</v>
      </c>
      <c r="E198" s="182"/>
      <c r="F198" s="179">
        <v>12145</v>
      </c>
      <c r="G198" s="179"/>
      <c r="H198" s="179"/>
      <c r="I198" s="179"/>
      <c r="J198" s="179"/>
      <c r="K198" s="179">
        <f t="shared" si="82"/>
        <v>12145</v>
      </c>
      <c r="L198" s="179">
        <v>6.75</v>
      </c>
      <c r="M198" s="179">
        <v>28</v>
      </c>
      <c r="N198" s="10"/>
      <c r="O198" s="179">
        <f t="shared" si="83"/>
        <v>28</v>
      </c>
      <c r="P198" s="10"/>
      <c r="Q198" s="179">
        <f t="shared" si="84"/>
        <v>12145</v>
      </c>
      <c r="R198" s="179">
        <f t="shared" si="85"/>
        <v>81978.75</v>
      </c>
      <c r="S198" s="179">
        <f>'MSPL-2(LOT)'!H559</f>
        <v>0</v>
      </c>
      <c r="T198" s="179">
        <f t="shared" si="74"/>
        <v>81978.75</v>
      </c>
      <c r="U198" s="179">
        <f t="shared" si="75"/>
        <v>0</v>
      </c>
      <c r="V198" s="179">
        <f t="shared" si="76"/>
        <v>12145</v>
      </c>
      <c r="W198" s="179">
        <f>'MSPL-2(LOT)'!L559</f>
        <v>0</v>
      </c>
      <c r="X198" s="179">
        <f t="shared" si="77"/>
        <v>12145</v>
      </c>
      <c r="Y198" s="179">
        <f>'MSPL-2(LOT)'!N559</f>
        <v>0</v>
      </c>
      <c r="Z198" s="179">
        <f t="shared" si="78"/>
        <v>12145</v>
      </c>
      <c r="AA198" s="179">
        <f t="shared" si="86"/>
        <v>0</v>
      </c>
      <c r="AB198" s="179">
        <f t="shared" si="79"/>
        <v>0</v>
      </c>
      <c r="AC198" s="179">
        <f t="shared" si="87"/>
        <v>0</v>
      </c>
      <c r="AD198" s="179">
        <f t="shared" si="80"/>
        <v>309.69749999999999</v>
      </c>
      <c r="AE198" s="179">
        <f t="shared" si="88"/>
        <v>4.1292999999999997</v>
      </c>
      <c r="AF198" s="179">
        <f t="shared" si="81"/>
        <v>0</v>
      </c>
      <c r="AG198" s="179">
        <f t="shared" si="89"/>
        <v>4.1292999999999997</v>
      </c>
      <c r="AH198" s="6"/>
    </row>
    <row r="199" spans="1:34" s="43" customFormat="1" ht="15.75">
      <c r="A199" s="179">
        <v>12</v>
      </c>
      <c r="B199" s="180" t="s">
        <v>186</v>
      </c>
      <c r="C199" s="181" t="s">
        <v>94</v>
      </c>
      <c r="D199" s="182">
        <v>23.5</v>
      </c>
      <c r="E199" s="182"/>
      <c r="F199" s="179">
        <v>18090</v>
      </c>
      <c r="G199" s="179"/>
      <c r="H199" s="179"/>
      <c r="I199" s="179"/>
      <c r="J199" s="179"/>
      <c r="K199" s="179">
        <f t="shared" si="82"/>
        <v>18090</v>
      </c>
      <c r="L199" s="179">
        <v>6.75</v>
      </c>
      <c r="M199" s="179">
        <v>26</v>
      </c>
      <c r="N199" s="10"/>
      <c r="O199" s="179">
        <f t="shared" si="83"/>
        <v>26</v>
      </c>
      <c r="P199" s="10"/>
      <c r="Q199" s="179">
        <f t="shared" si="84"/>
        <v>18090</v>
      </c>
      <c r="R199" s="179">
        <f t="shared" si="85"/>
        <v>122107.5</v>
      </c>
      <c r="S199" s="179">
        <f>'MSPL-2(LOT)'!H560</f>
        <v>0</v>
      </c>
      <c r="T199" s="179">
        <f t="shared" si="74"/>
        <v>122107.5</v>
      </c>
      <c r="U199" s="179">
        <f t="shared" si="75"/>
        <v>0</v>
      </c>
      <c r="V199" s="179">
        <f t="shared" si="76"/>
        <v>18090</v>
      </c>
      <c r="W199" s="179">
        <f>'MSPL-2(LOT)'!L560</f>
        <v>0</v>
      </c>
      <c r="X199" s="179">
        <f t="shared" si="77"/>
        <v>18090</v>
      </c>
      <c r="Y199" s="179">
        <f>'MSPL-2(LOT)'!N560</f>
        <v>0</v>
      </c>
      <c r="Z199" s="179">
        <f t="shared" si="78"/>
        <v>18090</v>
      </c>
      <c r="AA199" s="179">
        <f t="shared" si="86"/>
        <v>0</v>
      </c>
      <c r="AB199" s="179">
        <f t="shared" si="79"/>
        <v>0</v>
      </c>
      <c r="AC199" s="179">
        <f t="shared" si="87"/>
        <v>0</v>
      </c>
      <c r="AD199" s="179">
        <f t="shared" si="80"/>
        <v>425.11500000000001</v>
      </c>
      <c r="AE199" s="179">
        <f t="shared" si="88"/>
        <v>5.6681999999999997</v>
      </c>
      <c r="AF199" s="179">
        <f t="shared" si="81"/>
        <v>0</v>
      </c>
      <c r="AG199" s="179">
        <f t="shared" si="89"/>
        <v>5.6681999999999997</v>
      </c>
      <c r="AH199" s="6"/>
    </row>
    <row r="200" spans="1:34" s="43" customFormat="1" ht="15.75">
      <c r="A200" s="179">
        <v>13</v>
      </c>
      <c r="B200" s="180" t="s">
        <v>91</v>
      </c>
      <c r="C200" s="181" t="s">
        <v>94</v>
      </c>
      <c r="D200" s="182">
        <v>11</v>
      </c>
      <c r="E200" s="182"/>
      <c r="F200" s="179">
        <v>18635</v>
      </c>
      <c r="G200" s="179"/>
      <c r="H200" s="179"/>
      <c r="I200" s="179"/>
      <c r="J200" s="179"/>
      <c r="K200" s="179">
        <f t="shared" si="82"/>
        <v>18635</v>
      </c>
      <c r="L200" s="179">
        <v>3.5</v>
      </c>
      <c r="M200" s="179">
        <v>12</v>
      </c>
      <c r="N200" s="10"/>
      <c r="O200" s="179">
        <f t="shared" si="83"/>
        <v>12</v>
      </c>
      <c r="P200" s="10"/>
      <c r="Q200" s="179">
        <f t="shared" si="84"/>
        <v>18635</v>
      </c>
      <c r="R200" s="179">
        <f t="shared" si="85"/>
        <v>65222.5</v>
      </c>
      <c r="S200" s="179">
        <f>'MSPL-2(LOT)'!H561</f>
        <v>0</v>
      </c>
      <c r="T200" s="179">
        <f t="shared" si="74"/>
        <v>65222.5</v>
      </c>
      <c r="U200" s="179">
        <f t="shared" si="75"/>
        <v>0</v>
      </c>
      <c r="V200" s="179">
        <f t="shared" si="76"/>
        <v>18635</v>
      </c>
      <c r="W200" s="179">
        <f>'MSPL-2(LOT)'!L561</f>
        <v>0</v>
      </c>
      <c r="X200" s="179">
        <f t="shared" si="77"/>
        <v>18635</v>
      </c>
      <c r="Y200" s="179">
        <f>'MSPL-2(LOT)'!N561</f>
        <v>0</v>
      </c>
      <c r="Z200" s="179">
        <f t="shared" si="78"/>
        <v>18635</v>
      </c>
      <c r="AA200" s="179">
        <f t="shared" si="86"/>
        <v>0</v>
      </c>
      <c r="AB200" s="179">
        <f t="shared" si="79"/>
        <v>0</v>
      </c>
      <c r="AC200" s="179">
        <f t="shared" si="87"/>
        <v>0</v>
      </c>
      <c r="AD200" s="179">
        <f t="shared" si="80"/>
        <v>204.98500000000001</v>
      </c>
      <c r="AE200" s="179">
        <f t="shared" si="88"/>
        <v>2.7331333333333334</v>
      </c>
      <c r="AF200" s="179">
        <f t="shared" si="81"/>
        <v>0</v>
      </c>
      <c r="AG200" s="179">
        <f t="shared" si="89"/>
        <v>2.7331333333333334</v>
      </c>
      <c r="AH200" s="6"/>
    </row>
    <row r="201" spans="1:34" s="43" customFormat="1" ht="15.75">
      <c r="A201" s="179">
        <v>14</v>
      </c>
      <c r="B201" s="180" t="s">
        <v>43</v>
      </c>
      <c r="C201" s="181" t="s">
        <v>94</v>
      </c>
      <c r="D201" s="182">
        <v>19.5</v>
      </c>
      <c r="E201" s="182"/>
      <c r="F201" s="179">
        <v>17020</v>
      </c>
      <c r="G201" s="179"/>
      <c r="H201" s="179"/>
      <c r="I201" s="179"/>
      <c r="J201" s="179"/>
      <c r="K201" s="179">
        <f t="shared" si="82"/>
        <v>17020</v>
      </c>
      <c r="L201" s="179">
        <v>5.75</v>
      </c>
      <c r="M201" s="179">
        <v>22</v>
      </c>
      <c r="N201" s="10"/>
      <c r="O201" s="179">
        <f t="shared" si="83"/>
        <v>22</v>
      </c>
      <c r="P201" s="10"/>
      <c r="Q201" s="179">
        <f t="shared" si="84"/>
        <v>17020</v>
      </c>
      <c r="R201" s="179">
        <f t="shared" si="85"/>
        <v>97865</v>
      </c>
      <c r="S201" s="179">
        <f>'MSPL-2(LOT)'!H562</f>
        <v>0</v>
      </c>
      <c r="T201" s="179">
        <f t="shared" si="74"/>
        <v>97865</v>
      </c>
      <c r="U201" s="179">
        <f t="shared" si="75"/>
        <v>0</v>
      </c>
      <c r="V201" s="179">
        <f t="shared" si="76"/>
        <v>17020</v>
      </c>
      <c r="W201" s="179">
        <f>'MSPL-2(LOT)'!L562</f>
        <v>0</v>
      </c>
      <c r="X201" s="179">
        <f t="shared" si="77"/>
        <v>17020</v>
      </c>
      <c r="Y201" s="179">
        <f>'MSPL-2(LOT)'!N562</f>
        <v>0</v>
      </c>
      <c r="Z201" s="179">
        <f t="shared" si="78"/>
        <v>17020</v>
      </c>
      <c r="AA201" s="179">
        <f t="shared" si="86"/>
        <v>0</v>
      </c>
      <c r="AB201" s="179">
        <f t="shared" si="79"/>
        <v>0</v>
      </c>
      <c r="AC201" s="179">
        <f t="shared" si="87"/>
        <v>0</v>
      </c>
      <c r="AD201" s="179">
        <f t="shared" si="80"/>
        <v>331.89</v>
      </c>
      <c r="AE201" s="179">
        <f t="shared" si="88"/>
        <v>4.4252000000000002</v>
      </c>
      <c r="AF201" s="179">
        <f t="shared" si="81"/>
        <v>0</v>
      </c>
      <c r="AG201" s="179">
        <f t="shared" si="89"/>
        <v>4.4252000000000002</v>
      </c>
      <c r="AH201" s="6"/>
    </row>
    <row r="202" spans="1:34" s="43" customFormat="1" ht="15.75">
      <c r="A202" s="179">
        <v>15</v>
      </c>
      <c r="B202" s="180" t="s">
        <v>151</v>
      </c>
      <c r="C202" s="181" t="s">
        <v>94</v>
      </c>
      <c r="D202" s="182">
        <v>23.5</v>
      </c>
      <c r="E202" s="182"/>
      <c r="F202" s="179">
        <v>310</v>
      </c>
      <c r="G202" s="179"/>
      <c r="H202" s="179"/>
      <c r="I202" s="179"/>
      <c r="J202" s="179"/>
      <c r="K202" s="179">
        <f t="shared" si="82"/>
        <v>310</v>
      </c>
      <c r="L202" s="179">
        <v>6.75</v>
      </c>
      <c r="M202" s="179">
        <v>26</v>
      </c>
      <c r="N202" s="10"/>
      <c r="O202" s="179">
        <f t="shared" si="83"/>
        <v>26</v>
      </c>
      <c r="P202" s="10"/>
      <c r="Q202" s="179">
        <f t="shared" si="84"/>
        <v>310</v>
      </c>
      <c r="R202" s="179">
        <f t="shared" si="85"/>
        <v>2092.5</v>
      </c>
      <c r="S202" s="179">
        <f>'MSPL-2(LOT)'!H563</f>
        <v>0</v>
      </c>
      <c r="T202" s="179">
        <f t="shared" si="74"/>
        <v>2092.5</v>
      </c>
      <c r="U202" s="179">
        <f t="shared" si="75"/>
        <v>0</v>
      </c>
      <c r="V202" s="179">
        <f t="shared" si="76"/>
        <v>310</v>
      </c>
      <c r="W202" s="179">
        <f>'MSPL-2(LOT)'!L563</f>
        <v>0</v>
      </c>
      <c r="X202" s="179">
        <f t="shared" si="77"/>
        <v>310</v>
      </c>
      <c r="Y202" s="179">
        <f>'MSPL-2(LOT)'!N563</f>
        <v>0</v>
      </c>
      <c r="Z202" s="179">
        <f t="shared" si="78"/>
        <v>310</v>
      </c>
      <c r="AA202" s="179">
        <f t="shared" si="86"/>
        <v>0</v>
      </c>
      <c r="AB202" s="179">
        <f t="shared" si="79"/>
        <v>0</v>
      </c>
      <c r="AC202" s="179">
        <f t="shared" si="87"/>
        <v>0</v>
      </c>
      <c r="AD202" s="179">
        <f t="shared" si="80"/>
        <v>7.2850000000000001</v>
      </c>
      <c r="AE202" s="179">
        <f t="shared" si="88"/>
        <v>9.7133333333333335E-2</v>
      </c>
      <c r="AF202" s="179">
        <f t="shared" si="81"/>
        <v>0</v>
      </c>
      <c r="AG202" s="179">
        <f t="shared" si="89"/>
        <v>9.7133333333333335E-2</v>
      </c>
      <c r="AH202" s="6"/>
    </row>
    <row r="203" spans="1:34" s="43" customFormat="1" ht="15.75">
      <c r="A203" s="179">
        <v>16</v>
      </c>
      <c r="B203" s="180" t="s">
        <v>187</v>
      </c>
      <c r="C203" s="181" t="s">
        <v>94</v>
      </c>
      <c r="D203" s="182">
        <v>29</v>
      </c>
      <c r="E203" s="182"/>
      <c r="F203" s="179">
        <v>18090</v>
      </c>
      <c r="G203" s="179"/>
      <c r="H203" s="179"/>
      <c r="I203" s="179"/>
      <c r="J203" s="179"/>
      <c r="K203" s="179">
        <f t="shared" si="82"/>
        <v>18090</v>
      </c>
      <c r="L203" s="179">
        <v>7.5</v>
      </c>
      <c r="M203" s="179">
        <v>30</v>
      </c>
      <c r="N203" s="10"/>
      <c r="O203" s="179">
        <f t="shared" si="83"/>
        <v>30</v>
      </c>
      <c r="P203" s="10"/>
      <c r="Q203" s="179">
        <f t="shared" si="84"/>
        <v>18090</v>
      </c>
      <c r="R203" s="179">
        <f t="shared" si="85"/>
        <v>135675</v>
      </c>
      <c r="S203" s="179">
        <f>'MSPL-2(LOT)'!H564</f>
        <v>0</v>
      </c>
      <c r="T203" s="179">
        <f t="shared" si="74"/>
        <v>135675</v>
      </c>
      <c r="U203" s="179">
        <f t="shared" si="75"/>
        <v>0</v>
      </c>
      <c r="V203" s="179">
        <f t="shared" si="76"/>
        <v>18090</v>
      </c>
      <c r="W203" s="179">
        <f>'MSPL-2(LOT)'!L564</f>
        <v>0</v>
      </c>
      <c r="X203" s="179">
        <f t="shared" si="77"/>
        <v>18090</v>
      </c>
      <c r="Y203" s="179">
        <f>'MSPL-2(LOT)'!N564</f>
        <v>0</v>
      </c>
      <c r="Z203" s="179">
        <f t="shared" si="78"/>
        <v>18090</v>
      </c>
      <c r="AA203" s="179">
        <f t="shared" si="86"/>
        <v>0</v>
      </c>
      <c r="AB203" s="179">
        <f t="shared" si="79"/>
        <v>0</v>
      </c>
      <c r="AC203" s="179">
        <f t="shared" si="87"/>
        <v>0</v>
      </c>
      <c r="AD203" s="179">
        <f t="shared" si="80"/>
        <v>524.61</v>
      </c>
      <c r="AE203" s="179">
        <f t="shared" si="88"/>
        <v>6.9948000000000006</v>
      </c>
      <c r="AF203" s="179">
        <f t="shared" si="81"/>
        <v>0</v>
      </c>
      <c r="AG203" s="179">
        <f t="shared" si="89"/>
        <v>6.9948000000000006</v>
      </c>
      <c r="AH203" s="6"/>
    </row>
    <row r="204" spans="1:34" s="43" customFormat="1" ht="15.75">
      <c r="A204" s="179">
        <v>17</v>
      </c>
      <c r="B204" s="180" t="s">
        <v>109</v>
      </c>
      <c r="C204" s="181" t="s">
        <v>94</v>
      </c>
      <c r="D204" s="182">
        <v>16.5</v>
      </c>
      <c r="E204" s="182"/>
      <c r="F204" s="179">
        <v>11240</v>
      </c>
      <c r="G204" s="179"/>
      <c r="H204" s="179"/>
      <c r="I204" s="179"/>
      <c r="J204" s="179"/>
      <c r="K204" s="179">
        <f t="shared" si="82"/>
        <v>11240</v>
      </c>
      <c r="L204" s="179">
        <v>4.25</v>
      </c>
      <c r="M204" s="179">
        <v>18</v>
      </c>
      <c r="N204" s="10"/>
      <c r="O204" s="179">
        <f t="shared" si="83"/>
        <v>18</v>
      </c>
      <c r="P204" s="10"/>
      <c r="Q204" s="179">
        <f t="shared" si="84"/>
        <v>11240</v>
      </c>
      <c r="R204" s="179">
        <f t="shared" si="85"/>
        <v>47770</v>
      </c>
      <c r="S204" s="179">
        <f>'MSPL-2(LOT)'!H565</f>
        <v>0</v>
      </c>
      <c r="T204" s="179">
        <f t="shared" si="74"/>
        <v>47770</v>
      </c>
      <c r="U204" s="179">
        <f t="shared" si="75"/>
        <v>0</v>
      </c>
      <c r="V204" s="179">
        <f t="shared" si="76"/>
        <v>11240</v>
      </c>
      <c r="W204" s="179">
        <f>'MSPL-2(LOT)'!L565</f>
        <v>0</v>
      </c>
      <c r="X204" s="179">
        <f t="shared" si="77"/>
        <v>11240</v>
      </c>
      <c r="Y204" s="179">
        <f>'MSPL-2(LOT)'!N565</f>
        <v>0</v>
      </c>
      <c r="Z204" s="179">
        <f t="shared" si="78"/>
        <v>11240</v>
      </c>
      <c r="AA204" s="179">
        <f t="shared" si="86"/>
        <v>0</v>
      </c>
      <c r="AB204" s="179">
        <f t="shared" si="79"/>
        <v>0</v>
      </c>
      <c r="AC204" s="179">
        <f t="shared" si="87"/>
        <v>0</v>
      </c>
      <c r="AD204" s="179">
        <f t="shared" si="80"/>
        <v>185.46</v>
      </c>
      <c r="AE204" s="179">
        <f t="shared" si="88"/>
        <v>2.4727999999999999</v>
      </c>
      <c r="AF204" s="179">
        <f t="shared" si="81"/>
        <v>0</v>
      </c>
      <c r="AG204" s="179">
        <f t="shared" si="89"/>
        <v>2.4727999999999999</v>
      </c>
      <c r="AH204" s="6"/>
    </row>
    <row r="205" spans="1:34" s="43" customFormat="1" ht="15.75">
      <c r="A205" s="179">
        <v>18</v>
      </c>
      <c r="B205" s="180" t="s">
        <v>102</v>
      </c>
      <c r="C205" s="181" t="s">
        <v>94</v>
      </c>
      <c r="D205" s="182">
        <v>42.5</v>
      </c>
      <c r="E205" s="182"/>
      <c r="F205" s="179">
        <v>1180</v>
      </c>
      <c r="G205" s="179"/>
      <c r="H205" s="179"/>
      <c r="I205" s="179"/>
      <c r="J205" s="179"/>
      <c r="K205" s="179">
        <f t="shared" si="82"/>
        <v>1180</v>
      </c>
      <c r="L205" s="179">
        <v>11.25</v>
      </c>
      <c r="M205" s="179">
        <v>44</v>
      </c>
      <c r="N205" s="10"/>
      <c r="O205" s="179">
        <f t="shared" si="83"/>
        <v>44</v>
      </c>
      <c r="P205" s="10"/>
      <c r="Q205" s="179">
        <f t="shared" si="84"/>
        <v>1180</v>
      </c>
      <c r="R205" s="179">
        <f t="shared" si="85"/>
        <v>13275</v>
      </c>
      <c r="S205" s="179">
        <f>'MSPL-2(LOT)'!H566</f>
        <v>0</v>
      </c>
      <c r="T205" s="179">
        <f t="shared" si="74"/>
        <v>13275</v>
      </c>
      <c r="U205" s="179">
        <f t="shared" si="75"/>
        <v>0</v>
      </c>
      <c r="V205" s="179">
        <f t="shared" si="76"/>
        <v>1180</v>
      </c>
      <c r="W205" s="179">
        <f>'MSPL-2(LOT)'!L566</f>
        <v>0</v>
      </c>
      <c r="X205" s="179">
        <f t="shared" si="77"/>
        <v>1180</v>
      </c>
      <c r="Y205" s="179"/>
      <c r="Z205" s="179">
        <f t="shared" si="78"/>
        <v>1180</v>
      </c>
      <c r="AA205" s="179">
        <f t="shared" si="86"/>
        <v>0</v>
      </c>
      <c r="AB205" s="179">
        <f t="shared" si="79"/>
        <v>0</v>
      </c>
      <c r="AC205" s="179">
        <f t="shared" si="87"/>
        <v>0</v>
      </c>
      <c r="AD205" s="179">
        <f t="shared" si="80"/>
        <v>50.15</v>
      </c>
      <c r="AE205" s="179">
        <f t="shared" si="88"/>
        <v>0.66866666666666663</v>
      </c>
      <c r="AF205" s="179">
        <f t="shared" si="81"/>
        <v>0</v>
      </c>
      <c r="AG205" s="179">
        <f t="shared" si="89"/>
        <v>0.66866666666666663</v>
      </c>
      <c r="AH205" s="6"/>
    </row>
    <row r="206" spans="1:34" s="43" customFormat="1" ht="15.75">
      <c r="A206" s="383" t="s">
        <v>67</v>
      </c>
      <c r="B206" s="383"/>
      <c r="C206" s="383"/>
      <c r="D206" s="383"/>
      <c r="E206" s="74"/>
      <c r="F206" s="44">
        <f>SUM(F188:F205)</f>
        <v>287460</v>
      </c>
      <c r="G206" s="84">
        <f t="shared" ref="G206:AH206" si="90">SUM(G188:G205)</f>
        <v>0</v>
      </c>
      <c r="H206" s="84">
        <f t="shared" si="90"/>
        <v>0</v>
      </c>
      <c r="I206" s="84">
        <f t="shared" si="90"/>
        <v>0</v>
      </c>
      <c r="J206" s="84">
        <f t="shared" si="90"/>
        <v>0</v>
      </c>
      <c r="K206" s="84">
        <f t="shared" si="90"/>
        <v>287460</v>
      </c>
      <c r="L206" s="84">
        <f t="shared" si="90"/>
        <v>146.75</v>
      </c>
      <c r="M206" s="135">
        <f t="shared" ref="M206:Q206" si="91">SUM(M188:M205)</f>
        <v>578</v>
      </c>
      <c r="N206" s="135">
        <f t="shared" si="91"/>
        <v>0</v>
      </c>
      <c r="O206" s="135">
        <f t="shared" si="91"/>
        <v>578</v>
      </c>
      <c r="P206" s="143">
        <f t="shared" si="91"/>
        <v>0</v>
      </c>
      <c r="Q206" s="143">
        <f t="shared" si="91"/>
        <v>287460</v>
      </c>
      <c r="R206" s="84">
        <f t="shared" si="90"/>
        <v>2363805</v>
      </c>
      <c r="S206" s="84">
        <f t="shared" si="90"/>
        <v>0</v>
      </c>
      <c r="T206" s="84">
        <f t="shared" si="90"/>
        <v>2363805</v>
      </c>
      <c r="U206" s="84">
        <f t="shared" si="90"/>
        <v>0</v>
      </c>
      <c r="V206" s="84">
        <f t="shared" si="90"/>
        <v>287460</v>
      </c>
      <c r="W206" s="84">
        <f t="shared" si="90"/>
        <v>0</v>
      </c>
      <c r="X206" s="84">
        <f t="shared" si="90"/>
        <v>287460</v>
      </c>
      <c r="Y206" s="84">
        <f t="shared" si="90"/>
        <v>0</v>
      </c>
      <c r="Z206" s="84">
        <f t="shared" si="90"/>
        <v>287460</v>
      </c>
      <c r="AA206" s="84">
        <f t="shared" si="90"/>
        <v>0</v>
      </c>
      <c r="AB206" s="84">
        <f t="shared" si="90"/>
        <v>0</v>
      </c>
      <c r="AC206" s="143">
        <f t="shared" si="90"/>
        <v>0</v>
      </c>
      <c r="AD206" s="84">
        <f t="shared" si="90"/>
        <v>8915.7299999999977</v>
      </c>
      <c r="AE206" s="84">
        <f t="shared" si="90"/>
        <v>118.87640000000002</v>
      </c>
      <c r="AF206" s="84">
        <f t="shared" si="90"/>
        <v>0</v>
      </c>
      <c r="AG206" s="84">
        <f t="shared" si="90"/>
        <v>118.87640000000002</v>
      </c>
      <c r="AH206" s="143">
        <f t="shared" si="90"/>
        <v>0</v>
      </c>
    </row>
    <row r="207" spans="1:34" s="43" customFormat="1">
      <c r="A207" s="30"/>
      <c r="B207" s="28"/>
      <c r="C207" s="30"/>
      <c r="D207" s="31"/>
      <c r="E207" s="31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0"/>
    </row>
    <row r="208" spans="1:34" s="43" customFormat="1">
      <c r="A208" s="30"/>
      <c r="B208" s="28"/>
      <c r="C208" s="30"/>
      <c r="D208" s="31"/>
      <c r="E208" s="31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122"/>
      <c r="Y208" s="122"/>
      <c r="Z208" s="122"/>
      <c r="AA208" s="122"/>
      <c r="AB208" s="67"/>
      <c r="AC208" s="67"/>
      <c r="AD208" s="67"/>
      <c r="AE208" s="67"/>
      <c r="AF208" s="67"/>
      <c r="AG208" s="67"/>
    </row>
    <row r="209" spans="1:33" s="63" customFormat="1" ht="15.75">
      <c r="A209" s="61"/>
      <c r="B209" s="61"/>
      <c r="C209" s="61"/>
      <c r="D209" s="61"/>
      <c r="E209" s="61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AB209" s="387" t="s">
        <v>254</v>
      </c>
      <c r="AC209" s="387"/>
      <c r="AD209" s="387"/>
      <c r="AE209" s="387"/>
      <c r="AF209" s="387"/>
      <c r="AG209" s="387"/>
    </row>
  </sheetData>
  <mergeCells count="150">
    <mergeCell ref="C41:C42"/>
    <mergeCell ref="D41:D42"/>
    <mergeCell ref="A75:AG75"/>
    <mergeCell ref="A76:AG76"/>
    <mergeCell ref="AD112:AG112"/>
    <mergeCell ref="AC5:AC6"/>
    <mergeCell ref="AC41:AC42"/>
    <mergeCell ref="AC78:AC79"/>
    <mergeCell ref="D5:D6"/>
    <mergeCell ref="P5:Q5"/>
    <mergeCell ref="P41:Q41"/>
    <mergeCell ref="P78:Q78"/>
    <mergeCell ref="U5:V5"/>
    <mergeCell ref="W5:X5"/>
    <mergeCell ref="AC148:AC149"/>
    <mergeCell ref="AC186:AC187"/>
    <mergeCell ref="M5:O5"/>
    <mergeCell ref="M41:O41"/>
    <mergeCell ref="M78:O78"/>
    <mergeCell ref="M113:O113"/>
    <mergeCell ref="M148:O148"/>
    <mergeCell ref="A111:AG111"/>
    <mergeCell ref="A112:AB112"/>
    <mergeCell ref="C49:C55"/>
    <mergeCell ref="C56:C62"/>
    <mergeCell ref="A77:AB77"/>
    <mergeCell ref="AD77:AG77"/>
    <mergeCell ref="AB5:AB6"/>
    <mergeCell ref="AD5:AG5"/>
    <mergeCell ref="AA5:AA6"/>
    <mergeCell ref="Y5:Z5"/>
    <mergeCell ref="K41:K42"/>
    <mergeCell ref="C7:C8"/>
    <mergeCell ref="AB105:AG105"/>
    <mergeCell ref="F186:J186"/>
    <mergeCell ref="K186:K187"/>
    <mergeCell ref="B186:B187"/>
    <mergeCell ref="C46:C48"/>
    <mergeCell ref="A1:AG1"/>
    <mergeCell ref="A2:AG2"/>
    <mergeCell ref="A3:AG3"/>
    <mergeCell ref="A4:AB4"/>
    <mergeCell ref="A37:AG37"/>
    <mergeCell ref="A38:AG38"/>
    <mergeCell ref="A39:AG39"/>
    <mergeCell ref="A40:AB40"/>
    <mergeCell ref="A74:AG74"/>
    <mergeCell ref="F5:J5"/>
    <mergeCell ref="K5:K6"/>
    <mergeCell ref="W41:X41"/>
    <mergeCell ref="AB41:AB42"/>
    <mergeCell ref="Y41:Z41"/>
    <mergeCell ref="AA41:AA42"/>
    <mergeCell ref="AD41:AG41"/>
    <mergeCell ref="A70:D70"/>
    <mergeCell ref="AD4:AG4"/>
    <mergeCell ref="A9:D9"/>
    <mergeCell ref="A41:A42"/>
    <mergeCell ref="B41:B42"/>
    <mergeCell ref="A5:A6"/>
    <mergeCell ref="B5:B6"/>
    <mergeCell ref="C5:C6"/>
    <mergeCell ref="C186:C187"/>
    <mergeCell ref="C43:C45"/>
    <mergeCell ref="U41:V41"/>
    <mergeCell ref="A102:D102"/>
    <mergeCell ref="C78:C79"/>
    <mergeCell ref="D78:D79"/>
    <mergeCell ref="A186:A187"/>
    <mergeCell ref="U186:V186"/>
    <mergeCell ref="M186:O186"/>
    <mergeCell ref="A182:AG182"/>
    <mergeCell ref="AB162:AG162"/>
    <mergeCell ref="P186:Q186"/>
    <mergeCell ref="AD147:AG147"/>
    <mergeCell ref="F148:J148"/>
    <mergeCell ref="R186:T186"/>
    <mergeCell ref="F78:J78"/>
    <mergeCell ref="K78:K79"/>
    <mergeCell ref="A109:AG109"/>
    <mergeCell ref="C63:C69"/>
    <mergeCell ref="F41:J41"/>
    <mergeCell ref="K148:K149"/>
    <mergeCell ref="D148:D149"/>
    <mergeCell ref="A110:AG110"/>
    <mergeCell ref="Y148:Z148"/>
    <mergeCell ref="P113:Q113"/>
    <mergeCell ref="A113:A114"/>
    <mergeCell ref="A145:AG145"/>
    <mergeCell ref="AB134:AG134"/>
    <mergeCell ref="AD113:AG113"/>
    <mergeCell ref="A131:D131"/>
    <mergeCell ref="F113:J113"/>
    <mergeCell ref="K113:K114"/>
    <mergeCell ref="U113:V113"/>
    <mergeCell ref="W113:X113"/>
    <mergeCell ref="Y113:Z113"/>
    <mergeCell ref="AA113:AA114"/>
    <mergeCell ref="B113:B114"/>
    <mergeCell ref="C113:C114"/>
    <mergeCell ref="D113:D114"/>
    <mergeCell ref="AC113:AC114"/>
    <mergeCell ref="P148:Q148"/>
    <mergeCell ref="A147:AB147"/>
    <mergeCell ref="AB209:AG209"/>
    <mergeCell ref="AB73:AG73"/>
    <mergeCell ref="AB12:AG12"/>
    <mergeCell ref="AB78:AB79"/>
    <mergeCell ref="AB186:AB187"/>
    <mergeCell ref="AD78:AG78"/>
    <mergeCell ref="AB113:AB114"/>
    <mergeCell ref="A144:AG144"/>
    <mergeCell ref="W148:X148"/>
    <mergeCell ref="A184:AG184"/>
    <mergeCell ref="A185:AB185"/>
    <mergeCell ref="AD185:AG185"/>
    <mergeCell ref="A148:A149"/>
    <mergeCell ref="B148:B149"/>
    <mergeCell ref="C148:C149"/>
    <mergeCell ref="A206:D206"/>
    <mergeCell ref="U78:V78"/>
    <mergeCell ref="W78:X78"/>
    <mergeCell ref="Y78:Z78"/>
    <mergeCell ref="AA78:AA79"/>
    <mergeCell ref="A78:A79"/>
    <mergeCell ref="B78:B79"/>
    <mergeCell ref="AH186:AH187"/>
    <mergeCell ref="AH148:AH149"/>
    <mergeCell ref="AH113:AH114"/>
    <mergeCell ref="AH78:AH79"/>
    <mergeCell ref="AH41:AH42"/>
    <mergeCell ref="AH5:AH6"/>
    <mergeCell ref="R5:T5"/>
    <mergeCell ref="R148:T148"/>
    <mergeCell ref="R113:T113"/>
    <mergeCell ref="R78:T78"/>
    <mergeCell ref="R41:T41"/>
    <mergeCell ref="W186:X186"/>
    <mergeCell ref="Y186:Z186"/>
    <mergeCell ref="AA186:AA187"/>
    <mergeCell ref="AD40:AG40"/>
    <mergeCell ref="A183:AG183"/>
    <mergeCell ref="D186:D187"/>
    <mergeCell ref="A146:AG146"/>
    <mergeCell ref="AD186:AG186"/>
    <mergeCell ref="AA148:AA149"/>
    <mergeCell ref="AB148:AB149"/>
    <mergeCell ref="AD148:AG148"/>
    <mergeCell ref="A159:D159"/>
    <mergeCell ref="U148:V148"/>
  </mergeCells>
  <pageMargins left="0.25" right="0.25" top="0.25" bottom="0.25" header="0.3" footer="0.3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U1108"/>
  <sheetViews>
    <sheetView topLeftCell="A67" zoomScaleNormal="100" workbookViewId="0">
      <selection activeCell="L226" sqref="L226"/>
    </sheetView>
  </sheetViews>
  <sheetFormatPr defaultRowHeight="15"/>
  <cols>
    <col min="1" max="1" width="3.28515625" style="24" bestFit="1" customWidth="1"/>
    <col min="2" max="2" width="8.5703125" style="29" customWidth="1"/>
    <col min="3" max="3" width="7" style="24" customWidth="1"/>
    <col min="4" max="4" width="6" style="31" customWidth="1"/>
    <col min="5" max="5" width="10.140625" style="24" bestFit="1" customWidth="1"/>
    <col min="6" max="6" width="7.28515625" style="24" hidden="1" customWidth="1"/>
    <col min="7" max="7" width="8.85546875" style="24" customWidth="1"/>
    <col min="8" max="8" width="6.7109375" style="24" customWidth="1"/>
    <col min="9" max="9" width="8.140625" style="24" customWidth="1"/>
    <col min="10" max="10" width="6.28515625" style="24" customWidth="1"/>
    <col min="11" max="11" width="7.7109375" style="24" customWidth="1"/>
    <col min="12" max="12" width="7.5703125" style="24" customWidth="1"/>
    <col min="13" max="13" width="8" style="24" customWidth="1"/>
    <col min="14" max="14" width="8.140625" style="24" customWidth="1"/>
    <col min="15" max="15" width="7.7109375" style="24" customWidth="1"/>
    <col min="16" max="16" width="6.7109375" style="24" customWidth="1"/>
    <col min="17" max="17" width="6.42578125" style="24" customWidth="1"/>
    <col min="18" max="18" width="6.140625" style="24" customWidth="1"/>
    <col min="19" max="19" width="5" style="24" customWidth="1"/>
    <col min="20" max="20" width="5.5703125" style="24" customWidth="1"/>
    <col min="21" max="21" width="4.85546875" style="24" customWidth="1"/>
  </cols>
  <sheetData>
    <row r="1" spans="1:21" ht="41.25">
      <c r="A1" s="388" t="s">
        <v>178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</row>
    <row r="2" spans="1:21" ht="20.25">
      <c r="A2" s="379" t="s">
        <v>253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</row>
    <row r="3" spans="1:21" ht="18.600000000000001" customHeight="1">
      <c r="A3" s="364" t="s">
        <v>274</v>
      </c>
      <c r="B3" s="364"/>
      <c r="C3" s="364"/>
      <c r="D3" s="364"/>
      <c r="E3" s="364"/>
      <c r="F3" s="364"/>
      <c r="G3" s="364"/>
      <c r="H3" s="364"/>
      <c r="I3" s="364"/>
      <c r="J3" s="364"/>
      <c r="K3" s="364"/>
      <c r="L3" s="364"/>
      <c r="M3" s="364"/>
      <c r="N3" s="364"/>
      <c r="O3" s="364"/>
      <c r="P3" s="364"/>
      <c r="Q3" s="364"/>
      <c r="R3" s="364"/>
      <c r="S3" s="364"/>
      <c r="T3" s="364"/>
      <c r="U3" s="364"/>
    </row>
    <row r="4" spans="1:21" ht="18.600000000000001" customHeight="1">
      <c r="A4" s="399" t="s">
        <v>273</v>
      </c>
      <c r="B4" s="399"/>
      <c r="C4" s="399"/>
      <c r="D4" s="399"/>
      <c r="E4" s="399"/>
      <c r="F4" s="399"/>
      <c r="G4" s="399"/>
      <c r="H4" s="399"/>
      <c r="I4" s="399"/>
      <c r="J4" s="399"/>
      <c r="K4" s="399"/>
      <c r="L4" s="399"/>
      <c r="M4" s="399"/>
      <c r="N4" s="399"/>
      <c r="O4" s="399"/>
      <c r="P4" s="399"/>
      <c r="Q4" s="399"/>
      <c r="R4" s="404" t="s">
        <v>429</v>
      </c>
      <c r="S4" s="404"/>
      <c r="T4" s="404"/>
      <c r="U4" s="404"/>
    </row>
    <row r="5" spans="1:21" ht="15.75" customHeight="1">
      <c r="A5" s="405" t="s">
        <v>0</v>
      </c>
      <c r="B5" s="405" t="s">
        <v>10</v>
      </c>
      <c r="C5" s="405" t="s">
        <v>1</v>
      </c>
      <c r="D5" s="411" t="s">
        <v>11</v>
      </c>
      <c r="E5" s="398" t="s">
        <v>223</v>
      </c>
      <c r="F5" s="149" t="s">
        <v>11</v>
      </c>
      <c r="G5" s="371" t="s">
        <v>113</v>
      </c>
      <c r="H5" s="372"/>
      <c r="I5" s="373"/>
      <c r="J5" s="397" t="s">
        <v>115</v>
      </c>
      <c r="K5" s="397"/>
      <c r="L5" s="401" t="s">
        <v>83</v>
      </c>
      <c r="M5" s="402"/>
      <c r="N5" s="398" t="s">
        <v>3</v>
      </c>
      <c r="O5" s="398"/>
      <c r="P5" s="398" t="s">
        <v>89</v>
      </c>
      <c r="Q5" s="398" t="s">
        <v>145</v>
      </c>
      <c r="R5" s="397" t="s">
        <v>134</v>
      </c>
      <c r="S5" s="397"/>
      <c r="T5" s="397"/>
      <c r="U5" s="397"/>
    </row>
    <row r="6" spans="1:21">
      <c r="A6" s="406"/>
      <c r="B6" s="406"/>
      <c r="C6" s="406"/>
      <c r="D6" s="412"/>
      <c r="E6" s="398"/>
      <c r="F6" s="150"/>
      <c r="G6" s="138" t="s">
        <v>426</v>
      </c>
      <c r="H6" s="144" t="s">
        <v>82</v>
      </c>
      <c r="I6" s="144" t="s">
        <v>38</v>
      </c>
      <c r="J6" s="183" t="s">
        <v>82</v>
      </c>
      <c r="K6" s="183" t="s">
        <v>38</v>
      </c>
      <c r="L6" s="144" t="s">
        <v>83</v>
      </c>
      <c r="M6" s="144" t="s">
        <v>38</v>
      </c>
      <c r="N6" s="144" t="s">
        <v>3</v>
      </c>
      <c r="O6" s="144" t="s">
        <v>38</v>
      </c>
      <c r="P6" s="398"/>
      <c r="Q6" s="398"/>
      <c r="R6" s="183" t="s">
        <v>90</v>
      </c>
      <c r="S6" s="183" t="s">
        <v>154</v>
      </c>
      <c r="T6" s="183" t="s">
        <v>135</v>
      </c>
      <c r="U6" s="183" t="s">
        <v>38</v>
      </c>
    </row>
    <row r="7" spans="1:21">
      <c r="A7" s="165">
        <v>1</v>
      </c>
      <c r="B7" s="166" t="s">
        <v>54</v>
      </c>
      <c r="C7" s="418" t="s">
        <v>77</v>
      </c>
      <c r="D7" s="167">
        <v>21.5</v>
      </c>
      <c r="E7" s="165">
        <v>66398</v>
      </c>
      <c r="F7" s="165">
        <v>2</v>
      </c>
      <c r="G7" s="165">
        <f>D7/F7*E7</f>
        <v>713778.5</v>
      </c>
      <c r="H7" s="13"/>
      <c r="I7" s="165">
        <f>G7-H7</f>
        <v>713778.5</v>
      </c>
      <c r="J7" s="165">
        <f>H7/D7*2</f>
        <v>0</v>
      </c>
      <c r="K7" s="165">
        <f>E7-J7</f>
        <v>66398</v>
      </c>
      <c r="L7" s="13"/>
      <c r="M7" s="165">
        <f>E7-L7</f>
        <v>66398</v>
      </c>
      <c r="N7" s="165">
        <f>'Pre-Primary'!D42</f>
        <v>0</v>
      </c>
      <c r="O7" s="165">
        <f>E7-N7</f>
        <v>66398</v>
      </c>
      <c r="P7" s="165">
        <f>L7-N7</f>
        <v>0</v>
      </c>
      <c r="Q7" s="165">
        <f>D7*L7/1000</f>
        <v>0</v>
      </c>
      <c r="R7" s="165">
        <f>D7*E7/1000</f>
        <v>1427.557</v>
      </c>
      <c r="S7" s="165">
        <f>R7/50</f>
        <v>28.55114</v>
      </c>
      <c r="T7" s="165">
        <f>D7*J7/1000/50</f>
        <v>0</v>
      </c>
      <c r="U7" s="165">
        <f>S7-T7</f>
        <v>28.55114</v>
      </c>
    </row>
    <row r="8" spans="1:21">
      <c r="A8" s="165">
        <v>2</v>
      </c>
      <c r="B8" s="166" t="s">
        <v>55</v>
      </c>
      <c r="C8" s="419"/>
      <c r="D8" s="167">
        <v>17</v>
      </c>
      <c r="E8" s="165">
        <v>66398</v>
      </c>
      <c r="F8" s="165">
        <v>2</v>
      </c>
      <c r="G8" s="165">
        <f>D8/F8*E8</f>
        <v>564383</v>
      </c>
      <c r="H8" s="13"/>
      <c r="I8" s="165">
        <f>G8-H8</f>
        <v>564383</v>
      </c>
      <c r="J8" s="165">
        <f>H8/D8*2</f>
        <v>0</v>
      </c>
      <c r="K8" s="165">
        <f>E8-J8</f>
        <v>66398</v>
      </c>
      <c r="L8" s="13"/>
      <c r="M8" s="165">
        <f>E8-L8</f>
        <v>66398</v>
      </c>
      <c r="N8" s="165">
        <f>'Pre-Primary'!E42</f>
        <v>0</v>
      </c>
      <c r="O8" s="165">
        <f>E8-N8</f>
        <v>66398</v>
      </c>
      <c r="P8" s="165">
        <f>L8-N8</f>
        <v>0</v>
      </c>
      <c r="Q8" s="165">
        <f>D8*L8/1000</f>
        <v>0</v>
      </c>
      <c r="R8" s="165">
        <f>D8*E8/1000</f>
        <v>1128.7660000000001</v>
      </c>
      <c r="S8" s="165">
        <f>R8/65</f>
        <v>17.365630769230769</v>
      </c>
      <c r="T8" s="165">
        <f>D8*J8/1000/65</f>
        <v>0</v>
      </c>
      <c r="U8" s="165">
        <f>S8-T8</f>
        <v>17.365630769230769</v>
      </c>
    </row>
    <row r="9" spans="1:21" ht="18.600000000000001" customHeight="1">
      <c r="A9" s="403" t="s">
        <v>79</v>
      </c>
      <c r="B9" s="403"/>
      <c r="C9" s="403"/>
      <c r="D9" s="403"/>
      <c r="E9" s="42">
        <f t="shared" ref="E9:U9" si="0">SUM(E7:E8)</f>
        <v>132796</v>
      </c>
      <c r="F9" s="42">
        <f t="shared" si="0"/>
        <v>4</v>
      </c>
      <c r="G9" s="42">
        <f t="shared" si="0"/>
        <v>1278161.5</v>
      </c>
      <c r="H9" s="42">
        <f t="shared" si="0"/>
        <v>0</v>
      </c>
      <c r="I9" s="42">
        <f t="shared" si="0"/>
        <v>1278161.5</v>
      </c>
      <c r="J9" s="42">
        <f t="shared" si="0"/>
        <v>0</v>
      </c>
      <c r="K9" s="42">
        <f t="shared" si="0"/>
        <v>132796</v>
      </c>
      <c r="L9" s="42">
        <f t="shared" si="0"/>
        <v>0</v>
      </c>
      <c r="M9" s="42">
        <f t="shared" si="0"/>
        <v>132796</v>
      </c>
      <c r="N9" s="42">
        <f t="shared" si="0"/>
        <v>0</v>
      </c>
      <c r="O9" s="42">
        <f t="shared" si="0"/>
        <v>132796</v>
      </c>
      <c r="P9" s="42">
        <f t="shared" si="0"/>
        <v>0</v>
      </c>
      <c r="Q9" s="42">
        <f t="shared" si="0"/>
        <v>0</v>
      </c>
      <c r="R9" s="42">
        <f t="shared" si="0"/>
        <v>2556.3230000000003</v>
      </c>
      <c r="S9" s="42">
        <f t="shared" si="0"/>
        <v>45.916770769230766</v>
      </c>
      <c r="T9" s="42">
        <f t="shared" si="0"/>
        <v>0</v>
      </c>
      <c r="U9" s="42">
        <f t="shared" si="0"/>
        <v>45.916770769230766</v>
      </c>
    </row>
    <row r="10" spans="1:21" ht="18.600000000000001" customHeight="1">
      <c r="A10" s="30"/>
      <c r="B10" s="28"/>
      <c r="C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 spans="1:21" s="43" customFormat="1" ht="18.600000000000001" customHeight="1">
      <c r="A11" s="30"/>
      <c r="B11" s="28"/>
      <c r="C11" s="30"/>
      <c r="D11" s="31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21" ht="15.75" customHeight="1">
      <c r="A12" s="30"/>
      <c r="B12" s="28"/>
      <c r="C12" s="30"/>
      <c r="E12" s="30"/>
      <c r="F12" s="30"/>
      <c r="G12" s="30"/>
      <c r="H12" s="30"/>
      <c r="I12" s="30"/>
      <c r="J12" s="30"/>
      <c r="K12" s="30"/>
      <c r="L12" s="30"/>
      <c r="M12" s="122"/>
      <c r="N12" s="122"/>
      <c r="O12" s="122"/>
      <c r="P12" s="122"/>
      <c r="Q12" s="67"/>
      <c r="R12" s="67"/>
      <c r="S12" s="67"/>
      <c r="T12" s="67"/>
      <c r="U12" s="67"/>
    </row>
    <row r="13" spans="1:21" ht="15.75">
      <c r="A13" s="61"/>
      <c r="B13" s="61"/>
      <c r="C13" s="61"/>
      <c r="D13" s="61"/>
      <c r="E13" s="62"/>
      <c r="F13" s="62"/>
      <c r="G13" s="62"/>
      <c r="H13" s="62"/>
      <c r="I13" s="62"/>
      <c r="J13" s="62"/>
      <c r="K13" s="62"/>
      <c r="L13" s="62"/>
      <c r="M13" s="63"/>
      <c r="N13" s="63"/>
      <c r="O13" s="63"/>
      <c r="P13" s="63"/>
      <c r="Q13" s="387" t="s">
        <v>254</v>
      </c>
      <c r="R13" s="387"/>
      <c r="S13" s="387"/>
      <c r="T13" s="387"/>
      <c r="U13" s="387"/>
    </row>
    <row r="14" spans="1:21">
      <c r="A14" s="61"/>
      <c r="B14" s="61"/>
      <c r="C14" s="61"/>
      <c r="D14" s="61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</row>
    <row r="15" spans="1:21">
      <c r="A15" s="61"/>
      <c r="B15" s="61"/>
      <c r="C15" s="61"/>
      <c r="D15" s="61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</row>
    <row r="16" spans="1:21" ht="18.600000000000001" customHeight="1">
      <c r="A16" s="61"/>
      <c r="B16" s="61"/>
      <c r="C16" s="61"/>
      <c r="D16" s="61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</row>
    <row r="17" spans="1:21" ht="18.600000000000001" customHeight="1">
      <c r="A17" s="61"/>
      <c r="B17" s="61"/>
      <c r="C17" s="61"/>
      <c r="D17" s="61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</row>
    <row r="18" spans="1:21" ht="15.75" customHeight="1">
      <c r="A18" s="61"/>
      <c r="B18" s="61"/>
      <c r="C18" s="61"/>
      <c r="D18" s="61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</row>
    <row r="19" spans="1:21">
      <c r="A19" s="61"/>
      <c r="B19" s="61"/>
      <c r="C19" s="61"/>
      <c r="D19" s="61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</row>
    <row r="20" spans="1:21">
      <c r="A20" s="61"/>
      <c r="B20" s="61"/>
      <c r="C20" s="61"/>
      <c r="D20" s="61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</row>
    <row r="21" spans="1:21" ht="21" customHeight="1">
      <c r="A21" s="61"/>
      <c r="B21" s="61"/>
      <c r="C21" s="61"/>
      <c r="D21" s="61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</row>
    <row r="22" spans="1:21" ht="18.600000000000001" customHeight="1">
      <c r="A22" s="61"/>
      <c r="B22" s="61"/>
      <c r="C22" s="61"/>
      <c r="D22" s="61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</row>
    <row r="23" spans="1:21" ht="18.600000000000001" customHeight="1">
      <c r="A23" s="61"/>
      <c r="B23" s="61"/>
      <c r="C23" s="61"/>
      <c r="D23" s="61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</row>
    <row r="24" spans="1:21">
      <c r="A24" s="61"/>
      <c r="B24" s="61"/>
      <c r="C24" s="61"/>
      <c r="D24" s="61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</row>
    <row r="25" spans="1:21">
      <c r="A25" s="61"/>
      <c r="B25" s="61"/>
      <c r="C25" s="61"/>
      <c r="D25" s="61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</row>
    <row r="26" spans="1:21">
      <c r="A26" s="61"/>
      <c r="B26" s="61"/>
      <c r="C26" s="61"/>
      <c r="D26" s="61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</row>
    <row r="27" spans="1:21">
      <c r="A27" s="61"/>
      <c r="B27" s="61"/>
      <c r="C27" s="61"/>
      <c r="D27" s="61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</row>
    <row r="28" spans="1:21">
      <c r="A28" s="61"/>
      <c r="B28" s="61"/>
      <c r="C28" s="61"/>
      <c r="D28" s="61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</row>
    <row r="29" spans="1:21">
      <c r="A29" s="61"/>
      <c r="B29" s="61"/>
      <c r="C29" s="61"/>
      <c r="D29" s="61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</row>
    <row r="30" spans="1:21">
      <c r="A30" s="61"/>
      <c r="B30" s="61"/>
      <c r="C30" s="61"/>
      <c r="D30" s="61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</row>
    <row r="31" spans="1:21">
      <c r="A31" s="61"/>
      <c r="B31" s="61"/>
      <c r="C31" s="61"/>
      <c r="D31" s="61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</row>
    <row r="32" spans="1:21">
      <c r="A32" s="61"/>
      <c r="B32" s="61"/>
      <c r="C32" s="61"/>
      <c r="D32" s="61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</row>
    <row r="33" spans="1:21">
      <c r="A33" s="61"/>
      <c r="B33" s="61"/>
      <c r="C33" s="61"/>
      <c r="D33" s="61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</row>
    <row r="34" spans="1:21" ht="21" customHeight="1">
      <c r="A34" s="388" t="s">
        <v>178</v>
      </c>
      <c r="B34" s="388"/>
      <c r="C34" s="388"/>
      <c r="D34" s="388"/>
      <c r="E34" s="388"/>
      <c r="F34" s="388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/>
      <c r="T34" s="388"/>
      <c r="U34" s="388"/>
    </row>
    <row r="35" spans="1:21" ht="18.600000000000001" customHeight="1">
      <c r="A35" s="379" t="s">
        <v>253</v>
      </c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</row>
    <row r="36" spans="1:21" ht="18.600000000000001" customHeight="1">
      <c r="A36" s="364" t="s">
        <v>274</v>
      </c>
      <c r="B36" s="364"/>
      <c r="C36" s="364"/>
      <c r="D36" s="364"/>
      <c r="E36" s="364"/>
      <c r="F36" s="364"/>
      <c r="G36" s="364"/>
      <c r="H36" s="364"/>
      <c r="I36" s="364"/>
      <c r="J36" s="364"/>
      <c r="K36" s="364"/>
      <c r="L36" s="364"/>
      <c r="M36" s="364"/>
      <c r="N36" s="364"/>
      <c r="O36" s="364"/>
      <c r="P36" s="364"/>
      <c r="Q36" s="364"/>
      <c r="R36" s="364"/>
      <c r="S36" s="364"/>
      <c r="T36" s="364"/>
      <c r="U36" s="364"/>
    </row>
    <row r="37" spans="1:21" ht="20.25">
      <c r="A37" s="400" t="s">
        <v>275</v>
      </c>
      <c r="B37" s="400"/>
      <c r="C37" s="400"/>
      <c r="D37" s="400"/>
      <c r="E37" s="400"/>
      <c r="F37" s="400"/>
      <c r="G37" s="400"/>
      <c r="H37" s="400"/>
      <c r="I37" s="400"/>
      <c r="J37" s="400"/>
      <c r="K37" s="400"/>
      <c r="L37" s="400"/>
      <c r="M37" s="400"/>
      <c r="N37" s="400"/>
      <c r="O37" s="400"/>
      <c r="P37" s="400"/>
      <c r="Q37" s="400"/>
      <c r="R37" s="378" t="str">
        <f>R4</f>
        <v>ZvwiLt-02/08/26</v>
      </c>
      <c r="S37" s="378"/>
      <c r="T37" s="378"/>
      <c r="U37" s="378"/>
    </row>
    <row r="38" spans="1:21" ht="14.45" customHeight="1">
      <c r="A38" s="405" t="s">
        <v>0</v>
      </c>
      <c r="B38" s="405" t="s">
        <v>10</v>
      </c>
      <c r="C38" s="405" t="s">
        <v>1</v>
      </c>
      <c r="D38" s="411" t="s">
        <v>11</v>
      </c>
      <c r="E38" s="156" t="s">
        <v>223</v>
      </c>
      <c r="F38" s="149" t="s">
        <v>11</v>
      </c>
      <c r="G38" s="371" t="s">
        <v>113</v>
      </c>
      <c r="H38" s="372"/>
      <c r="I38" s="373"/>
      <c r="J38" s="397" t="s">
        <v>115</v>
      </c>
      <c r="K38" s="397"/>
      <c r="L38" s="401" t="s">
        <v>83</v>
      </c>
      <c r="M38" s="402"/>
      <c r="N38" s="398" t="s">
        <v>3</v>
      </c>
      <c r="O38" s="398"/>
      <c r="P38" s="398" t="s">
        <v>89</v>
      </c>
      <c r="Q38" s="398" t="s">
        <v>145</v>
      </c>
      <c r="R38" s="397" t="s">
        <v>134</v>
      </c>
      <c r="S38" s="397"/>
      <c r="T38" s="397"/>
      <c r="U38" s="397"/>
    </row>
    <row r="39" spans="1:21" ht="14.45" customHeight="1">
      <c r="A39" s="406"/>
      <c r="B39" s="406"/>
      <c r="C39" s="406"/>
      <c r="D39" s="412"/>
      <c r="E39" s="144" t="s">
        <v>268</v>
      </c>
      <c r="F39" s="150"/>
      <c r="G39" s="138" t="s">
        <v>426</v>
      </c>
      <c r="H39" s="144" t="s">
        <v>82</v>
      </c>
      <c r="I39" s="144" t="s">
        <v>38</v>
      </c>
      <c r="J39" s="183" t="s">
        <v>82</v>
      </c>
      <c r="K39" s="183" t="s">
        <v>38</v>
      </c>
      <c r="L39" s="144" t="s">
        <v>83</v>
      </c>
      <c r="M39" s="144" t="s">
        <v>38</v>
      </c>
      <c r="N39" s="144" t="s">
        <v>3</v>
      </c>
      <c r="O39" s="144" t="s">
        <v>38</v>
      </c>
      <c r="P39" s="398"/>
      <c r="Q39" s="398"/>
      <c r="R39" s="183" t="s">
        <v>90</v>
      </c>
      <c r="S39" s="183" t="s">
        <v>154</v>
      </c>
      <c r="T39" s="183" t="s">
        <v>135</v>
      </c>
      <c r="U39" s="183" t="s">
        <v>38</v>
      </c>
    </row>
    <row r="40" spans="1:21" ht="14.45" customHeight="1">
      <c r="A40" s="165">
        <v>1</v>
      </c>
      <c r="B40" s="166" t="s">
        <v>4</v>
      </c>
      <c r="C40" s="415" t="s">
        <v>12</v>
      </c>
      <c r="D40" s="167">
        <v>11</v>
      </c>
      <c r="E40" s="168">
        <v>37420</v>
      </c>
      <c r="F40" s="169">
        <v>2</v>
      </c>
      <c r="G40" s="169">
        <f t="shared" ref="G40:G66" si="1">D40/F40*E40</f>
        <v>205810</v>
      </c>
      <c r="H40" s="171"/>
      <c r="I40" s="169">
        <f t="shared" ref="I40:I66" si="2">G40-H40</f>
        <v>205810</v>
      </c>
      <c r="J40" s="165">
        <f t="shared" ref="J40:J66" si="3">H40/D40*2</f>
        <v>0</v>
      </c>
      <c r="K40" s="165">
        <f t="shared" ref="K40:K66" si="4">E40-J40</f>
        <v>37420</v>
      </c>
      <c r="L40" s="13"/>
      <c r="M40" s="165">
        <f t="shared" ref="M40:M66" si="5">E40-L40</f>
        <v>37420</v>
      </c>
      <c r="N40" s="165">
        <f>'Primary 1-5'!D25</f>
        <v>0</v>
      </c>
      <c r="O40" s="165">
        <f t="shared" ref="O40:O66" si="6">E40-N40</f>
        <v>37420</v>
      </c>
      <c r="P40" s="165">
        <f>L40-N40</f>
        <v>0</v>
      </c>
      <c r="Q40" s="165">
        <f t="shared" ref="Q40:Q66" si="7">D40*L40/1000</f>
        <v>0</v>
      </c>
      <c r="R40" s="165">
        <f t="shared" ref="R40:R66" si="8">D40*E40/1000</f>
        <v>411.62</v>
      </c>
      <c r="S40" s="165">
        <f>R40/65</f>
        <v>6.3326153846153845</v>
      </c>
      <c r="T40" s="165">
        <f t="shared" ref="T40:T66" si="9">D40*J40/1000/65</f>
        <v>0</v>
      </c>
      <c r="U40" s="165">
        <f>S40-T40</f>
        <v>6.3326153846153845</v>
      </c>
    </row>
    <row r="41" spans="1:21" ht="14.45" customHeight="1">
      <c r="A41" s="165">
        <v>2</v>
      </c>
      <c r="B41" s="166" t="s">
        <v>5</v>
      </c>
      <c r="C41" s="416"/>
      <c r="D41" s="167">
        <v>12</v>
      </c>
      <c r="E41" s="168">
        <v>37420</v>
      </c>
      <c r="F41" s="169">
        <v>2</v>
      </c>
      <c r="G41" s="169">
        <f t="shared" si="1"/>
        <v>224520</v>
      </c>
      <c r="H41" s="171"/>
      <c r="I41" s="169">
        <f t="shared" si="2"/>
        <v>224520</v>
      </c>
      <c r="J41" s="165">
        <f t="shared" si="3"/>
        <v>0</v>
      </c>
      <c r="K41" s="165">
        <f t="shared" si="4"/>
        <v>37420</v>
      </c>
      <c r="L41" s="13"/>
      <c r="M41" s="165">
        <f t="shared" si="5"/>
        <v>37420</v>
      </c>
      <c r="N41" s="165">
        <f>'Primary 1-5'!E25</f>
        <v>0</v>
      </c>
      <c r="O41" s="165">
        <f t="shared" si="6"/>
        <v>37420</v>
      </c>
      <c r="P41" s="165">
        <f t="shared" ref="P41:P66" si="10">L41-N41</f>
        <v>0</v>
      </c>
      <c r="Q41" s="165">
        <f t="shared" si="7"/>
        <v>0</v>
      </c>
      <c r="R41" s="165">
        <f t="shared" si="8"/>
        <v>449.04</v>
      </c>
      <c r="S41" s="165">
        <f t="shared" ref="S41:S66" si="11">R41/65</f>
        <v>6.9083076923076927</v>
      </c>
      <c r="T41" s="165">
        <f t="shared" si="9"/>
        <v>0</v>
      </c>
      <c r="U41" s="165">
        <f t="shared" ref="U41:U66" si="12">S41-T41</f>
        <v>6.9083076923076927</v>
      </c>
    </row>
    <row r="42" spans="1:21" ht="14.45" customHeight="1">
      <c r="A42" s="165">
        <v>3</v>
      </c>
      <c r="B42" s="166" t="s">
        <v>6</v>
      </c>
      <c r="C42" s="417"/>
      <c r="D42" s="167">
        <v>15</v>
      </c>
      <c r="E42" s="168">
        <v>37420</v>
      </c>
      <c r="F42" s="169">
        <v>2</v>
      </c>
      <c r="G42" s="169">
        <f t="shared" si="1"/>
        <v>280650</v>
      </c>
      <c r="H42" s="171"/>
      <c r="I42" s="169">
        <f t="shared" si="2"/>
        <v>280650</v>
      </c>
      <c r="J42" s="165">
        <f t="shared" si="3"/>
        <v>0</v>
      </c>
      <c r="K42" s="165">
        <f t="shared" si="4"/>
        <v>37420</v>
      </c>
      <c r="L42" s="13"/>
      <c r="M42" s="165">
        <f t="shared" si="5"/>
        <v>37420</v>
      </c>
      <c r="N42" s="165">
        <f>'Primary 1-5'!F25</f>
        <v>0</v>
      </c>
      <c r="O42" s="165">
        <f t="shared" si="6"/>
        <v>37420</v>
      </c>
      <c r="P42" s="165">
        <f t="shared" si="10"/>
        <v>0</v>
      </c>
      <c r="Q42" s="165">
        <f t="shared" si="7"/>
        <v>0</v>
      </c>
      <c r="R42" s="165">
        <f t="shared" si="8"/>
        <v>561.29999999999995</v>
      </c>
      <c r="S42" s="165">
        <f t="shared" si="11"/>
        <v>8.6353846153846145</v>
      </c>
      <c r="T42" s="165">
        <f t="shared" si="9"/>
        <v>0</v>
      </c>
      <c r="U42" s="165">
        <f t="shared" si="12"/>
        <v>8.6353846153846145</v>
      </c>
    </row>
    <row r="43" spans="1:21" ht="14.45" customHeight="1">
      <c r="A43" s="165">
        <v>4</v>
      </c>
      <c r="B43" s="166" t="s">
        <v>4</v>
      </c>
      <c r="C43" s="415" t="s">
        <v>13</v>
      </c>
      <c r="D43" s="167">
        <v>9</v>
      </c>
      <c r="E43" s="168">
        <v>37362</v>
      </c>
      <c r="F43" s="169">
        <v>2</v>
      </c>
      <c r="G43" s="169">
        <f t="shared" si="1"/>
        <v>168129</v>
      </c>
      <c r="H43" s="171"/>
      <c r="I43" s="169">
        <f t="shared" si="2"/>
        <v>168129</v>
      </c>
      <c r="J43" s="165">
        <f t="shared" si="3"/>
        <v>0</v>
      </c>
      <c r="K43" s="165">
        <f t="shared" si="4"/>
        <v>37362</v>
      </c>
      <c r="L43" s="13"/>
      <c r="M43" s="165">
        <f t="shared" si="5"/>
        <v>37362</v>
      </c>
      <c r="N43" s="165">
        <f>'Primary 1-5'!G25</f>
        <v>0</v>
      </c>
      <c r="O43" s="165">
        <f t="shared" si="6"/>
        <v>37362</v>
      </c>
      <c r="P43" s="165">
        <f t="shared" si="10"/>
        <v>0</v>
      </c>
      <c r="Q43" s="165">
        <f t="shared" si="7"/>
        <v>0</v>
      </c>
      <c r="R43" s="165">
        <f t="shared" si="8"/>
        <v>336.25799999999998</v>
      </c>
      <c r="S43" s="165">
        <f t="shared" si="11"/>
        <v>5.1731999999999996</v>
      </c>
      <c r="T43" s="165">
        <f t="shared" si="9"/>
        <v>0</v>
      </c>
      <c r="U43" s="165">
        <f t="shared" si="12"/>
        <v>5.1731999999999996</v>
      </c>
    </row>
    <row r="44" spans="1:21" ht="14.45" customHeight="1">
      <c r="A44" s="165">
        <v>5</v>
      </c>
      <c r="B44" s="166" t="s">
        <v>5</v>
      </c>
      <c r="C44" s="416"/>
      <c r="D44" s="167">
        <v>13</v>
      </c>
      <c r="E44" s="168">
        <v>37362</v>
      </c>
      <c r="F44" s="169">
        <v>2</v>
      </c>
      <c r="G44" s="169">
        <f t="shared" si="1"/>
        <v>242853</v>
      </c>
      <c r="H44" s="171"/>
      <c r="I44" s="169">
        <f t="shared" si="2"/>
        <v>242853</v>
      </c>
      <c r="J44" s="165">
        <f t="shared" si="3"/>
        <v>0</v>
      </c>
      <c r="K44" s="165">
        <f t="shared" si="4"/>
        <v>37362</v>
      </c>
      <c r="L44" s="13"/>
      <c r="M44" s="165">
        <f t="shared" si="5"/>
        <v>37362</v>
      </c>
      <c r="N44" s="165">
        <f>'Primary 1-5'!H25</f>
        <v>0</v>
      </c>
      <c r="O44" s="165">
        <f t="shared" si="6"/>
        <v>37362</v>
      </c>
      <c r="P44" s="165">
        <f t="shared" si="10"/>
        <v>0</v>
      </c>
      <c r="Q44" s="165">
        <f t="shared" si="7"/>
        <v>0</v>
      </c>
      <c r="R44" s="165">
        <f t="shared" si="8"/>
        <v>485.70600000000002</v>
      </c>
      <c r="S44" s="165">
        <f t="shared" si="11"/>
        <v>7.4724000000000004</v>
      </c>
      <c r="T44" s="165">
        <f t="shared" si="9"/>
        <v>0</v>
      </c>
      <c r="U44" s="165">
        <f t="shared" si="12"/>
        <v>7.4724000000000004</v>
      </c>
    </row>
    <row r="45" spans="1:21" ht="14.45" customHeight="1">
      <c r="A45" s="165">
        <v>6</v>
      </c>
      <c r="B45" s="166" t="s">
        <v>6</v>
      </c>
      <c r="C45" s="417"/>
      <c r="D45" s="167">
        <v>17</v>
      </c>
      <c r="E45" s="168">
        <v>37362</v>
      </c>
      <c r="F45" s="169">
        <v>2</v>
      </c>
      <c r="G45" s="169">
        <f t="shared" si="1"/>
        <v>317577</v>
      </c>
      <c r="H45" s="171"/>
      <c r="I45" s="169">
        <f t="shared" si="2"/>
        <v>317577</v>
      </c>
      <c r="J45" s="165">
        <f t="shared" si="3"/>
        <v>0</v>
      </c>
      <c r="K45" s="165">
        <f t="shared" si="4"/>
        <v>37362</v>
      </c>
      <c r="L45" s="13"/>
      <c r="M45" s="165">
        <f t="shared" si="5"/>
        <v>37362</v>
      </c>
      <c r="N45" s="165">
        <f>'Primary 1-5'!I25</f>
        <v>0</v>
      </c>
      <c r="O45" s="165">
        <f t="shared" si="6"/>
        <v>37362</v>
      </c>
      <c r="P45" s="165">
        <f t="shared" si="10"/>
        <v>0</v>
      </c>
      <c r="Q45" s="165">
        <f t="shared" si="7"/>
        <v>0</v>
      </c>
      <c r="R45" s="165">
        <f t="shared" si="8"/>
        <v>635.154</v>
      </c>
      <c r="S45" s="165">
        <f t="shared" si="11"/>
        <v>9.7715999999999994</v>
      </c>
      <c r="T45" s="165">
        <f t="shared" si="9"/>
        <v>0</v>
      </c>
      <c r="U45" s="165">
        <f t="shared" si="12"/>
        <v>9.7715999999999994</v>
      </c>
    </row>
    <row r="46" spans="1:21" ht="14.45" customHeight="1">
      <c r="A46" s="165">
        <v>7</v>
      </c>
      <c r="B46" s="166" t="s">
        <v>4</v>
      </c>
      <c r="C46" s="415" t="s">
        <v>14</v>
      </c>
      <c r="D46" s="170">
        <v>13.5</v>
      </c>
      <c r="E46" s="168">
        <v>36610</v>
      </c>
      <c r="F46" s="169">
        <v>2</v>
      </c>
      <c r="G46" s="169">
        <f t="shared" si="1"/>
        <v>247117.5</v>
      </c>
      <c r="H46" s="171"/>
      <c r="I46" s="169">
        <f t="shared" si="2"/>
        <v>247117.5</v>
      </c>
      <c r="J46" s="165">
        <f t="shared" si="3"/>
        <v>0</v>
      </c>
      <c r="K46" s="165">
        <f t="shared" si="4"/>
        <v>36610</v>
      </c>
      <c r="L46" s="13"/>
      <c r="M46" s="165">
        <f t="shared" si="5"/>
        <v>36610</v>
      </c>
      <c r="N46" s="165">
        <f>'Primary 1-5'!J25</f>
        <v>0</v>
      </c>
      <c r="O46" s="165">
        <f t="shared" si="6"/>
        <v>36610</v>
      </c>
      <c r="P46" s="165">
        <f t="shared" si="10"/>
        <v>0</v>
      </c>
      <c r="Q46" s="165">
        <f t="shared" si="7"/>
        <v>0</v>
      </c>
      <c r="R46" s="165">
        <f t="shared" si="8"/>
        <v>494.23500000000001</v>
      </c>
      <c r="S46" s="165">
        <f t="shared" si="11"/>
        <v>7.6036153846153844</v>
      </c>
      <c r="T46" s="165">
        <f t="shared" si="9"/>
        <v>0</v>
      </c>
      <c r="U46" s="165">
        <f t="shared" si="12"/>
        <v>7.6036153846153844</v>
      </c>
    </row>
    <row r="47" spans="1:21" ht="14.45" customHeight="1">
      <c r="A47" s="165">
        <v>8</v>
      </c>
      <c r="B47" s="166" t="s">
        <v>5</v>
      </c>
      <c r="C47" s="416"/>
      <c r="D47" s="167">
        <v>16</v>
      </c>
      <c r="E47" s="168">
        <v>36610</v>
      </c>
      <c r="F47" s="169">
        <v>2</v>
      </c>
      <c r="G47" s="169">
        <f t="shared" si="1"/>
        <v>292880</v>
      </c>
      <c r="H47" s="171"/>
      <c r="I47" s="169">
        <f t="shared" si="2"/>
        <v>292880</v>
      </c>
      <c r="J47" s="165">
        <f t="shared" si="3"/>
        <v>0</v>
      </c>
      <c r="K47" s="165">
        <f t="shared" si="4"/>
        <v>36610</v>
      </c>
      <c r="L47" s="13"/>
      <c r="M47" s="165">
        <f t="shared" si="5"/>
        <v>36610</v>
      </c>
      <c r="N47" s="165">
        <f>'Primary 1-5'!K25</f>
        <v>0</v>
      </c>
      <c r="O47" s="165">
        <f t="shared" si="6"/>
        <v>36610</v>
      </c>
      <c r="P47" s="165">
        <f t="shared" si="10"/>
        <v>0</v>
      </c>
      <c r="Q47" s="165">
        <f t="shared" si="7"/>
        <v>0</v>
      </c>
      <c r="R47" s="165">
        <f t="shared" si="8"/>
        <v>585.76</v>
      </c>
      <c r="S47" s="165">
        <f t="shared" si="11"/>
        <v>9.0116923076923072</v>
      </c>
      <c r="T47" s="165">
        <f t="shared" si="9"/>
        <v>0</v>
      </c>
      <c r="U47" s="165">
        <f t="shared" si="12"/>
        <v>9.0116923076923072</v>
      </c>
    </row>
    <row r="48" spans="1:21" ht="14.45" customHeight="1">
      <c r="A48" s="165">
        <v>9</v>
      </c>
      <c r="B48" s="166" t="s">
        <v>6</v>
      </c>
      <c r="C48" s="416"/>
      <c r="D48" s="167">
        <v>20</v>
      </c>
      <c r="E48" s="168">
        <v>36610</v>
      </c>
      <c r="F48" s="169">
        <v>2</v>
      </c>
      <c r="G48" s="169">
        <f t="shared" si="1"/>
        <v>366100</v>
      </c>
      <c r="H48" s="171"/>
      <c r="I48" s="169">
        <f t="shared" si="2"/>
        <v>366100</v>
      </c>
      <c r="J48" s="165">
        <f t="shared" si="3"/>
        <v>0</v>
      </c>
      <c r="K48" s="165">
        <f t="shared" si="4"/>
        <v>36610</v>
      </c>
      <c r="L48" s="13"/>
      <c r="M48" s="165">
        <f t="shared" si="5"/>
        <v>36610</v>
      </c>
      <c r="N48" s="165">
        <f>'Primary 1-5'!L25</f>
        <v>0</v>
      </c>
      <c r="O48" s="165">
        <f t="shared" si="6"/>
        <v>36610</v>
      </c>
      <c r="P48" s="165">
        <f t="shared" si="10"/>
        <v>0</v>
      </c>
      <c r="Q48" s="165">
        <f t="shared" si="7"/>
        <v>0</v>
      </c>
      <c r="R48" s="165">
        <f t="shared" si="8"/>
        <v>732.2</v>
      </c>
      <c r="S48" s="165">
        <f t="shared" si="11"/>
        <v>11.264615384615386</v>
      </c>
      <c r="T48" s="165">
        <f t="shared" si="9"/>
        <v>0</v>
      </c>
      <c r="U48" s="165">
        <f t="shared" si="12"/>
        <v>11.264615384615386</v>
      </c>
    </row>
    <row r="49" spans="1:21" ht="14.45" customHeight="1">
      <c r="A49" s="165">
        <v>10</v>
      </c>
      <c r="B49" s="166" t="s">
        <v>204</v>
      </c>
      <c r="C49" s="416"/>
      <c r="D49" s="170">
        <v>14.5</v>
      </c>
      <c r="E49" s="168">
        <v>36610</v>
      </c>
      <c r="F49" s="169">
        <v>2</v>
      </c>
      <c r="G49" s="169">
        <f t="shared" si="1"/>
        <v>265422.5</v>
      </c>
      <c r="H49" s="171"/>
      <c r="I49" s="169">
        <f t="shared" si="2"/>
        <v>265422.5</v>
      </c>
      <c r="J49" s="165">
        <f t="shared" si="3"/>
        <v>0</v>
      </c>
      <c r="K49" s="165">
        <f t="shared" si="4"/>
        <v>36610</v>
      </c>
      <c r="L49" s="13"/>
      <c r="M49" s="165">
        <f t="shared" si="5"/>
        <v>36610</v>
      </c>
      <c r="N49" s="165">
        <f>'Primary 1-5'!M25</f>
        <v>0</v>
      </c>
      <c r="O49" s="165">
        <f t="shared" si="6"/>
        <v>36610</v>
      </c>
      <c r="P49" s="165">
        <f t="shared" si="10"/>
        <v>0</v>
      </c>
      <c r="Q49" s="165">
        <f t="shared" si="7"/>
        <v>0</v>
      </c>
      <c r="R49" s="165">
        <f t="shared" si="8"/>
        <v>530.84500000000003</v>
      </c>
      <c r="S49" s="165">
        <f t="shared" si="11"/>
        <v>8.166846153846155</v>
      </c>
      <c r="T49" s="165">
        <f t="shared" si="9"/>
        <v>0</v>
      </c>
      <c r="U49" s="165">
        <f t="shared" si="12"/>
        <v>8.166846153846155</v>
      </c>
    </row>
    <row r="50" spans="1:21" ht="14.45" customHeight="1">
      <c r="A50" s="165">
        <v>11</v>
      </c>
      <c r="B50" s="166" t="s">
        <v>7</v>
      </c>
      <c r="C50" s="416"/>
      <c r="D50" s="167">
        <v>19</v>
      </c>
      <c r="E50" s="168">
        <v>36610</v>
      </c>
      <c r="F50" s="169">
        <v>2</v>
      </c>
      <c r="G50" s="169">
        <f t="shared" si="1"/>
        <v>347795</v>
      </c>
      <c r="H50" s="171"/>
      <c r="I50" s="169">
        <f t="shared" si="2"/>
        <v>347795</v>
      </c>
      <c r="J50" s="165">
        <f t="shared" si="3"/>
        <v>0</v>
      </c>
      <c r="K50" s="165">
        <f t="shared" si="4"/>
        <v>36610</v>
      </c>
      <c r="L50" s="13"/>
      <c r="M50" s="165">
        <f t="shared" si="5"/>
        <v>36610</v>
      </c>
      <c r="N50" s="165">
        <f>'Primary 1-5'!N25</f>
        <v>0</v>
      </c>
      <c r="O50" s="165">
        <f t="shared" si="6"/>
        <v>36610</v>
      </c>
      <c r="P50" s="165">
        <f t="shared" si="10"/>
        <v>0</v>
      </c>
      <c r="Q50" s="165">
        <f t="shared" si="7"/>
        <v>0</v>
      </c>
      <c r="R50" s="165">
        <f t="shared" si="8"/>
        <v>695.59</v>
      </c>
      <c r="S50" s="165">
        <f t="shared" si="11"/>
        <v>10.701384615384615</v>
      </c>
      <c r="T50" s="165">
        <f t="shared" si="9"/>
        <v>0</v>
      </c>
      <c r="U50" s="165">
        <f t="shared" si="12"/>
        <v>10.701384615384615</v>
      </c>
    </row>
    <row r="51" spans="1:21" ht="14.45" customHeight="1">
      <c r="A51" s="165">
        <v>12</v>
      </c>
      <c r="B51" s="166" t="s">
        <v>8</v>
      </c>
      <c r="C51" s="416"/>
      <c r="D51" s="167">
        <v>9</v>
      </c>
      <c r="E51" s="168">
        <v>33535</v>
      </c>
      <c r="F51" s="169">
        <v>2</v>
      </c>
      <c r="G51" s="169">
        <f t="shared" si="1"/>
        <v>150907.5</v>
      </c>
      <c r="H51" s="171"/>
      <c r="I51" s="169">
        <f t="shared" si="2"/>
        <v>150907.5</v>
      </c>
      <c r="J51" s="165">
        <f t="shared" si="3"/>
        <v>0</v>
      </c>
      <c r="K51" s="165">
        <f t="shared" si="4"/>
        <v>33535</v>
      </c>
      <c r="L51" s="13"/>
      <c r="M51" s="165">
        <f t="shared" si="5"/>
        <v>33535</v>
      </c>
      <c r="N51" s="165">
        <f>'Primary 1-5'!O25</f>
        <v>0</v>
      </c>
      <c r="O51" s="165">
        <f t="shared" si="6"/>
        <v>33535</v>
      </c>
      <c r="P51" s="165">
        <f t="shared" si="10"/>
        <v>0</v>
      </c>
      <c r="Q51" s="165">
        <f t="shared" si="7"/>
        <v>0</v>
      </c>
      <c r="R51" s="165">
        <f t="shared" si="8"/>
        <v>301.815</v>
      </c>
      <c r="S51" s="165">
        <f t="shared" si="11"/>
        <v>4.6433076923076921</v>
      </c>
      <c r="T51" s="165">
        <f t="shared" si="9"/>
        <v>0</v>
      </c>
      <c r="U51" s="165">
        <f t="shared" si="12"/>
        <v>4.6433076923076921</v>
      </c>
    </row>
    <row r="52" spans="1:21" ht="14.45" customHeight="1">
      <c r="A52" s="165">
        <v>13</v>
      </c>
      <c r="B52" s="166" t="s">
        <v>9</v>
      </c>
      <c r="C52" s="417"/>
      <c r="D52" s="167">
        <v>11.5</v>
      </c>
      <c r="E52" s="168">
        <v>3067</v>
      </c>
      <c r="F52" s="169">
        <v>2</v>
      </c>
      <c r="G52" s="169">
        <f t="shared" si="1"/>
        <v>17635.25</v>
      </c>
      <c r="H52" s="171"/>
      <c r="I52" s="169">
        <f t="shared" si="2"/>
        <v>17635.25</v>
      </c>
      <c r="J52" s="165">
        <f t="shared" si="3"/>
        <v>0</v>
      </c>
      <c r="K52" s="165">
        <f t="shared" si="4"/>
        <v>3067</v>
      </c>
      <c r="L52" s="13"/>
      <c r="M52" s="165">
        <f t="shared" si="5"/>
        <v>3067</v>
      </c>
      <c r="N52" s="165">
        <f>'Primary 1-5'!P25</f>
        <v>0</v>
      </c>
      <c r="O52" s="165">
        <f t="shared" si="6"/>
        <v>3067</v>
      </c>
      <c r="P52" s="165">
        <f t="shared" si="10"/>
        <v>0</v>
      </c>
      <c r="Q52" s="165">
        <f t="shared" si="7"/>
        <v>0</v>
      </c>
      <c r="R52" s="165">
        <f t="shared" si="8"/>
        <v>35.270499999999998</v>
      </c>
      <c r="S52" s="165">
        <f t="shared" si="11"/>
        <v>0.54262307692307687</v>
      </c>
      <c r="T52" s="165">
        <f t="shared" si="9"/>
        <v>0</v>
      </c>
      <c r="U52" s="165">
        <f t="shared" si="12"/>
        <v>0.54262307692307687</v>
      </c>
    </row>
    <row r="53" spans="1:21" ht="14.45" customHeight="1">
      <c r="A53" s="165">
        <v>14</v>
      </c>
      <c r="B53" s="166" t="s">
        <v>4</v>
      </c>
      <c r="C53" s="415" t="s">
        <v>52</v>
      </c>
      <c r="D53" s="167">
        <v>16.5</v>
      </c>
      <c r="E53" s="168">
        <v>34384</v>
      </c>
      <c r="F53" s="169">
        <v>2</v>
      </c>
      <c r="G53" s="169">
        <f t="shared" si="1"/>
        <v>283668</v>
      </c>
      <c r="H53" s="171"/>
      <c r="I53" s="169">
        <f t="shared" si="2"/>
        <v>283668</v>
      </c>
      <c r="J53" s="165">
        <f t="shared" si="3"/>
        <v>0</v>
      </c>
      <c r="K53" s="165">
        <f t="shared" si="4"/>
        <v>34384</v>
      </c>
      <c r="L53" s="13"/>
      <c r="M53" s="165">
        <f t="shared" si="5"/>
        <v>34384</v>
      </c>
      <c r="N53" s="165">
        <f>'Primary 1-5'!Q25</f>
        <v>0</v>
      </c>
      <c r="O53" s="165">
        <f t="shared" si="6"/>
        <v>34384</v>
      </c>
      <c r="P53" s="165">
        <f t="shared" si="10"/>
        <v>0</v>
      </c>
      <c r="Q53" s="165">
        <f t="shared" si="7"/>
        <v>0</v>
      </c>
      <c r="R53" s="165">
        <f t="shared" si="8"/>
        <v>567.33600000000001</v>
      </c>
      <c r="S53" s="165">
        <f t="shared" si="11"/>
        <v>8.728246153846154</v>
      </c>
      <c r="T53" s="165">
        <f t="shared" si="9"/>
        <v>0</v>
      </c>
      <c r="U53" s="165">
        <f t="shared" si="12"/>
        <v>8.728246153846154</v>
      </c>
    </row>
    <row r="54" spans="1:21" ht="14.45" customHeight="1">
      <c r="A54" s="165">
        <v>15</v>
      </c>
      <c r="B54" s="166" t="s">
        <v>5</v>
      </c>
      <c r="C54" s="416"/>
      <c r="D54" s="167">
        <v>12</v>
      </c>
      <c r="E54" s="168">
        <v>34384</v>
      </c>
      <c r="F54" s="169">
        <v>2</v>
      </c>
      <c r="G54" s="169">
        <f t="shared" si="1"/>
        <v>206304</v>
      </c>
      <c r="H54" s="171"/>
      <c r="I54" s="169">
        <f t="shared" si="2"/>
        <v>206304</v>
      </c>
      <c r="J54" s="165">
        <f t="shared" si="3"/>
        <v>0</v>
      </c>
      <c r="K54" s="165">
        <f t="shared" si="4"/>
        <v>34384</v>
      </c>
      <c r="L54" s="13"/>
      <c r="M54" s="165">
        <f t="shared" si="5"/>
        <v>34384</v>
      </c>
      <c r="N54" s="165">
        <f>'Primary 1-5'!R25</f>
        <v>0</v>
      </c>
      <c r="O54" s="165">
        <f t="shared" si="6"/>
        <v>34384</v>
      </c>
      <c r="P54" s="165">
        <f t="shared" si="10"/>
        <v>0</v>
      </c>
      <c r="Q54" s="165">
        <f t="shared" si="7"/>
        <v>0</v>
      </c>
      <c r="R54" s="165">
        <f t="shared" si="8"/>
        <v>412.608</v>
      </c>
      <c r="S54" s="165">
        <f t="shared" si="11"/>
        <v>6.3478153846153846</v>
      </c>
      <c r="T54" s="165">
        <f t="shared" si="9"/>
        <v>0</v>
      </c>
      <c r="U54" s="165">
        <f t="shared" si="12"/>
        <v>6.3478153846153846</v>
      </c>
    </row>
    <row r="55" spans="1:21" ht="14.45" customHeight="1">
      <c r="A55" s="165">
        <v>16</v>
      </c>
      <c r="B55" s="166" t="s">
        <v>6</v>
      </c>
      <c r="C55" s="416"/>
      <c r="D55" s="167">
        <v>22.5</v>
      </c>
      <c r="E55" s="168">
        <v>34384</v>
      </c>
      <c r="F55" s="169">
        <v>2</v>
      </c>
      <c r="G55" s="169">
        <f t="shared" si="1"/>
        <v>386820</v>
      </c>
      <c r="H55" s="171"/>
      <c r="I55" s="169">
        <f t="shared" si="2"/>
        <v>386820</v>
      </c>
      <c r="J55" s="165">
        <f t="shared" si="3"/>
        <v>0</v>
      </c>
      <c r="K55" s="165">
        <f t="shared" si="4"/>
        <v>34384</v>
      </c>
      <c r="L55" s="13"/>
      <c r="M55" s="165">
        <f t="shared" si="5"/>
        <v>34384</v>
      </c>
      <c r="N55" s="165">
        <f>'Primary 1-5'!S25</f>
        <v>0</v>
      </c>
      <c r="O55" s="165">
        <f t="shared" si="6"/>
        <v>34384</v>
      </c>
      <c r="P55" s="165">
        <f t="shared" si="10"/>
        <v>0</v>
      </c>
      <c r="Q55" s="165">
        <f t="shared" si="7"/>
        <v>0</v>
      </c>
      <c r="R55" s="165">
        <f t="shared" si="8"/>
        <v>773.64</v>
      </c>
      <c r="S55" s="165">
        <f t="shared" si="11"/>
        <v>11.902153846153846</v>
      </c>
      <c r="T55" s="165">
        <f t="shared" si="9"/>
        <v>0</v>
      </c>
      <c r="U55" s="165">
        <f t="shared" si="12"/>
        <v>11.902153846153846</v>
      </c>
    </row>
    <row r="56" spans="1:21" ht="14.45" customHeight="1">
      <c r="A56" s="165">
        <v>17</v>
      </c>
      <c r="B56" s="166" t="s">
        <v>204</v>
      </c>
      <c r="C56" s="416"/>
      <c r="D56" s="167">
        <v>15</v>
      </c>
      <c r="E56" s="168">
        <v>34384</v>
      </c>
      <c r="F56" s="169">
        <v>2</v>
      </c>
      <c r="G56" s="169">
        <f t="shared" si="1"/>
        <v>257880</v>
      </c>
      <c r="H56" s="171"/>
      <c r="I56" s="169">
        <f t="shared" si="2"/>
        <v>257880</v>
      </c>
      <c r="J56" s="165">
        <f t="shared" si="3"/>
        <v>0</v>
      </c>
      <c r="K56" s="165">
        <f t="shared" si="4"/>
        <v>34384</v>
      </c>
      <c r="L56" s="13"/>
      <c r="M56" s="165">
        <f t="shared" si="5"/>
        <v>34384</v>
      </c>
      <c r="N56" s="165">
        <f>'Primary 1-5'!T25</f>
        <v>0</v>
      </c>
      <c r="O56" s="165">
        <f t="shared" si="6"/>
        <v>34384</v>
      </c>
      <c r="P56" s="165">
        <f t="shared" si="10"/>
        <v>0</v>
      </c>
      <c r="Q56" s="165">
        <f t="shared" si="7"/>
        <v>0</v>
      </c>
      <c r="R56" s="165">
        <f t="shared" si="8"/>
        <v>515.76</v>
      </c>
      <c r="S56" s="165">
        <f t="shared" si="11"/>
        <v>7.9347692307692306</v>
      </c>
      <c r="T56" s="165">
        <f t="shared" si="9"/>
        <v>0</v>
      </c>
      <c r="U56" s="165">
        <f t="shared" si="12"/>
        <v>7.9347692307692306</v>
      </c>
    </row>
    <row r="57" spans="1:21" ht="14.45" customHeight="1">
      <c r="A57" s="165">
        <v>18</v>
      </c>
      <c r="B57" s="166" t="s">
        <v>7</v>
      </c>
      <c r="C57" s="416"/>
      <c r="D57" s="167">
        <v>19.5</v>
      </c>
      <c r="E57" s="168">
        <v>34384</v>
      </c>
      <c r="F57" s="169">
        <v>2</v>
      </c>
      <c r="G57" s="169">
        <f t="shared" si="1"/>
        <v>335244</v>
      </c>
      <c r="H57" s="171"/>
      <c r="I57" s="169">
        <f t="shared" si="2"/>
        <v>335244</v>
      </c>
      <c r="J57" s="165">
        <f t="shared" si="3"/>
        <v>0</v>
      </c>
      <c r="K57" s="165">
        <f t="shared" si="4"/>
        <v>34384</v>
      </c>
      <c r="L57" s="13"/>
      <c r="M57" s="165">
        <f t="shared" si="5"/>
        <v>34384</v>
      </c>
      <c r="N57" s="165">
        <f>'Primary 1-5'!U25</f>
        <v>0</v>
      </c>
      <c r="O57" s="165">
        <f t="shared" si="6"/>
        <v>34384</v>
      </c>
      <c r="P57" s="165">
        <f t="shared" si="10"/>
        <v>0</v>
      </c>
      <c r="Q57" s="165">
        <f t="shared" si="7"/>
        <v>0</v>
      </c>
      <c r="R57" s="165">
        <f t="shared" si="8"/>
        <v>670.48800000000006</v>
      </c>
      <c r="S57" s="165">
        <f t="shared" si="11"/>
        <v>10.315200000000001</v>
      </c>
      <c r="T57" s="165">
        <f t="shared" si="9"/>
        <v>0</v>
      </c>
      <c r="U57" s="165">
        <f t="shared" si="12"/>
        <v>10.315200000000001</v>
      </c>
    </row>
    <row r="58" spans="1:21" ht="14.45" customHeight="1">
      <c r="A58" s="165">
        <v>19</v>
      </c>
      <c r="B58" s="166" t="s">
        <v>8</v>
      </c>
      <c r="C58" s="416"/>
      <c r="D58" s="167">
        <v>10</v>
      </c>
      <c r="E58" s="168">
        <v>31547</v>
      </c>
      <c r="F58" s="169">
        <v>2</v>
      </c>
      <c r="G58" s="169">
        <f t="shared" si="1"/>
        <v>157735</v>
      </c>
      <c r="H58" s="171"/>
      <c r="I58" s="169">
        <f t="shared" si="2"/>
        <v>157735</v>
      </c>
      <c r="J58" s="165">
        <f t="shared" si="3"/>
        <v>0</v>
      </c>
      <c r="K58" s="165">
        <f t="shared" si="4"/>
        <v>31547</v>
      </c>
      <c r="L58" s="13"/>
      <c r="M58" s="165">
        <f t="shared" si="5"/>
        <v>31547</v>
      </c>
      <c r="N58" s="165">
        <f>'Primary 1-5'!V25</f>
        <v>0</v>
      </c>
      <c r="O58" s="165">
        <f t="shared" si="6"/>
        <v>31547</v>
      </c>
      <c r="P58" s="165">
        <f t="shared" si="10"/>
        <v>0</v>
      </c>
      <c r="Q58" s="165">
        <f t="shared" si="7"/>
        <v>0</v>
      </c>
      <c r="R58" s="165">
        <f t="shared" si="8"/>
        <v>315.47000000000003</v>
      </c>
      <c r="S58" s="165">
        <f t="shared" si="11"/>
        <v>4.8533846153846154</v>
      </c>
      <c r="T58" s="165">
        <f t="shared" si="9"/>
        <v>0</v>
      </c>
      <c r="U58" s="165">
        <f t="shared" si="12"/>
        <v>4.8533846153846154</v>
      </c>
    </row>
    <row r="59" spans="1:21" ht="14.45" customHeight="1">
      <c r="A59" s="165">
        <v>20</v>
      </c>
      <c r="B59" s="166" t="s">
        <v>9</v>
      </c>
      <c r="C59" s="417"/>
      <c r="D59" s="167">
        <v>13.5</v>
      </c>
      <c r="E59" s="168">
        <v>2836</v>
      </c>
      <c r="F59" s="169">
        <v>2</v>
      </c>
      <c r="G59" s="169">
        <f t="shared" si="1"/>
        <v>19143</v>
      </c>
      <c r="H59" s="171"/>
      <c r="I59" s="169">
        <f t="shared" si="2"/>
        <v>19143</v>
      </c>
      <c r="J59" s="165">
        <f t="shared" si="3"/>
        <v>0</v>
      </c>
      <c r="K59" s="165">
        <f t="shared" si="4"/>
        <v>2836</v>
      </c>
      <c r="L59" s="13"/>
      <c r="M59" s="165">
        <f t="shared" si="5"/>
        <v>2836</v>
      </c>
      <c r="N59" s="165">
        <f>'Primary 1-5'!W25</f>
        <v>0</v>
      </c>
      <c r="O59" s="165">
        <f t="shared" si="6"/>
        <v>2836</v>
      </c>
      <c r="P59" s="165">
        <f t="shared" si="10"/>
        <v>0</v>
      </c>
      <c r="Q59" s="165">
        <f t="shared" si="7"/>
        <v>0</v>
      </c>
      <c r="R59" s="165">
        <f t="shared" si="8"/>
        <v>38.286000000000001</v>
      </c>
      <c r="S59" s="165">
        <f t="shared" si="11"/>
        <v>0.58901538461538461</v>
      </c>
      <c r="T59" s="165">
        <f t="shared" si="9"/>
        <v>0</v>
      </c>
      <c r="U59" s="165">
        <f t="shared" si="12"/>
        <v>0.58901538461538461</v>
      </c>
    </row>
    <row r="60" spans="1:21" ht="14.45" customHeight="1">
      <c r="A60" s="165">
        <v>21</v>
      </c>
      <c r="B60" s="166" t="s">
        <v>4</v>
      </c>
      <c r="C60" s="415" t="s">
        <v>53</v>
      </c>
      <c r="D60" s="167">
        <v>17.5</v>
      </c>
      <c r="E60" s="168">
        <v>30762</v>
      </c>
      <c r="F60" s="169">
        <v>2</v>
      </c>
      <c r="G60" s="169">
        <f t="shared" si="1"/>
        <v>269167.5</v>
      </c>
      <c r="H60" s="171"/>
      <c r="I60" s="169">
        <f t="shared" si="2"/>
        <v>269167.5</v>
      </c>
      <c r="J60" s="165">
        <f t="shared" si="3"/>
        <v>0</v>
      </c>
      <c r="K60" s="165">
        <f t="shared" si="4"/>
        <v>30762</v>
      </c>
      <c r="L60" s="13"/>
      <c r="M60" s="165">
        <f t="shared" si="5"/>
        <v>30762</v>
      </c>
      <c r="N60" s="165">
        <f>'Primary 1-5'!X25</f>
        <v>0</v>
      </c>
      <c r="O60" s="165">
        <f t="shared" si="6"/>
        <v>30762</v>
      </c>
      <c r="P60" s="165">
        <f t="shared" si="10"/>
        <v>0</v>
      </c>
      <c r="Q60" s="165">
        <f t="shared" si="7"/>
        <v>0</v>
      </c>
      <c r="R60" s="165">
        <f t="shared" si="8"/>
        <v>538.33500000000004</v>
      </c>
      <c r="S60" s="165">
        <f t="shared" si="11"/>
        <v>8.2820769230769233</v>
      </c>
      <c r="T60" s="165">
        <f t="shared" si="9"/>
        <v>0</v>
      </c>
      <c r="U60" s="165">
        <f t="shared" si="12"/>
        <v>8.2820769230769233</v>
      </c>
    </row>
    <row r="61" spans="1:21" ht="14.45" customHeight="1">
      <c r="A61" s="165">
        <v>22</v>
      </c>
      <c r="B61" s="166" t="s">
        <v>5</v>
      </c>
      <c r="C61" s="416"/>
      <c r="D61" s="167">
        <v>14.5</v>
      </c>
      <c r="E61" s="168">
        <v>30762</v>
      </c>
      <c r="F61" s="169">
        <v>2</v>
      </c>
      <c r="G61" s="169">
        <f t="shared" si="1"/>
        <v>223024.5</v>
      </c>
      <c r="H61" s="171"/>
      <c r="I61" s="169">
        <f t="shared" si="2"/>
        <v>223024.5</v>
      </c>
      <c r="J61" s="165">
        <f t="shared" si="3"/>
        <v>0</v>
      </c>
      <c r="K61" s="165">
        <f t="shared" si="4"/>
        <v>30762</v>
      </c>
      <c r="L61" s="13"/>
      <c r="M61" s="165">
        <f t="shared" si="5"/>
        <v>30762</v>
      </c>
      <c r="N61" s="165">
        <f>'Primary 1-5'!Y25</f>
        <v>0</v>
      </c>
      <c r="O61" s="165">
        <f t="shared" si="6"/>
        <v>30762</v>
      </c>
      <c r="P61" s="165">
        <f t="shared" si="10"/>
        <v>0</v>
      </c>
      <c r="Q61" s="165">
        <f t="shared" si="7"/>
        <v>0</v>
      </c>
      <c r="R61" s="165">
        <f t="shared" si="8"/>
        <v>446.04899999999998</v>
      </c>
      <c r="S61" s="165">
        <f t="shared" si="11"/>
        <v>6.8622923076923072</v>
      </c>
      <c r="T61" s="165">
        <f t="shared" si="9"/>
        <v>0</v>
      </c>
      <c r="U61" s="165">
        <f t="shared" si="12"/>
        <v>6.8622923076923072</v>
      </c>
    </row>
    <row r="62" spans="1:21" ht="14.45" customHeight="1">
      <c r="A62" s="165">
        <v>23</v>
      </c>
      <c r="B62" s="166" t="s">
        <v>6</v>
      </c>
      <c r="C62" s="416"/>
      <c r="D62" s="167">
        <v>23.5</v>
      </c>
      <c r="E62" s="168">
        <v>30762</v>
      </c>
      <c r="F62" s="169">
        <v>2</v>
      </c>
      <c r="G62" s="169">
        <f t="shared" si="1"/>
        <v>361453.5</v>
      </c>
      <c r="H62" s="171"/>
      <c r="I62" s="169">
        <f t="shared" si="2"/>
        <v>361453.5</v>
      </c>
      <c r="J62" s="165">
        <f t="shared" si="3"/>
        <v>0</v>
      </c>
      <c r="K62" s="165">
        <f t="shared" si="4"/>
        <v>30762</v>
      </c>
      <c r="L62" s="13"/>
      <c r="M62" s="165">
        <f t="shared" si="5"/>
        <v>30762</v>
      </c>
      <c r="N62" s="165">
        <f>'Primary 1-5'!Z25</f>
        <v>0</v>
      </c>
      <c r="O62" s="165">
        <f t="shared" si="6"/>
        <v>30762</v>
      </c>
      <c r="P62" s="165">
        <f t="shared" si="10"/>
        <v>0</v>
      </c>
      <c r="Q62" s="165">
        <f t="shared" si="7"/>
        <v>0</v>
      </c>
      <c r="R62" s="165">
        <f t="shared" si="8"/>
        <v>722.90700000000004</v>
      </c>
      <c r="S62" s="165">
        <f t="shared" si="11"/>
        <v>11.121646153846154</v>
      </c>
      <c r="T62" s="165">
        <f t="shared" si="9"/>
        <v>0</v>
      </c>
      <c r="U62" s="165">
        <f t="shared" si="12"/>
        <v>11.121646153846154</v>
      </c>
    </row>
    <row r="63" spans="1:21" ht="14.45" customHeight="1">
      <c r="A63" s="165">
        <v>24</v>
      </c>
      <c r="B63" s="166" t="s">
        <v>204</v>
      </c>
      <c r="C63" s="416"/>
      <c r="D63" s="167">
        <v>20.5</v>
      </c>
      <c r="E63" s="168">
        <v>30762</v>
      </c>
      <c r="F63" s="169">
        <v>2</v>
      </c>
      <c r="G63" s="169">
        <f t="shared" si="1"/>
        <v>315310.5</v>
      </c>
      <c r="H63" s="171"/>
      <c r="I63" s="169">
        <f t="shared" si="2"/>
        <v>315310.5</v>
      </c>
      <c r="J63" s="165">
        <f t="shared" si="3"/>
        <v>0</v>
      </c>
      <c r="K63" s="165">
        <f t="shared" si="4"/>
        <v>30762</v>
      </c>
      <c r="L63" s="13"/>
      <c r="M63" s="165">
        <f t="shared" si="5"/>
        <v>30762</v>
      </c>
      <c r="N63" s="165">
        <f>'Primary 1-5'!AA25</f>
        <v>0</v>
      </c>
      <c r="O63" s="165">
        <f t="shared" si="6"/>
        <v>30762</v>
      </c>
      <c r="P63" s="165">
        <f t="shared" si="10"/>
        <v>0</v>
      </c>
      <c r="Q63" s="165">
        <f t="shared" si="7"/>
        <v>0</v>
      </c>
      <c r="R63" s="165">
        <f t="shared" si="8"/>
        <v>630.62099999999998</v>
      </c>
      <c r="S63" s="165">
        <f t="shared" si="11"/>
        <v>9.7018615384615376</v>
      </c>
      <c r="T63" s="165">
        <f t="shared" si="9"/>
        <v>0</v>
      </c>
      <c r="U63" s="165">
        <f t="shared" si="12"/>
        <v>9.7018615384615376</v>
      </c>
    </row>
    <row r="64" spans="1:21" ht="14.45" customHeight="1">
      <c r="A64" s="165">
        <v>25</v>
      </c>
      <c r="B64" s="166" t="s">
        <v>7</v>
      </c>
      <c r="C64" s="416"/>
      <c r="D64" s="167">
        <v>20.5</v>
      </c>
      <c r="E64" s="168">
        <v>30762</v>
      </c>
      <c r="F64" s="169">
        <v>2</v>
      </c>
      <c r="G64" s="169">
        <f t="shared" si="1"/>
        <v>315310.5</v>
      </c>
      <c r="H64" s="171"/>
      <c r="I64" s="169">
        <f t="shared" si="2"/>
        <v>315310.5</v>
      </c>
      <c r="J64" s="165">
        <f t="shared" si="3"/>
        <v>0</v>
      </c>
      <c r="K64" s="165">
        <f t="shared" si="4"/>
        <v>30762</v>
      </c>
      <c r="L64" s="13"/>
      <c r="M64" s="165">
        <f t="shared" si="5"/>
        <v>30762</v>
      </c>
      <c r="N64" s="165">
        <f>'Primary 1-5'!AB25</f>
        <v>0</v>
      </c>
      <c r="O64" s="165">
        <f t="shared" si="6"/>
        <v>30762</v>
      </c>
      <c r="P64" s="165">
        <f t="shared" si="10"/>
        <v>0</v>
      </c>
      <c r="Q64" s="165">
        <f t="shared" si="7"/>
        <v>0</v>
      </c>
      <c r="R64" s="165">
        <f t="shared" si="8"/>
        <v>630.62099999999998</v>
      </c>
      <c r="S64" s="165">
        <f t="shared" si="11"/>
        <v>9.7018615384615376</v>
      </c>
      <c r="T64" s="165">
        <f t="shared" si="9"/>
        <v>0</v>
      </c>
      <c r="U64" s="165">
        <f t="shared" si="12"/>
        <v>9.7018615384615376</v>
      </c>
    </row>
    <row r="65" spans="1:21" ht="14.45" customHeight="1">
      <c r="A65" s="165">
        <v>26</v>
      </c>
      <c r="B65" s="166" t="s">
        <v>8</v>
      </c>
      <c r="C65" s="416"/>
      <c r="D65" s="167">
        <v>10.5</v>
      </c>
      <c r="E65" s="168">
        <v>28230</v>
      </c>
      <c r="F65" s="169">
        <v>2</v>
      </c>
      <c r="G65" s="169">
        <f t="shared" si="1"/>
        <v>148207.5</v>
      </c>
      <c r="H65" s="171"/>
      <c r="I65" s="169">
        <f t="shared" si="2"/>
        <v>148207.5</v>
      </c>
      <c r="J65" s="165">
        <f t="shared" si="3"/>
        <v>0</v>
      </c>
      <c r="K65" s="165">
        <f t="shared" si="4"/>
        <v>28230</v>
      </c>
      <c r="L65" s="13"/>
      <c r="M65" s="165">
        <f t="shared" si="5"/>
        <v>28230</v>
      </c>
      <c r="N65" s="165">
        <f>'Primary 1-5'!AC25</f>
        <v>0</v>
      </c>
      <c r="O65" s="165">
        <f t="shared" si="6"/>
        <v>28230</v>
      </c>
      <c r="P65" s="165">
        <f t="shared" si="10"/>
        <v>0</v>
      </c>
      <c r="Q65" s="165">
        <f t="shared" si="7"/>
        <v>0</v>
      </c>
      <c r="R65" s="165">
        <f t="shared" si="8"/>
        <v>296.41500000000002</v>
      </c>
      <c r="S65" s="165">
        <f t="shared" si="11"/>
        <v>4.5602307692307695</v>
      </c>
      <c r="T65" s="165">
        <f t="shared" si="9"/>
        <v>0</v>
      </c>
      <c r="U65" s="165">
        <f t="shared" si="12"/>
        <v>4.5602307692307695</v>
      </c>
    </row>
    <row r="66" spans="1:21" ht="14.45" customHeight="1">
      <c r="A66" s="165">
        <v>27</v>
      </c>
      <c r="B66" s="166" t="s">
        <v>9</v>
      </c>
      <c r="C66" s="417"/>
      <c r="D66" s="167">
        <v>12.5</v>
      </c>
      <c r="E66" s="168">
        <v>2529</v>
      </c>
      <c r="F66" s="169">
        <v>2</v>
      </c>
      <c r="G66" s="169">
        <f t="shared" si="1"/>
        <v>15806.25</v>
      </c>
      <c r="H66" s="171"/>
      <c r="I66" s="169">
        <f t="shared" si="2"/>
        <v>15806.25</v>
      </c>
      <c r="J66" s="165">
        <f t="shared" si="3"/>
        <v>0</v>
      </c>
      <c r="K66" s="165">
        <f t="shared" si="4"/>
        <v>2529</v>
      </c>
      <c r="L66" s="13"/>
      <c r="M66" s="165">
        <f t="shared" si="5"/>
        <v>2529</v>
      </c>
      <c r="N66" s="165">
        <f>'Primary 1-5'!AD25</f>
        <v>0</v>
      </c>
      <c r="O66" s="165">
        <f t="shared" si="6"/>
        <v>2529</v>
      </c>
      <c r="P66" s="165">
        <f t="shared" si="10"/>
        <v>0</v>
      </c>
      <c r="Q66" s="165">
        <f t="shared" si="7"/>
        <v>0</v>
      </c>
      <c r="R66" s="165">
        <f t="shared" si="8"/>
        <v>31.612500000000001</v>
      </c>
      <c r="S66" s="165">
        <f t="shared" si="11"/>
        <v>0.48634615384615387</v>
      </c>
      <c r="T66" s="165">
        <f t="shared" si="9"/>
        <v>0</v>
      </c>
      <c r="U66" s="165">
        <f t="shared" si="12"/>
        <v>0.48634615384615387</v>
      </c>
    </row>
    <row r="67" spans="1:21" ht="14.45" customHeight="1">
      <c r="A67" s="403" t="s">
        <v>79</v>
      </c>
      <c r="B67" s="403"/>
      <c r="C67" s="403"/>
      <c r="D67" s="403"/>
      <c r="E67" s="42">
        <f t="shared" ref="E67:U67" si="13">SUM(E40:E66)</f>
        <v>834870</v>
      </c>
      <c r="F67" s="42">
        <f t="shared" si="13"/>
        <v>54</v>
      </c>
      <c r="G67" s="42">
        <f t="shared" si="13"/>
        <v>6422471</v>
      </c>
      <c r="H67" s="42">
        <f t="shared" si="13"/>
        <v>0</v>
      </c>
      <c r="I67" s="42">
        <f t="shared" si="13"/>
        <v>6422471</v>
      </c>
      <c r="J67" s="42">
        <f t="shared" si="13"/>
        <v>0</v>
      </c>
      <c r="K67" s="42">
        <f t="shared" si="13"/>
        <v>834870</v>
      </c>
      <c r="L67" s="42">
        <f t="shared" si="13"/>
        <v>0</v>
      </c>
      <c r="M67" s="42">
        <f t="shared" si="13"/>
        <v>834870</v>
      </c>
      <c r="N67" s="42">
        <f t="shared" si="13"/>
        <v>0</v>
      </c>
      <c r="O67" s="42">
        <f t="shared" si="13"/>
        <v>834870</v>
      </c>
      <c r="P67" s="42">
        <f t="shared" si="13"/>
        <v>0</v>
      </c>
      <c r="Q67" s="42">
        <f t="shared" si="13"/>
        <v>0</v>
      </c>
      <c r="R67" s="42">
        <f t="shared" si="13"/>
        <v>12844.941999999995</v>
      </c>
      <c r="S67" s="42">
        <f t="shared" si="13"/>
        <v>197.6144923076923</v>
      </c>
      <c r="T67" s="42">
        <f t="shared" si="13"/>
        <v>0</v>
      </c>
      <c r="U67" s="42">
        <f t="shared" si="13"/>
        <v>197.6144923076923</v>
      </c>
    </row>
    <row r="68" spans="1:21" ht="21" customHeight="1">
      <c r="A68" s="30"/>
      <c r="B68" s="28"/>
      <c r="C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</row>
    <row r="69" spans="1:21" ht="18.600000000000001" customHeight="1">
      <c r="A69" s="30"/>
      <c r="B69" s="28"/>
      <c r="C69" s="30"/>
      <c r="E69" s="30"/>
      <c r="F69" s="30"/>
      <c r="G69" s="30"/>
      <c r="H69" s="30"/>
      <c r="I69" s="30"/>
      <c r="J69" s="30"/>
      <c r="K69" s="30"/>
      <c r="L69" s="30"/>
      <c r="M69" s="122"/>
      <c r="N69" s="122"/>
      <c r="O69" s="122"/>
      <c r="P69" s="122"/>
      <c r="Q69" s="67"/>
      <c r="R69" s="67"/>
      <c r="S69" s="67"/>
      <c r="T69" s="67"/>
      <c r="U69" s="67"/>
    </row>
    <row r="70" spans="1:21" ht="18.600000000000001" customHeight="1">
      <c r="A70" s="61"/>
      <c r="B70" s="61"/>
      <c r="C70" s="61"/>
      <c r="D70" s="61"/>
      <c r="E70" s="62"/>
      <c r="F70" s="62"/>
      <c r="G70" s="62"/>
      <c r="H70" s="62"/>
      <c r="I70" s="62"/>
      <c r="J70" s="62"/>
      <c r="K70" s="62"/>
      <c r="L70" s="62"/>
      <c r="M70" s="63"/>
      <c r="N70" s="63"/>
      <c r="O70" s="63"/>
      <c r="P70" s="63"/>
      <c r="Q70" s="387" t="s">
        <v>254</v>
      </c>
      <c r="R70" s="387"/>
      <c r="S70" s="387"/>
      <c r="T70" s="387"/>
      <c r="U70" s="387"/>
    </row>
    <row r="71" spans="1:21" s="43" customFormat="1" ht="21" customHeight="1">
      <c r="A71" s="388" t="s">
        <v>178</v>
      </c>
      <c r="B71" s="388"/>
      <c r="C71" s="388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</row>
    <row r="72" spans="1:21" s="43" customFormat="1" ht="18.600000000000001" customHeight="1">
      <c r="A72" s="379" t="s">
        <v>253</v>
      </c>
      <c r="B72" s="379"/>
      <c r="C72" s="379"/>
      <c r="D72" s="379"/>
      <c r="E72" s="379"/>
      <c r="F72" s="379"/>
      <c r="G72" s="379"/>
      <c r="H72" s="379"/>
      <c r="I72" s="379"/>
      <c r="J72" s="379"/>
      <c r="K72" s="379"/>
      <c r="L72" s="379"/>
      <c r="M72" s="379"/>
      <c r="N72" s="379"/>
      <c r="O72" s="379"/>
      <c r="P72" s="379"/>
      <c r="Q72" s="379"/>
      <c r="R72" s="379"/>
      <c r="S72" s="379"/>
      <c r="T72" s="379"/>
      <c r="U72" s="379"/>
    </row>
    <row r="73" spans="1:21" s="43" customFormat="1" ht="18.600000000000001" customHeight="1">
      <c r="A73" s="364" t="s">
        <v>274</v>
      </c>
      <c r="B73" s="364"/>
      <c r="C73" s="364"/>
      <c r="D73" s="364"/>
      <c r="E73" s="364"/>
      <c r="F73" s="364"/>
      <c r="G73" s="364"/>
      <c r="H73" s="364"/>
      <c r="I73" s="364"/>
      <c r="J73" s="364"/>
      <c r="K73" s="364"/>
      <c r="L73" s="364"/>
      <c r="M73" s="364"/>
      <c r="N73" s="364"/>
      <c r="O73" s="364"/>
      <c r="P73" s="364"/>
      <c r="Q73" s="364"/>
      <c r="R73" s="364"/>
      <c r="S73" s="364"/>
      <c r="T73" s="364"/>
      <c r="U73" s="364"/>
    </row>
    <row r="74" spans="1:21" s="43" customFormat="1" ht="20.25">
      <c r="A74" s="400" t="s">
        <v>275</v>
      </c>
      <c r="B74" s="400"/>
      <c r="C74" s="400"/>
      <c r="D74" s="400"/>
      <c r="E74" s="400"/>
      <c r="F74" s="400"/>
      <c r="G74" s="400"/>
      <c r="H74" s="400"/>
      <c r="I74" s="400"/>
      <c r="J74" s="400"/>
      <c r="K74" s="400"/>
      <c r="L74" s="400"/>
      <c r="M74" s="400"/>
      <c r="N74" s="400"/>
      <c r="O74" s="400"/>
      <c r="P74" s="400"/>
      <c r="Q74" s="400"/>
      <c r="R74" s="378">
        <f>R42</f>
        <v>561.29999999999995</v>
      </c>
      <c r="S74" s="378"/>
      <c r="T74" s="378"/>
      <c r="U74" s="378"/>
    </row>
    <row r="75" spans="1:21" s="43" customFormat="1" ht="14.45" customHeight="1">
      <c r="A75" s="405" t="s">
        <v>0</v>
      </c>
      <c r="B75" s="405" t="s">
        <v>10</v>
      </c>
      <c r="C75" s="405" t="s">
        <v>1</v>
      </c>
      <c r="D75" s="411" t="s">
        <v>11</v>
      </c>
      <c r="E75" s="156" t="s">
        <v>223</v>
      </c>
      <c r="F75" s="149" t="s">
        <v>11</v>
      </c>
      <c r="G75" s="371" t="s">
        <v>113</v>
      </c>
      <c r="H75" s="372"/>
      <c r="I75" s="373"/>
      <c r="J75" s="397" t="s">
        <v>115</v>
      </c>
      <c r="K75" s="397"/>
      <c r="L75" s="401" t="s">
        <v>83</v>
      </c>
      <c r="M75" s="402"/>
      <c r="N75" s="398" t="s">
        <v>3</v>
      </c>
      <c r="O75" s="398"/>
      <c r="P75" s="398" t="s">
        <v>89</v>
      </c>
      <c r="Q75" s="398" t="s">
        <v>145</v>
      </c>
      <c r="R75" s="397" t="s">
        <v>134</v>
      </c>
      <c r="S75" s="397"/>
      <c r="T75" s="397"/>
      <c r="U75" s="397"/>
    </row>
    <row r="76" spans="1:21" s="43" customFormat="1" ht="14.45" customHeight="1">
      <c r="A76" s="406"/>
      <c r="B76" s="406"/>
      <c r="C76" s="406"/>
      <c r="D76" s="412"/>
      <c r="E76" s="144" t="s">
        <v>267</v>
      </c>
      <c r="F76" s="150"/>
      <c r="G76" s="138" t="s">
        <v>426</v>
      </c>
      <c r="H76" s="144" t="s">
        <v>82</v>
      </c>
      <c r="I76" s="144" t="s">
        <v>38</v>
      </c>
      <c r="J76" s="183" t="s">
        <v>82</v>
      </c>
      <c r="K76" s="183" t="s">
        <v>38</v>
      </c>
      <c r="L76" s="144" t="s">
        <v>83</v>
      </c>
      <c r="M76" s="144" t="s">
        <v>38</v>
      </c>
      <c r="N76" s="144" t="s">
        <v>3</v>
      </c>
      <c r="O76" s="144" t="s">
        <v>38</v>
      </c>
      <c r="P76" s="398"/>
      <c r="Q76" s="398"/>
      <c r="R76" s="183" t="s">
        <v>90</v>
      </c>
      <c r="S76" s="183" t="s">
        <v>154</v>
      </c>
      <c r="T76" s="183" t="s">
        <v>135</v>
      </c>
      <c r="U76" s="183" t="s">
        <v>38</v>
      </c>
    </row>
    <row r="77" spans="1:21" s="43" customFormat="1" ht="14.45" customHeight="1">
      <c r="A77" s="165">
        <v>1</v>
      </c>
      <c r="B77" s="166" t="s">
        <v>4</v>
      </c>
      <c r="C77" s="415" t="s">
        <v>12</v>
      </c>
      <c r="D77" s="167">
        <v>11</v>
      </c>
      <c r="E77" s="172">
        <v>34712</v>
      </c>
      <c r="F77" s="169">
        <v>2</v>
      </c>
      <c r="G77" s="169">
        <f t="shared" ref="G77:G103" si="14">D77/F77*E77</f>
        <v>190916</v>
      </c>
      <c r="H77" s="171"/>
      <c r="I77" s="169">
        <f t="shared" ref="I77:I103" si="15">G77-H77</f>
        <v>190916</v>
      </c>
      <c r="J77" s="165">
        <f t="shared" ref="J77:J103" si="16">H77/D77*2</f>
        <v>0</v>
      </c>
      <c r="K77" s="165">
        <f t="shared" ref="K77:K103" si="17">E77-J77</f>
        <v>34712</v>
      </c>
      <c r="L77" s="13"/>
      <c r="M77" s="165">
        <f t="shared" ref="M77:M103" si="18">E77-L77</f>
        <v>34712</v>
      </c>
      <c r="N77" s="165">
        <f>'Primary 1-5'!D56</f>
        <v>0</v>
      </c>
      <c r="O77" s="165">
        <f t="shared" ref="O77:O103" si="19">E77-N77</f>
        <v>34712</v>
      </c>
      <c r="P77" s="165">
        <f>L77-N77</f>
        <v>0</v>
      </c>
      <c r="Q77" s="165">
        <f t="shared" ref="Q77:Q103" si="20">D77*L77/1000</f>
        <v>0</v>
      </c>
      <c r="R77" s="165">
        <f t="shared" ref="R77:R103" si="21">D77*E77/1000</f>
        <v>381.83199999999999</v>
      </c>
      <c r="S77" s="165">
        <f>R77/65</f>
        <v>5.8743384615384615</v>
      </c>
      <c r="T77" s="165">
        <f t="shared" ref="T77:T103" si="22">D77*J77/1000/65</f>
        <v>0</v>
      </c>
      <c r="U77" s="165">
        <f>S77-T77</f>
        <v>5.8743384615384615</v>
      </c>
    </row>
    <row r="78" spans="1:21" s="43" customFormat="1" ht="14.45" customHeight="1">
      <c r="A78" s="165">
        <v>2</v>
      </c>
      <c r="B78" s="166" t="s">
        <v>5</v>
      </c>
      <c r="C78" s="416"/>
      <c r="D78" s="167">
        <v>12</v>
      </c>
      <c r="E78" s="172">
        <v>34712</v>
      </c>
      <c r="F78" s="169">
        <v>2</v>
      </c>
      <c r="G78" s="169">
        <f t="shared" si="14"/>
        <v>208272</v>
      </c>
      <c r="H78" s="171"/>
      <c r="I78" s="169">
        <f t="shared" si="15"/>
        <v>208272</v>
      </c>
      <c r="J78" s="165">
        <f t="shared" si="16"/>
        <v>0</v>
      </c>
      <c r="K78" s="165">
        <f t="shared" si="17"/>
        <v>34712</v>
      </c>
      <c r="L78" s="13"/>
      <c r="M78" s="165">
        <f t="shared" si="18"/>
        <v>34712</v>
      </c>
      <c r="N78" s="165">
        <f>'Primary 1-5'!E56</f>
        <v>0</v>
      </c>
      <c r="O78" s="165">
        <f t="shared" si="19"/>
        <v>34712</v>
      </c>
      <c r="P78" s="165">
        <f t="shared" ref="P78:P103" si="23">L78-N78</f>
        <v>0</v>
      </c>
      <c r="Q78" s="165">
        <f t="shared" si="20"/>
        <v>0</v>
      </c>
      <c r="R78" s="165">
        <f t="shared" si="21"/>
        <v>416.54399999999998</v>
      </c>
      <c r="S78" s="165">
        <f t="shared" ref="S78:S103" si="24">R78/65</f>
        <v>6.4083692307692308</v>
      </c>
      <c r="T78" s="165">
        <f t="shared" si="22"/>
        <v>0</v>
      </c>
      <c r="U78" s="165">
        <f t="shared" ref="U78:U103" si="25">S78-T78</f>
        <v>6.4083692307692308</v>
      </c>
    </row>
    <row r="79" spans="1:21" s="43" customFormat="1" ht="14.45" customHeight="1">
      <c r="A79" s="165">
        <v>3</v>
      </c>
      <c r="B79" s="166" t="s">
        <v>6</v>
      </c>
      <c r="C79" s="417"/>
      <c r="D79" s="167">
        <v>15</v>
      </c>
      <c r="E79" s="172">
        <v>34712</v>
      </c>
      <c r="F79" s="169">
        <v>2</v>
      </c>
      <c r="G79" s="169">
        <f t="shared" si="14"/>
        <v>260340</v>
      </c>
      <c r="H79" s="171"/>
      <c r="I79" s="169">
        <f t="shared" si="15"/>
        <v>260340</v>
      </c>
      <c r="J79" s="165">
        <f t="shared" si="16"/>
        <v>0</v>
      </c>
      <c r="K79" s="165">
        <f t="shared" si="17"/>
        <v>34712</v>
      </c>
      <c r="L79" s="13"/>
      <c r="M79" s="165">
        <f t="shared" si="18"/>
        <v>34712</v>
      </c>
      <c r="N79" s="165">
        <f>'Primary 1-5'!F56</f>
        <v>0</v>
      </c>
      <c r="O79" s="165">
        <f t="shared" si="19"/>
        <v>34712</v>
      </c>
      <c r="P79" s="165">
        <f t="shared" si="23"/>
        <v>0</v>
      </c>
      <c r="Q79" s="165">
        <f t="shared" si="20"/>
        <v>0</v>
      </c>
      <c r="R79" s="165">
        <f t="shared" si="21"/>
        <v>520.67999999999995</v>
      </c>
      <c r="S79" s="165">
        <f t="shared" si="24"/>
        <v>8.0104615384615379</v>
      </c>
      <c r="T79" s="165">
        <f t="shared" si="22"/>
        <v>0</v>
      </c>
      <c r="U79" s="165">
        <f t="shared" si="25"/>
        <v>8.0104615384615379</v>
      </c>
    </row>
    <row r="80" spans="1:21" s="43" customFormat="1" ht="14.45" customHeight="1">
      <c r="A80" s="165">
        <v>4</v>
      </c>
      <c r="B80" s="166" t="s">
        <v>4</v>
      </c>
      <c r="C80" s="415" t="s">
        <v>13</v>
      </c>
      <c r="D80" s="167">
        <v>9</v>
      </c>
      <c r="E80" s="172">
        <v>34222</v>
      </c>
      <c r="F80" s="169">
        <v>2</v>
      </c>
      <c r="G80" s="169">
        <f t="shared" si="14"/>
        <v>153999</v>
      </c>
      <c r="H80" s="171"/>
      <c r="I80" s="169">
        <f t="shared" si="15"/>
        <v>153999</v>
      </c>
      <c r="J80" s="165">
        <f t="shared" si="16"/>
        <v>0</v>
      </c>
      <c r="K80" s="165">
        <f t="shared" si="17"/>
        <v>34222</v>
      </c>
      <c r="L80" s="13"/>
      <c r="M80" s="165">
        <f t="shared" si="18"/>
        <v>34222</v>
      </c>
      <c r="N80" s="165">
        <f>'Primary 1-5'!G56</f>
        <v>0</v>
      </c>
      <c r="O80" s="165">
        <f t="shared" si="19"/>
        <v>34222</v>
      </c>
      <c r="P80" s="165">
        <f t="shared" si="23"/>
        <v>0</v>
      </c>
      <c r="Q80" s="165">
        <f t="shared" si="20"/>
        <v>0</v>
      </c>
      <c r="R80" s="165">
        <f t="shared" si="21"/>
        <v>307.99799999999999</v>
      </c>
      <c r="S80" s="165">
        <f t="shared" si="24"/>
        <v>4.738430769230769</v>
      </c>
      <c r="T80" s="165">
        <f t="shared" si="22"/>
        <v>0</v>
      </c>
      <c r="U80" s="165">
        <f t="shared" si="25"/>
        <v>4.738430769230769</v>
      </c>
    </row>
    <row r="81" spans="1:21" s="43" customFormat="1" ht="14.45" customHeight="1">
      <c r="A81" s="165">
        <v>5</v>
      </c>
      <c r="B81" s="166" t="s">
        <v>5</v>
      </c>
      <c r="C81" s="416"/>
      <c r="D81" s="167">
        <v>13</v>
      </c>
      <c r="E81" s="172">
        <v>34222</v>
      </c>
      <c r="F81" s="169">
        <v>2</v>
      </c>
      <c r="G81" s="169">
        <f t="shared" si="14"/>
        <v>222443</v>
      </c>
      <c r="H81" s="171"/>
      <c r="I81" s="169">
        <f t="shared" si="15"/>
        <v>222443</v>
      </c>
      <c r="J81" s="165">
        <f t="shared" si="16"/>
        <v>0</v>
      </c>
      <c r="K81" s="165">
        <f t="shared" si="17"/>
        <v>34222</v>
      </c>
      <c r="L81" s="13"/>
      <c r="M81" s="165">
        <f t="shared" si="18"/>
        <v>34222</v>
      </c>
      <c r="N81" s="165">
        <f>'Primary 1-5'!H56</f>
        <v>0</v>
      </c>
      <c r="O81" s="165">
        <f t="shared" si="19"/>
        <v>34222</v>
      </c>
      <c r="P81" s="165">
        <f t="shared" si="23"/>
        <v>0</v>
      </c>
      <c r="Q81" s="165">
        <f t="shared" si="20"/>
        <v>0</v>
      </c>
      <c r="R81" s="165">
        <f t="shared" si="21"/>
        <v>444.88600000000002</v>
      </c>
      <c r="S81" s="165">
        <f t="shared" si="24"/>
        <v>6.8444000000000003</v>
      </c>
      <c r="T81" s="165">
        <f t="shared" si="22"/>
        <v>0</v>
      </c>
      <c r="U81" s="165">
        <f t="shared" si="25"/>
        <v>6.8444000000000003</v>
      </c>
    </row>
    <row r="82" spans="1:21" s="43" customFormat="1" ht="14.45" customHeight="1">
      <c r="A82" s="165">
        <v>6</v>
      </c>
      <c r="B82" s="166" t="s">
        <v>6</v>
      </c>
      <c r="C82" s="417"/>
      <c r="D82" s="167">
        <v>17</v>
      </c>
      <c r="E82" s="172">
        <v>34222</v>
      </c>
      <c r="F82" s="169">
        <v>2</v>
      </c>
      <c r="G82" s="169">
        <f t="shared" si="14"/>
        <v>290887</v>
      </c>
      <c r="H82" s="171"/>
      <c r="I82" s="169">
        <f t="shared" si="15"/>
        <v>290887</v>
      </c>
      <c r="J82" s="165">
        <f t="shared" si="16"/>
        <v>0</v>
      </c>
      <c r="K82" s="165">
        <f t="shared" si="17"/>
        <v>34222</v>
      </c>
      <c r="L82" s="13"/>
      <c r="M82" s="165">
        <f t="shared" si="18"/>
        <v>34222</v>
      </c>
      <c r="N82" s="165">
        <f>'Primary 1-5'!I56</f>
        <v>0</v>
      </c>
      <c r="O82" s="165">
        <f t="shared" si="19"/>
        <v>34222</v>
      </c>
      <c r="P82" s="165">
        <f t="shared" si="23"/>
        <v>0</v>
      </c>
      <c r="Q82" s="165">
        <f t="shared" si="20"/>
        <v>0</v>
      </c>
      <c r="R82" s="165">
        <f t="shared" si="21"/>
        <v>581.774</v>
      </c>
      <c r="S82" s="165">
        <f t="shared" si="24"/>
        <v>8.9503692307692315</v>
      </c>
      <c r="T82" s="165">
        <f t="shared" si="22"/>
        <v>0</v>
      </c>
      <c r="U82" s="165">
        <f t="shared" si="25"/>
        <v>8.9503692307692315</v>
      </c>
    </row>
    <row r="83" spans="1:21" s="43" customFormat="1" ht="14.45" customHeight="1">
      <c r="A83" s="165">
        <v>7</v>
      </c>
      <c r="B83" s="166" t="s">
        <v>4</v>
      </c>
      <c r="C83" s="415" t="s">
        <v>14</v>
      </c>
      <c r="D83" s="170">
        <v>13.5</v>
      </c>
      <c r="E83" s="172">
        <v>34662</v>
      </c>
      <c r="F83" s="169">
        <v>2</v>
      </c>
      <c r="G83" s="169">
        <f t="shared" si="14"/>
        <v>233968.5</v>
      </c>
      <c r="H83" s="171"/>
      <c r="I83" s="169">
        <f t="shared" si="15"/>
        <v>233968.5</v>
      </c>
      <c r="J83" s="165">
        <f t="shared" si="16"/>
        <v>0</v>
      </c>
      <c r="K83" s="165">
        <f t="shared" si="17"/>
        <v>34662</v>
      </c>
      <c r="L83" s="13"/>
      <c r="M83" s="165">
        <f t="shared" si="18"/>
        <v>34662</v>
      </c>
      <c r="N83" s="165">
        <f>'Primary 1-5'!J56</f>
        <v>0</v>
      </c>
      <c r="O83" s="165">
        <f t="shared" si="19"/>
        <v>34662</v>
      </c>
      <c r="P83" s="165">
        <f t="shared" si="23"/>
        <v>0</v>
      </c>
      <c r="Q83" s="165">
        <f t="shared" si="20"/>
        <v>0</v>
      </c>
      <c r="R83" s="165">
        <f t="shared" si="21"/>
        <v>467.93700000000001</v>
      </c>
      <c r="S83" s="165">
        <f t="shared" si="24"/>
        <v>7.1990307692307693</v>
      </c>
      <c r="T83" s="165">
        <f t="shared" si="22"/>
        <v>0</v>
      </c>
      <c r="U83" s="165">
        <f t="shared" si="25"/>
        <v>7.1990307692307693</v>
      </c>
    </row>
    <row r="84" spans="1:21" s="43" customFormat="1" ht="14.45" customHeight="1">
      <c r="A84" s="165">
        <v>8</v>
      </c>
      <c r="B84" s="166" t="s">
        <v>5</v>
      </c>
      <c r="C84" s="416"/>
      <c r="D84" s="167">
        <v>16</v>
      </c>
      <c r="E84" s="172">
        <v>34662</v>
      </c>
      <c r="F84" s="169">
        <v>2</v>
      </c>
      <c r="G84" s="169">
        <f t="shared" si="14"/>
        <v>277296</v>
      </c>
      <c r="H84" s="171"/>
      <c r="I84" s="169">
        <f t="shared" si="15"/>
        <v>277296</v>
      </c>
      <c r="J84" s="165">
        <f t="shared" si="16"/>
        <v>0</v>
      </c>
      <c r="K84" s="165">
        <f t="shared" si="17"/>
        <v>34662</v>
      </c>
      <c r="L84" s="13"/>
      <c r="M84" s="165">
        <f t="shared" si="18"/>
        <v>34662</v>
      </c>
      <c r="N84" s="165">
        <f>'Primary 1-5'!K56</f>
        <v>0</v>
      </c>
      <c r="O84" s="165">
        <f t="shared" si="19"/>
        <v>34662</v>
      </c>
      <c r="P84" s="165">
        <f t="shared" si="23"/>
        <v>0</v>
      </c>
      <c r="Q84" s="165">
        <f t="shared" si="20"/>
        <v>0</v>
      </c>
      <c r="R84" s="165">
        <f t="shared" si="21"/>
        <v>554.59199999999998</v>
      </c>
      <c r="S84" s="165">
        <f t="shared" si="24"/>
        <v>8.5321846153846153</v>
      </c>
      <c r="T84" s="165">
        <f t="shared" si="22"/>
        <v>0</v>
      </c>
      <c r="U84" s="165">
        <f t="shared" si="25"/>
        <v>8.5321846153846153</v>
      </c>
    </row>
    <row r="85" spans="1:21" s="43" customFormat="1" ht="14.45" customHeight="1">
      <c r="A85" s="165">
        <v>9</v>
      </c>
      <c r="B85" s="166" t="s">
        <v>6</v>
      </c>
      <c r="C85" s="416"/>
      <c r="D85" s="167">
        <v>20</v>
      </c>
      <c r="E85" s="172">
        <v>34662</v>
      </c>
      <c r="F85" s="169">
        <v>2</v>
      </c>
      <c r="G85" s="169">
        <f t="shared" si="14"/>
        <v>346620</v>
      </c>
      <c r="H85" s="171"/>
      <c r="I85" s="169">
        <f t="shared" si="15"/>
        <v>346620</v>
      </c>
      <c r="J85" s="165">
        <f t="shared" si="16"/>
        <v>0</v>
      </c>
      <c r="K85" s="165">
        <f t="shared" si="17"/>
        <v>34662</v>
      </c>
      <c r="L85" s="13"/>
      <c r="M85" s="165">
        <f t="shared" si="18"/>
        <v>34662</v>
      </c>
      <c r="N85" s="165">
        <f>'Primary 1-5'!L56</f>
        <v>0</v>
      </c>
      <c r="O85" s="165">
        <f t="shared" si="19"/>
        <v>34662</v>
      </c>
      <c r="P85" s="165">
        <f t="shared" si="23"/>
        <v>0</v>
      </c>
      <c r="Q85" s="165">
        <f t="shared" si="20"/>
        <v>0</v>
      </c>
      <c r="R85" s="165">
        <f t="shared" si="21"/>
        <v>693.24</v>
      </c>
      <c r="S85" s="165">
        <f t="shared" si="24"/>
        <v>10.665230769230769</v>
      </c>
      <c r="T85" s="165">
        <f t="shared" si="22"/>
        <v>0</v>
      </c>
      <c r="U85" s="165">
        <f t="shared" si="25"/>
        <v>10.665230769230769</v>
      </c>
    </row>
    <row r="86" spans="1:21" s="43" customFormat="1" ht="14.45" customHeight="1">
      <c r="A86" s="165">
        <v>10</v>
      </c>
      <c r="B86" s="166" t="s">
        <v>204</v>
      </c>
      <c r="C86" s="416"/>
      <c r="D86" s="170">
        <v>14.5</v>
      </c>
      <c r="E86" s="172">
        <v>34662</v>
      </c>
      <c r="F86" s="169">
        <v>2</v>
      </c>
      <c r="G86" s="169">
        <f t="shared" si="14"/>
        <v>251299.5</v>
      </c>
      <c r="H86" s="171"/>
      <c r="I86" s="169">
        <f t="shared" si="15"/>
        <v>251299.5</v>
      </c>
      <c r="J86" s="165">
        <f t="shared" si="16"/>
        <v>0</v>
      </c>
      <c r="K86" s="165">
        <f t="shared" si="17"/>
        <v>34662</v>
      </c>
      <c r="L86" s="13"/>
      <c r="M86" s="165">
        <f t="shared" si="18"/>
        <v>34662</v>
      </c>
      <c r="N86" s="165">
        <f>'Primary 1-5'!M56</f>
        <v>0</v>
      </c>
      <c r="O86" s="165">
        <f t="shared" si="19"/>
        <v>34662</v>
      </c>
      <c r="P86" s="165">
        <f t="shared" si="23"/>
        <v>0</v>
      </c>
      <c r="Q86" s="165">
        <f t="shared" si="20"/>
        <v>0</v>
      </c>
      <c r="R86" s="165">
        <f t="shared" si="21"/>
        <v>502.59899999999999</v>
      </c>
      <c r="S86" s="165">
        <f t="shared" si="24"/>
        <v>7.7322923076923074</v>
      </c>
      <c r="T86" s="165">
        <f t="shared" si="22"/>
        <v>0</v>
      </c>
      <c r="U86" s="165">
        <f t="shared" si="25"/>
        <v>7.7322923076923074</v>
      </c>
    </row>
    <row r="87" spans="1:21" s="43" customFormat="1" ht="14.45" customHeight="1">
      <c r="A87" s="165">
        <v>11</v>
      </c>
      <c r="B87" s="166" t="s">
        <v>7</v>
      </c>
      <c r="C87" s="416"/>
      <c r="D87" s="167">
        <v>19</v>
      </c>
      <c r="E87" s="172">
        <v>34662</v>
      </c>
      <c r="F87" s="169">
        <v>2</v>
      </c>
      <c r="G87" s="169">
        <f t="shared" si="14"/>
        <v>329289</v>
      </c>
      <c r="H87" s="171"/>
      <c r="I87" s="169">
        <f t="shared" si="15"/>
        <v>329289</v>
      </c>
      <c r="J87" s="165">
        <f t="shared" si="16"/>
        <v>0</v>
      </c>
      <c r="K87" s="165">
        <f t="shared" si="17"/>
        <v>34662</v>
      </c>
      <c r="L87" s="13"/>
      <c r="M87" s="165">
        <f t="shared" si="18"/>
        <v>34662</v>
      </c>
      <c r="N87" s="165">
        <f>'Primary 1-5'!N56</f>
        <v>0</v>
      </c>
      <c r="O87" s="165">
        <f t="shared" si="19"/>
        <v>34662</v>
      </c>
      <c r="P87" s="165">
        <f t="shared" si="23"/>
        <v>0</v>
      </c>
      <c r="Q87" s="165">
        <f t="shared" si="20"/>
        <v>0</v>
      </c>
      <c r="R87" s="165">
        <f t="shared" si="21"/>
        <v>658.57799999999997</v>
      </c>
      <c r="S87" s="165">
        <f t="shared" si="24"/>
        <v>10.131969230769231</v>
      </c>
      <c r="T87" s="165">
        <f t="shared" si="22"/>
        <v>0</v>
      </c>
      <c r="U87" s="165">
        <f t="shared" si="25"/>
        <v>10.131969230769231</v>
      </c>
    </row>
    <row r="88" spans="1:21" s="43" customFormat="1" ht="14.45" customHeight="1">
      <c r="A88" s="165">
        <v>12</v>
      </c>
      <c r="B88" s="166" t="s">
        <v>8</v>
      </c>
      <c r="C88" s="416"/>
      <c r="D88" s="167">
        <v>9</v>
      </c>
      <c r="E88" s="172">
        <v>30510</v>
      </c>
      <c r="F88" s="169">
        <v>2</v>
      </c>
      <c r="G88" s="169">
        <f t="shared" si="14"/>
        <v>137295</v>
      </c>
      <c r="H88" s="171"/>
      <c r="I88" s="169">
        <f t="shared" si="15"/>
        <v>137295</v>
      </c>
      <c r="J88" s="165">
        <f t="shared" si="16"/>
        <v>0</v>
      </c>
      <c r="K88" s="165">
        <f t="shared" si="17"/>
        <v>30510</v>
      </c>
      <c r="L88" s="13"/>
      <c r="M88" s="165">
        <f t="shared" si="18"/>
        <v>30510</v>
      </c>
      <c r="N88" s="165">
        <f>'Primary 1-5'!O56</f>
        <v>0</v>
      </c>
      <c r="O88" s="165">
        <f t="shared" si="19"/>
        <v>30510</v>
      </c>
      <c r="P88" s="165">
        <f t="shared" si="23"/>
        <v>0</v>
      </c>
      <c r="Q88" s="165">
        <f t="shared" si="20"/>
        <v>0</v>
      </c>
      <c r="R88" s="165">
        <f t="shared" si="21"/>
        <v>274.58999999999997</v>
      </c>
      <c r="S88" s="165">
        <f t="shared" si="24"/>
        <v>4.2244615384615383</v>
      </c>
      <c r="T88" s="165">
        <f t="shared" si="22"/>
        <v>0</v>
      </c>
      <c r="U88" s="165">
        <f t="shared" si="25"/>
        <v>4.2244615384615383</v>
      </c>
    </row>
    <row r="89" spans="1:21" s="43" customFormat="1" ht="14.45" customHeight="1">
      <c r="A89" s="165">
        <v>13</v>
      </c>
      <c r="B89" s="166" t="s">
        <v>9</v>
      </c>
      <c r="C89" s="417"/>
      <c r="D89" s="167">
        <v>11.5</v>
      </c>
      <c r="E89" s="172">
        <v>4011</v>
      </c>
      <c r="F89" s="169">
        <v>2</v>
      </c>
      <c r="G89" s="169">
        <f t="shared" si="14"/>
        <v>23063.25</v>
      </c>
      <c r="H89" s="171"/>
      <c r="I89" s="169">
        <f t="shared" si="15"/>
        <v>23063.25</v>
      </c>
      <c r="J89" s="165">
        <f t="shared" si="16"/>
        <v>0</v>
      </c>
      <c r="K89" s="165">
        <f t="shared" si="17"/>
        <v>4011</v>
      </c>
      <c r="L89" s="13"/>
      <c r="M89" s="165">
        <f t="shared" si="18"/>
        <v>4011</v>
      </c>
      <c r="N89" s="165">
        <f>'Primary 1-5'!P56</f>
        <v>0</v>
      </c>
      <c r="O89" s="165">
        <f t="shared" si="19"/>
        <v>4011</v>
      </c>
      <c r="P89" s="165">
        <f t="shared" si="23"/>
        <v>0</v>
      </c>
      <c r="Q89" s="165">
        <f t="shared" si="20"/>
        <v>0</v>
      </c>
      <c r="R89" s="165">
        <f t="shared" si="21"/>
        <v>46.1265</v>
      </c>
      <c r="S89" s="165">
        <f t="shared" si="24"/>
        <v>0.70963846153846155</v>
      </c>
      <c r="T89" s="165">
        <f t="shared" si="22"/>
        <v>0</v>
      </c>
      <c r="U89" s="165">
        <f t="shared" si="25"/>
        <v>0.70963846153846155</v>
      </c>
    </row>
    <row r="90" spans="1:21" s="43" customFormat="1" ht="14.45" customHeight="1">
      <c r="A90" s="165">
        <v>14</v>
      </c>
      <c r="B90" s="166" t="s">
        <v>4</v>
      </c>
      <c r="C90" s="415" t="s">
        <v>52</v>
      </c>
      <c r="D90" s="167">
        <v>16.5</v>
      </c>
      <c r="E90" s="172">
        <v>33805</v>
      </c>
      <c r="F90" s="169">
        <v>2</v>
      </c>
      <c r="G90" s="169">
        <f t="shared" si="14"/>
        <v>278891.25</v>
      </c>
      <c r="H90" s="171"/>
      <c r="I90" s="169">
        <f t="shared" si="15"/>
        <v>278891.25</v>
      </c>
      <c r="J90" s="165">
        <f t="shared" si="16"/>
        <v>0</v>
      </c>
      <c r="K90" s="165">
        <f t="shared" si="17"/>
        <v>33805</v>
      </c>
      <c r="L90" s="13"/>
      <c r="M90" s="165">
        <f t="shared" si="18"/>
        <v>33805</v>
      </c>
      <c r="N90" s="165">
        <f>'Primary 1-5'!Q56</f>
        <v>0</v>
      </c>
      <c r="O90" s="165">
        <f t="shared" si="19"/>
        <v>33805</v>
      </c>
      <c r="P90" s="165">
        <f t="shared" si="23"/>
        <v>0</v>
      </c>
      <c r="Q90" s="165">
        <f t="shared" si="20"/>
        <v>0</v>
      </c>
      <c r="R90" s="165">
        <f t="shared" si="21"/>
        <v>557.78250000000003</v>
      </c>
      <c r="S90" s="165">
        <f t="shared" si="24"/>
        <v>8.581269230769232</v>
      </c>
      <c r="T90" s="165">
        <f t="shared" si="22"/>
        <v>0</v>
      </c>
      <c r="U90" s="165">
        <f t="shared" si="25"/>
        <v>8.581269230769232</v>
      </c>
    </row>
    <row r="91" spans="1:21" s="43" customFormat="1" ht="14.45" customHeight="1">
      <c r="A91" s="165">
        <v>15</v>
      </c>
      <c r="B91" s="166" t="s">
        <v>5</v>
      </c>
      <c r="C91" s="416"/>
      <c r="D91" s="167">
        <v>12</v>
      </c>
      <c r="E91" s="172">
        <v>33805</v>
      </c>
      <c r="F91" s="169">
        <v>2</v>
      </c>
      <c r="G91" s="169">
        <f t="shared" si="14"/>
        <v>202830</v>
      </c>
      <c r="H91" s="171"/>
      <c r="I91" s="169">
        <f t="shared" si="15"/>
        <v>202830</v>
      </c>
      <c r="J91" s="165">
        <f t="shared" si="16"/>
        <v>0</v>
      </c>
      <c r="K91" s="165">
        <f t="shared" si="17"/>
        <v>33805</v>
      </c>
      <c r="L91" s="13"/>
      <c r="M91" s="165">
        <f t="shared" si="18"/>
        <v>33805</v>
      </c>
      <c r="N91" s="165">
        <f>'Primary 1-5'!R56</f>
        <v>0</v>
      </c>
      <c r="O91" s="165">
        <f t="shared" si="19"/>
        <v>33805</v>
      </c>
      <c r="P91" s="165">
        <f t="shared" si="23"/>
        <v>0</v>
      </c>
      <c r="Q91" s="165">
        <f t="shared" si="20"/>
        <v>0</v>
      </c>
      <c r="R91" s="165">
        <f t="shared" si="21"/>
        <v>405.66</v>
      </c>
      <c r="S91" s="165">
        <f t="shared" si="24"/>
        <v>6.2409230769230772</v>
      </c>
      <c r="T91" s="165">
        <f t="shared" si="22"/>
        <v>0</v>
      </c>
      <c r="U91" s="165">
        <f t="shared" si="25"/>
        <v>6.2409230769230772</v>
      </c>
    </row>
    <row r="92" spans="1:21" s="43" customFormat="1" ht="14.45" customHeight="1">
      <c r="A92" s="165">
        <v>16</v>
      </c>
      <c r="B92" s="166" t="s">
        <v>6</v>
      </c>
      <c r="C92" s="416"/>
      <c r="D92" s="167">
        <v>22.5</v>
      </c>
      <c r="E92" s="172">
        <v>33805</v>
      </c>
      <c r="F92" s="169">
        <v>2</v>
      </c>
      <c r="G92" s="169">
        <f t="shared" si="14"/>
        <v>380306.25</v>
      </c>
      <c r="H92" s="171"/>
      <c r="I92" s="169">
        <f t="shared" si="15"/>
        <v>380306.25</v>
      </c>
      <c r="J92" s="165">
        <f t="shared" si="16"/>
        <v>0</v>
      </c>
      <c r="K92" s="165">
        <f t="shared" si="17"/>
        <v>33805</v>
      </c>
      <c r="L92" s="13"/>
      <c r="M92" s="165">
        <f t="shared" si="18"/>
        <v>33805</v>
      </c>
      <c r="N92" s="165">
        <f>'Primary 1-5'!S56</f>
        <v>0</v>
      </c>
      <c r="O92" s="165">
        <f t="shared" si="19"/>
        <v>33805</v>
      </c>
      <c r="P92" s="165">
        <f t="shared" si="23"/>
        <v>0</v>
      </c>
      <c r="Q92" s="165">
        <f t="shared" si="20"/>
        <v>0</v>
      </c>
      <c r="R92" s="165">
        <f t="shared" si="21"/>
        <v>760.61249999999995</v>
      </c>
      <c r="S92" s="165">
        <f t="shared" si="24"/>
        <v>11.701730769230769</v>
      </c>
      <c r="T92" s="165">
        <f t="shared" si="22"/>
        <v>0</v>
      </c>
      <c r="U92" s="165">
        <f t="shared" si="25"/>
        <v>11.701730769230769</v>
      </c>
    </row>
    <row r="93" spans="1:21" s="43" customFormat="1" ht="14.45" customHeight="1">
      <c r="A93" s="165">
        <v>17</v>
      </c>
      <c r="B93" s="166" t="s">
        <v>204</v>
      </c>
      <c r="C93" s="416"/>
      <c r="D93" s="167">
        <v>15</v>
      </c>
      <c r="E93" s="172">
        <v>33805</v>
      </c>
      <c r="F93" s="169">
        <v>2</v>
      </c>
      <c r="G93" s="169">
        <f t="shared" si="14"/>
        <v>253537.5</v>
      </c>
      <c r="H93" s="171"/>
      <c r="I93" s="169">
        <f t="shared" si="15"/>
        <v>253537.5</v>
      </c>
      <c r="J93" s="165">
        <f t="shared" si="16"/>
        <v>0</v>
      </c>
      <c r="K93" s="165">
        <f t="shared" si="17"/>
        <v>33805</v>
      </c>
      <c r="L93" s="13"/>
      <c r="M93" s="165">
        <f t="shared" si="18"/>
        <v>33805</v>
      </c>
      <c r="N93" s="165">
        <f>'Primary 1-5'!T56</f>
        <v>0</v>
      </c>
      <c r="O93" s="165">
        <f t="shared" si="19"/>
        <v>33805</v>
      </c>
      <c r="P93" s="165">
        <f t="shared" si="23"/>
        <v>0</v>
      </c>
      <c r="Q93" s="165">
        <f t="shared" si="20"/>
        <v>0</v>
      </c>
      <c r="R93" s="165">
        <f t="shared" si="21"/>
        <v>507.07499999999999</v>
      </c>
      <c r="S93" s="165">
        <f t="shared" si="24"/>
        <v>7.8011538461538459</v>
      </c>
      <c r="T93" s="165">
        <f t="shared" si="22"/>
        <v>0</v>
      </c>
      <c r="U93" s="165">
        <f t="shared" si="25"/>
        <v>7.8011538461538459</v>
      </c>
    </row>
    <row r="94" spans="1:21" s="43" customFormat="1" ht="14.45" customHeight="1">
      <c r="A94" s="165">
        <v>18</v>
      </c>
      <c r="B94" s="166" t="s">
        <v>7</v>
      </c>
      <c r="C94" s="416"/>
      <c r="D94" s="167">
        <v>19.5</v>
      </c>
      <c r="E94" s="172">
        <v>33805</v>
      </c>
      <c r="F94" s="169">
        <v>2</v>
      </c>
      <c r="G94" s="169">
        <f t="shared" si="14"/>
        <v>329598.75</v>
      </c>
      <c r="H94" s="171"/>
      <c r="I94" s="169">
        <f t="shared" si="15"/>
        <v>329598.75</v>
      </c>
      <c r="J94" s="165">
        <f t="shared" si="16"/>
        <v>0</v>
      </c>
      <c r="K94" s="165">
        <f t="shared" si="17"/>
        <v>33805</v>
      </c>
      <c r="L94" s="13"/>
      <c r="M94" s="165">
        <f t="shared" si="18"/>
        <v>33805</v>
      </c>
      <c r="N94" s="165">
        <f>'Primary 1-5'!U56</f>
        <v>0</v>
      </c>
      <c r="O94" s="165">
        <f t="shared" si="19"/>
        <v>33805</v>
      </c>
      <c r="P94" s="165">
        <f t="shared" si="23"/>
        <v>0</v>
      </c>
      <c r="Q94" s="165">
        <f t="shared" si="20"/>
        <v>0</v>
      </c>
      <c r="R94" s="165">
        <f t="shared" si="21"/>
        <v>659.19749999999999</v>
      </c>
      <c r="S94" s="165">
        <f t="shared" si="24"/>
        <v>10.141500000000001</v>
      </c>
      <c r="T94" s="165">
        <f t="shared" si="22"/>
        <v>0</v>
      </c>
      <c r="U94" s="165">
        <f t="shared" si="25"/>
        <v>10.141500000000001</v>
      </c>
    </row>
    <row r="95" spans="1:21" s="43" customFormat="1" ht="14.45" customHeight="1">
      <c r="A95" s="165">
        <v>19</v>
      </c>
      <c r="B95" s="166" t="s">
        <v>8</v>
      </c>
      <c r="C95" s="416"/>
      <c r="D95" s="167">
        <v>10</v>
      </c>
      <c r="E95" s="172">
        <v>29915</v>
      </c>
      <c r="F95" s="169">
        <v>2</v>
      </c>
      <c r="G95" s="169">
        <f t="shared" si="14"/>
        <v>149575</v>
      </c>
      <c r="H95" s="171"/>
      <c r="I95" s="169">
        <f t="shared" si="15"/>
        <v>149575</v>
      </c>
      <c r="J95" s="165">
        <f t="shared" si="16"/>
        <v>0</v>
      </c>
      <c r="K95" s="165">
        <f t="shared" si="17"/>
        <v>29915</v>
      </c>
      <c r="L95" s="13"/>
      <c r="M95" s="165">
        <f t="shared" si="18"/>
        <v>29915</v>
      </c>
      <c r="N95" s="165">
        <f>'Primary 1-5'!V56</f>
        <v>0</v>
      </c>
      <c r="O95" s="165">
        <f t="shared" si="19"/>
        <v>29915</v>
      </c>
      <c r="P95" s="165">
        <f t="shared" si="23"/>
        <v>0</v>
      </c>
      <c r="Q95" s="165">
        <f t="shared" si="20"/>
        <v>0</v>
      </c>
      <c r="R95" s="165">
        <f t="shared" si="21"/>
        <v>299.14999999999998</v>
      </c>
      <c r="S95" s="165">
        <f t="shared" si="24"/>
        <v>4.6023076923076918</v>
      </c>
      <c r="T95" s="165">
        <f t="shared" si="22"/>
        <v>0</v>
      </c>
      <c r="U95" s="165">
        <f t="shared" si="25"/>
        <v>4.6023076923076918</v>
      </c>
    </row>
    <row r="96" spans="1:21" s="43" customFormat="1" ht="14.45" customHeight="1">
      <c r="A96" s="165">
        <v>20</v>
      </c>
      <c r="B96" s="166" t="s">
        <v>9</v>
      </c>
      <c r="C96" s="417"/>
      <c r="D96" s="167">
        <v>13.5</v>
      </c>
      <c r="E96" s="172">
        <v>3748</v>
      </c>
      <c r="F96" s="169">
        <v>2</v>
      </c>
      <c r="G96" s="169">
        <f t="shared" si="14"/>
        <v>25299</v>
      </c>
      <c r="H96" s="171"/>
      <c r="I96" s="169">
        <f t="shared" si="15"/>
        <v>25299</v>
      </c>
      <c r="J96" s="165">
        <f t="shared" si="16"/>
        <v>0</v>
      </c>
      <c r="K96" s="165">
        <f t="shared" si="17"/>
        <v>3748</v>
      </c>
      <c r="L96" s="13"/>
      <c r="M96" s="165">
        <f t="shared" si="18"/>
        <v>3748</v>
      </c>
      <c r="N96" s="165">
        <f>'Primary 1-5'!W56</f>
        <v>0</v>
      </c>
      <c r="O96" s="165">
        <f t="shared" si="19"/>
        <v>3748</v>
      </c>
      <c r="P96" s="165">
        <f t="shared" si="23"/>
        <v>0</v>
      </c>
      <c r="Q96" s="165">
        <f t="shared" si="20"/>
        <v>0</v>
      </c>
      <c r="R96" s="165">
        <f t="shared" si="21"/>
        <v>50.597999999999999</v>
      </c>
      <c r="S96" s="165">
        <f t="shared" si="24"/>
        <v>0.77843076923076926</v>
      </c>
      <c r="T96" s="165">
        <f t="shared" si="22"/>
        <v>0</v>
      </c>
      <c r="U96" s="165">
        <f t="shared" si="25"/>
        <v>0.77843076923076926</v>
      </c>
    </row>
    <row r="97" spans="1:21" s="43" customFormat="1" ht="14.45" customHeight="1">
      <c r="A97" s="165">
        <v>21</v>
      </c>
      <c r="B97" s="166" t="s">
        <v>4</v>
      </c>
      <c r="C97" s="415" t="s">
        <v>53</v>
      </c>
      <c r="D97" s="167">
        <v>17.5</v>
      </c>
      <c r="E97" s="172">
        <v>31481</v>
      </c>
      <c r="F97" s="169">
        <v>2</v>
      </c>
      <c r="G97" s="169">
        <f t="shared" si="14"/>
        <v>275458.75</v>
      </c>
      <c r="H97" s="171"/>
      <c r="I97" s="169">
        <f t="shared" si="15"/>
        <v>275458.75</v>
      </c>
      <c r="J97" s="165">
        <f t="shared" si="16"/>
        <v>0</v>
      </c>
      <c r="K97" s="165">
        <f t="shared" si="17"/>
        <v>31481</v>
      </c>
      <c r="L97" s="13"/>
      <c r="M97" s="165">
        <f t="shared" si="18"/>
        <v>31481</v>
      </c>
      <c r="N97" s="165">
        <f>'Primary 1-5'!X56</f>
        <v>0</v>
      </c>
      <c r="O97" s="165">
        <f t="shared" si="19"/>
        <v>31481</v>
      </c>
      <c r="P97" s="165">
        <f t="shared" si="23"/>
        <v>0</v>
      </c>
      <c r="Q97" s="165">
        <f t="shared" si="20"/>
        <v>0</v>
      </c>
      <c r="R97" s="165">
        <f t="shared" si="21"/>
        <v>550.91750000000002</v>
      </c>
      <c r="S97" s="165">
        <f t="shared" si="24"/>
        <v>8.4756538461538469</v>
      </c>
      <c r="T97" s="165">
        <f t="shared" si="22"/>
        <v>0</v>
      </c>
      <c r="U97" s="165">
        <f t="shared" si="25"/>
        <v>8.4756538461538469</v>
      </c>
    </row>
    <row r="98" spans="1:21" s="43" customFormat="1" ht="14.45" customHeight="1">
      <c r="A98" s="165">
        <v>22</v>
      </c>
      <c r="B98" s="166" t="s">
        <v>5</v>
      </c>
      <c r="C98" s="416"/>
      <c r="D98" s="167">
        <v>14.5</v>
      </c>
      <c r="E98" s="172">
        <v>31481</v>
      </c>
      <c r="F98" s="169">
        <v>2</v>
      </c>
      <c r="G98" s="169">
        <f t="shared" si="14"/>
        <v>228237.25</v>
      </c>
      <c r="H98" s="171"/>
      <c r="I98" s="169">
        <f t="shared" si="15"/>
        <v>228237.25</v>
      </c>
      <c r="J98" s="165">
        <f t="shared" si="16"/>
        <v>0</v>
      </c>
      <c r="K98" s="165">
        <f t="shared" si="17"/>
        <v>31481</v>
      </c>
      <c r="L98" s="13"/>
      <c r="M98" s="165">
        <f t="shared" si="18"/>
        <v>31481</v>
      </c>
      <c r="N98" s="165">
        <f>'Primary 1-5'!Y56</f>
        <v>0</v>
      </c>
      <c r="O98" s="165">
        <f t="shared" si="19"/>
        <v>31481</v>
      </c>
      <c r="P98" s="165">
        <f t="shared" si="23"/>
        <v>0</v>
      </c>
      <c r="Q98" s="165">
        <f t="shared" si="20"/>
        <v>0</v>
      </c>
      <c r="R98" s="165">
        <f t="shared" si="21"/>
        <v>456.47449999999998</v>
      </c>
      <c r="S98" s="165">
        <f t="shared" si="24"/>
        <v>7.0226846153846152</v>
      </c>
      <c r="T98" s="165">
        <f t="shared" si="22"/>
        <v>0</v>
      </c>
      <c r="U98" s="165">
        <f t="shared" si="25"/>
        <v>7.0226846153846152</v>
      </c>
    </row>
    <row r="99" spans="1:21" s="43" customFormat="1" ht="14.45" customHeight="1">
      <c r="A99" s="165">
        <v>23</v>
      </c>
      <c r="B99" s="166" t="s">
        <v>6</v>
      </c>
      <c r="C99" s="416"/>
      <c r="D99" s="167">
        <v>23.5</v>
      </c>
      <c r="E99" s="172">
        <v>31481</v>
      </c>
      <c r="F99" s="169">
        <v>2</v>
      </c>
      <c r="G99" s="169">
        <f t="shared" si="14"/>
        <v>369901.75</v>
      </c>
      <c r="H99" s="171"/>
      <c r="I99" s="169">
        <f t="shared" si="15"/>
        <v>369901.75</v>
      </c>
      <c r="J99" s="165">
        <f t="shared" si="16"/>
        <v>0</v>
      </c>
      <c r="K99" s="165">
        <f t="shared" si="17"/>
        <v>31481</v>
      </c>
      <c r="L99" s="13"/>
      <c r="M99" s="165">
        <f t="shared" si="18"/>
        <v>31481</v>
      </c>
      <c r="N99" s="165">
        <f>'Primary 1-5'!Z56</f>
        <v>0</v>
      </c>
      <c r="O99" s="165">
        <f t="shared" si="19"/>
        <v>31481</v>
      </c>
      <c r="P99" s="165">
        <f t="shared" si="23"/>
        <v>0</v>
      </c>
      <c r="Q99" s="165">
        <f t="shared" si="20"/>
        <v>0</v>
      </c>
      <c r="R99" s="165">
        <f t="shared" si="21"/>
        <v>739.80349999999999</v>
      </c>
      <c r="S99" s="165">
        <f t="shared" si="24"/>
        <v>11.381592307692307</v>
      </c>
      <c r="T99" s="165">
        <f t="shared" si="22"/>
        <v>0</v>
      </c>
      <c r="U99" s="165">
        <f t="shared" si="25"/>
        <v>11.381592307692307</v>
      </c>
    </row>
    <row r="100" spans="1:21" s="43" customFormat="1" ht="14.45" customHeight="1">
      <c r="A100" s="165">
        <v>24</v>
      </c>
      <c r="B100" s="166" t="s">
        <v>204</v>
      </c>
      <c r="C100" s="416"/>
      <c r="D100" s="167">
        <v>20.5</v>
      </c>
      <c r="E100" s="172">
        <v>31481</v>
      </c>
      <c r="F100" s="169">
        <v>2</v>
      </c>
      <c r="G100" s="169">
        <f t="shared" si="14"/>
        <v>322680.25</v>
      </c>
      <c r="H100" s="171"/>
      <c r="I100" s="169">
        <f t="shared" si="15"/>
        <v>322680.25</v>
      </c>
      <c r="J100" s="165">
        <f t="shared" si="16"/>
        <v>0</v>
      </c>
      <c r="K100" s="165">
        <f t="shared" si="17"/>
        <v>31481</v>
      </c>
      <c r="L100" s="13"/>
      <c r="M100" s="165">
        <f t="shared" si="18"/>
        <v>31481</v>
      </c>
      <c r="N100" s="165">
        <f>'Primary 1-5'!AA56</f>
        <v>0</v>
      </c>
      <c r="O100" s="165">
        <f t="shared" si="19"/>
        <v>31481</v>
      </c>
      <c r="P100" s="165">
        <f t="shared" si="23"/>
        <v>0</v>
      </c>
      <c r="Q100" s="165">
        <f t="shared" si="20"/>
        <v>0</v>
      </c>
      <c r="R100" s="165">
        <f t="shared" si="21"/>
        <v>645.3605</v>
      </c>
      <c r="S100" s="165">
        <f t="shared" si="24"/>
        <v>9.9286230769230777</v>
      </c>
      <c r="T100" s="165">
        <f t="shared" si="22"/>
        <v>0</v>
      </c>
      <c r="U100" s="165">
        <f t="shared" si="25"/>
        <v>9.9286230769230777</v>
      </c>
    </row>
    <row r="101" spans="1:21" s="43" customFormat="1" ht="14.45" customHeight="1">
      <c r="A101" s="165">
        <v>25</v>
      </c>
      <c r="B101" s="166" t="s">
        <v>7</v>
      </c>
      <c r="C101" s="416"/>
      <c r="D101" s="167">
        <v>20.5</v>
      </c>
      <c r="E101" s="172">
        <v>31481</v>
      </c>
      <c r="F101" s="169">
        <v>2</v>
      </c>
      <c r="G101" s="169">
        <f t="shared" si="14"/>
        <v>322680.25</v>
      </c>
      <c r="H101" s="171"/>
      <c r="I101" s="169">
        <f t="shared" si="15"/>
        <v>322680.25</v>
      </c>
      <c r="J101" s="165">
        <f t="shared" si="16"/>
        <v>0</v>
      </c>
      <c r="K101" s="165">
        <f t="shared" si="17"/>
        <v>31481</v>
      </c>
      <c r="L101" s="13"/>
      <c r="M101" s="165">
        <f t="shared" si="18"/>
        <v>31481</v>
      </c>
      <c r="N101" s="165">
        <f>'Primary 1-5'!AB56</f>
        <v>0</v>
      </c>
      <c r="O101" s="165">
        <f t="shared" si="19"/>
        <v>31481</v>
      </c>
      <c r="P101" s="165">
        <f t="shared" si="23"/>
        <v>0</v>
      </c>
      <c r="Q101" s="165">
        <f t="shared" si="20"/>
        <v>0</v>
      </c>
      <c r="R101" s="165">
        <f t="shared" si="21"/>
        <v>645.3605</v>
      </c>
      <c r="S101" s="165">
        <f t="shared" si="24"/>
        <v>9.9286230769230777</v>
      </c>
      <c r="T101" s="165">
        <f t="shared" si="22"/>
        <v>0</v>
      </c>
      <c r="U101" s="165">
        <f t="shared" si="25"/>
        <v>9.9286230769230777</v>
      </c>
    </row>
    <row r="102" spans="1:21" s="43" customFormat="1" ht="14.45" customHeight="1">
      <c r="A102" s="165">
        <v>26</v>
      </c>
      <c r="B102" s="166" t="s">
        <v>8</v>
      </c>
      <c r="C102" s="416"/>
      <c r="D102" s="167">
        <v>10.5</v>
      </c>
      <c r="E102" s="172">
        <v>27782</v>
      </c>
      <c r="F102" s="169">
        <v>2</v>
      </c>
      <c r="G102" s="169">
        <f t="shared" si="14"/>
        <v>145855.5</v>
      </c>
      <c r="H102" s="171"/>
      <c r="I102" s="169">
        <f t="shared" si="15"/>
        <v>145855.5</v>
      </c>
      <c r="J102" s="165">
        <f t="shared" si="16"/>
        <v>0</v>
      </c>
      <c r="K102" s="165">
        <f t="shared" si="17"/>
        <v>27782</v>
      </c>
      <c r="L102" s="13"/>
      <c r="M102" s="165">
        <f t="shared" si="18"/>
        <v>27782</v>
      </c>
      <c r="N102" s="165">
        <f>'Primary 1-5'!AC56</f>
        <v>0</v>
      </c>
      <c r="O102" s="165">
        <f t="shared" si="19"/>
        <v>27782</v>
      </c>
      <c r="P102" s="165">
        <f t="shared" si="23"/>
        <v>0</v>
      </c>
      <c r="Q102" s="165">
        <f t="shared" si="20"/>
        <v>0</v>
      </c>
      <c r="R102" s="165">
        <f t="shared" si="21"/>
        <v>291.71100000000001</v>
      </c>
      <c r="S102" s="165">
        <f t="shared" si="24"/>
        <v>4.487861538461539</v>
      </c>
      <c r="T102" s="165">
        <f t="shared" si="22"/>
        <v>0</v>
      </c>
      <c r="U102" s="165">
        <f t="shared" si="25"/>
        <v>4.487861538461539</v>
      </c>
    </row>
    <row r="103" spans="1:21" s="43" customFormat="1" ht="14.45" customHeight="1">
      <c r="A103" s="165">
        <v>27</v>
      </c>
      <c r="B103" s="166" t="s">
        <v>9</v>
      </c>
      <c r="C103" s="417"/>
      <c r="D103" s="167">
        <v>12.5</v>
      </c>
      <c r="E103" s="172">
        <v>3549</v>
      </c>
      <c r="F103" s="169">
        <v>2</v>
      </c>
      <c r="G103" s="169">
        <f t="shared" si="14"/>
        <v>22181.25</v>
      </c>
      <c r="H103" s="171"/>
      <c r="I103" s="169">
        <f t="shared" si="15"/>
        <v>22181.25</v>
      </c>
      <c r="J103" s="165">
        <f t="shared" si="16"/>
        <v>0</v>
      </c>
      <c r="K103" s="165">
        <f t="shared" si="17"/>
        <v>3549</v>
      </c>
      <c r="L103" s="13"/>
      <c r="M103" s="165">
        <f t="shared" si="18"/>
        <v>3549</v>
      </c>
      <c r="N103" s="165">
        <f>'Primary 1-5'!AD56</f>
        <v>0</v>
      </c>
      <c r="O103" s="165">
        <f t="shared" si="19"/>
        <v>3549</v>
      </c>
      <c r="P103" s="165">
        <f t="shared" si="23"/>
        <v>0</v>
      </c>
      <c r="Q103" s="165">
        <f t="shared" si="20"/>
        <v>0</v>
      </c>
      <c r="R103" s="165">
        <f t="shared" si="21"/>
        <v>44.362499999999997</v>
      </c>
      <c r="S103" s="165">
        <f t="shared" si="24"/>
        <v>0.6825</v>
      </c>
      <c r="T103" s="165">
        <f t="shared" si="22"/>
        <v>0</v>
      </c>
      <c r="U103" s="165">
        <f t="shared" si="25"/>
        <v>0.6825</v>
      </c>
    </row>
    <row r="104" spans="1:21" s="43" customFormat="1" ht="14.45" customHeight="1">
      <c r="A104" s="403" t="s">
        <v>79</v>
      </c>
      <c r="B104" s="403"/>
      <c r="C104" s="403"/>
      <c r="D104" s="403"/>
      <c r="E104" s="42">
        <f t="shared" ref="E104:U104" si="26">SUM(E77:E103)</f>
        <v>806057</v>
      </c>
      <c r="F104" s="42">
        <f t="shared" si="26"/>
        <v>54</v>
      </c>
      <c r="G104" s="42">
        <f t="shared" si="26"/>
        <v>6232721</v>
      </c>
      <c r="H104" s="42">
        <f t="shared" si="26"/>
        <v>0</v>
      </c>
      <c r="I104" s="42">
        <f t="shared" si="26"/>
        <v>6232721</v>
      </c>
      <c r="J104" s="42">
        <f t="shared" si="26"/>
        <v>0</v>
      </c>
      <c r="K104" s="42">
        <f t="shared" si="26"/>
        <v>806057</v>
      </c>
      <c r="L104" s="42">
        <f t="shared" si="26"/>
        <v>0</v>
      </c>
      <c r="M104" s="42">
        <f t="shared" si="26"/>
        <v>806057</v>
      </c>
      <c r="N104" s="42">
        <f t="shared" si="26"/>
        <v>0</v>
      </c>
      <c r="O104" s="42">
        <f t="shared" si="26"/>
        <v>806057</v>
      </c>
      <c r="P104" s="42">
        <f t="shared" si="26"/>
        <v>0</v>
      </c>
      <c r="Q104" s="42">
        <f t="shared" si="26"/>
        <v>0</v>
      </c>
      <c r="R104" s="42">
        <f t="shared" si="26"/>
        <v>12465.441999999999</v>
      </c>
      <c r="S104" s="42">
        <f t="shared" si="26"/>
        <v>191.7760307692308</v>
      </c>
      <c r="T104" s="42">
        <f t="shared" si="26"/>
        <v>0</v>
      </c>
      <c r="U104" s="42">
        <f t="shared" si="26"/>
        <v>191.7760307692308</v>
      </c>
    </row>
    <row r="105" spans="1:21" s="43" customFormat="1" ht="21" customHeight="1">
      <c r="A105" s="30"/>
      <c r="B105" s="28"/>
      <c r="C105" s="30"/>
      <c r="D105" s="31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</row>
    <row r="106" spans="1:21" s="43" customFormat="1" ht="18.600000000000001" customHeight="1">
      <c r="A106" s="30"/>
      <c r="B106" s="28"/>
      <c r="C106" s="30"/>
      <c r="D106" s="31"/>
      <c r="E106" s="30"/>
      <c r="F106" s="30"/>
      <c r="G106" s="30"/>
      <c r="H106" s="30"/>
      <c r="I106" s="30"/>
      <c r="J106" s="30"/>
      <c r="K106" s="30"/>
      <c r="L106" s="30"/>
      <c r="M106" s="122"/>
      <c r="N106" s="122"/>
      <c r="O106" s="122"/>
      <c r="P106" s="122"/>
      <c r="Q106" s="67"/>
      <c r="R106" s="67"/>
      <c r="S106" s="67"/>
      <c r="T106" s="67"/>
      <c r="U106" s="67"/>
    </row>
    <row r="107" spans="1:21" s="43" customFormat="1" ht="18.600000000000001" customHeight="1">
      <c r="A107" s="61"/>
      <c r="B107" s="61"/>
      <c r="C107" s="61"/>
      <c r="D107" s="61"/>
      <c r="E107" s="62"/>
      <c r="F107" s="62"/>
      <c r="G107" s="62"/>
      <c r="H107" s="62"/>
      <c r="I107" s="62"/>
      <c r="J107" s="62"/>
      <c r="K107" s="62"/>
      <c r="L107" s="62"/>
      <c r="M107" s="63"/>
      <c r="N107" s="63"/>
      <c r="O107" s="63"/>
      <c r="P107" s="63"/>
      <c r="Q107" s="387" t="s">
        <v>254</v>
      </c>
      <c r="R107" s="387"/>
      <c r="S107" s="387"/>
      <c r="T107" s="387"/>
      <c r="U107" s="387"/>
    </row>
    <row r="108" spans="1:21" s="43" customFormat="1" ht="21" customHeight="1">
      <c r="A108" s="388" t="s">
        <v>178</v>
      </c>
      <c r="B108" s="388"/>
      <c r="C108" s="388"/>
      <c r="D108" s="388"/>
      <c r="E108" s="388"/>
      <c r="F108" s="388"/>
      <c r="G108" s="388"/>
      <c r="H108" s="388"/>
      <c r="I108" s="388"/>
      <c r="J108" s="388"/>
      <c r="K108" s="388"/>
      <c r="L108" s="388"/>
      <c r="M108" s="388"/>
      <c r="N108" s="388"/>
      <c r="O108" s="388"/>
      <c r="P108" s="388"/>
      <c r="Q108" s="388"/>
      <c r="R108" s="388"/>
      <c r="S108" s="388"/>
      <c r="T108" s="388"/>
      <c r="U108" s="388"/>
    </row>
    <row r="109" spans="1:21" s="43" customFormat="1" ht="18.600000000000001" customHeight="1">
      <c r="A109" s="379" t="s">
        <v>253</v>
      </c>
      <c r="B109" s="379"/>
      <c r="C109" s="379"/>
      <c r="D109" s="379"/>
      <c r="E109" s="379"/>
      <c r="F109" s="379"/>
      <c r="G109" s="379"/>
      <c r="H109" s="379"/>
      <c r="I109" s="379"/>
      <c r="J109" s="379"/>
      <c r="K109" s="379"/>
      <c r="L109" s="379"/>
      <c r="M109" s="379"/>
      <c r="N109" s="379"/>
      <c r="O109" s="379"/>
      <c r="P109" s="379"/>
      <c r="Q109" s="379"/>
      <c r="R109" s="379"/>
      <c r="S109" s="379"/>
      <c r="T109" s="379"/>
      <c r="U109" s="379"/>
    </row>
    <row r="110" spans="1:21" s="43" customFormat="1" ht="18.600000000000001" customHeight="1">
      <c r="A110" s="364" t="s">
        <v>274</v>
      </c>
      <c r="B110" s="364"/>
      <c r="C110" s="364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4"/>
      <c r="O110" s="364"/>
      <c r="P110" s="364"/>
      <c r="Q110" s="364"/>
      <c r="R110" s="364"/>
      <c r="S110" s="364"/>
      <c r="T110" s="364"/>
      <c r="U110" s="364"/>
    </row>
    <row r="111" spans="1:21" s="43" customFormat="1" ht="20.25">
      <c r="A111" s="400" t="s">
        <v>275</v>
      </c>
      <c r="B111" s="400"/>
      <c r="C111" s="400"/>
      <c r="D111" s="400"/>
      <c r="E111" s="400"/>
      <c r="F111" s="400"/>
      <c r="G111" s="400"/>
      <c r="H111" s="400"/>
      <c r="I111" s="400"/>
      <c r="J111" s="400"/>
      <c r="K111" s="400"/>
      <c r="L111" s="400"/>
      <c r="M111" s="400"/>
      <c r="N111" s="400"/>
      <c r="O111" s="400"/>
      <c r="P111" s="400"/>
      <c r="Q111" s="400"/>
      <c r="R111" s="378">
        <f>R79</f>
        <v>520.67999999999995</v>
      </c>
      <c r="S111" s="378"/>
      <c r="T111" s="378"/>
      <c r="U111" s="378"/>
    </row>
    <row r="112" spans="1:21" s="43" customFormat="1" ht="14.45" customHeight="1">
      <c r="A112" s="405" t="s">
        <v>0</v>
      </c>
      <c r="B112" s="405" t="s">
        <v>10</v>
      </c>
      <c r="C112" s="405" t="s">
        <v>1</v>
      </c>
      <c r="D112" s="411" t="s">
        <v>11</v>
      </c>
      <c r="E112" s="156" t="s">
        <v>223</v>
      </c>
      <c r="F112" s="149" t="s">
        <v>11</v>
      </c>
      <c r="G112" s="371" t="s">
        <v>113</v>
      </c>
      <c r="H112" s="372"/>
      <c r="I112" s="373"/>
      <c r="J112" s="397" t="s">
        <v>115</v>
      </c>
      <c r="K112" s="397"/>
      <c r="L112" s="401" t="s">
        <v>83</v>
      </c>
      <c r="M112" s="402"/>
      <c r="N112" s="398" t="s">
        <v>3</v>
      </c>
      <c r="O112" s="398"/>
      <c r="P112" s="398" t="s">
        <v>89</v>
      </c>
      <c r="Q112" s="398" t="s">
        <v>145</v>
      </c>
      <c r="R112" s="397" t="s">
        <v>134</v>
      </c>
      <c r="S112" s="397"/>
      <c r="T112" s="397"/>
      <c r="U112" s="397"/>
    </row>
    <row r="113" spans="1:21" s="43" customFormat="1" ht="14.45" customHeight="1">
      <c r="A113" s="406"/>
      <c r="B113" s="406"/>
      <c r="C113" s="406"/>
      <c r="D113" s="412"/>
      <c r="E113" s="144" t="s">
        <v>269</v>
      </c>
      <c r="F113" s="150"/>
      <c r="G113" s="138" t="s">
        <v>426</v>
      </c>
      <c r="H113" s="144" t="s">
        <v>82</v>
      </c>
      <c r="I113" s="144" t="s">
        <v>38</v>
      </c>
      <c r="J113" s="183" t="s">
        <v>82</v>
      </c>
      <c r="K113" s="183" t="s">
        <v>38</v>
      </c>
      <c r="L113" s="144" t="s">
        <v>83</v>
      </c>
      <c r="M113" s="144" t="s">
        <v>38</v>
      </c>
      <c r="N113" s="144" t="s">
        <v>3</v>
      </c>
      <c r="O113" s="144" t="s">
        <v>38</v>
      </c>
      <c r="P113" s="398"/>
      <c r="Q113" s="398"/>
      <c r="R113" s="183" t="s">
        <v>90</v>
      </c>
      <c r="S113" s="183" t="s">
        <v>154</v>
      </c>
      <c r="T113" s="183" t="s">
        <v>135</v>
      </c>
      <c r="U113" s="183" t="s">
        <v>38</v>
      </c>
    </row>
    <row r="114" spans="1:21" s="43" customFormat="1" ht="14.45" customHeight="1">
      <c r="A114" s="165">
        <v>1</v>
      </c>
      <c r="B114" s="166" t="s">
        <v>4</v>
      </c>
      <c r="C114" s="415" t="s">
        <v>12</v>
      </c>
      <c r="D114" s="167">
        <v>11</v>
      </c>
      <c r="E114" s="172">
        <v>39266</v>
      </c>
      <c r="F114" s="169">
        <v>2</v>
      </c>
      <c r="G114" s="169">
        <f t="shared" ref="G114:G140" si="27">D114/F114*E114</f>
        <v>215963</v>
      </c>
      <c r="H114" s="171"/>
      <c r="I114" s="169">
        <f t="shared" ref="I114:I140" si="28">G114-H114</f>
        <v>215963</v>
      </c>
      <c r="J114" s="165">
        <f t="shared" ref="J114:J140" si="29">H114/D114*2</f>
        <v>0</v>
      </c>
      <c r="K114" s="165">
        <f t="shared" ref="K114:K140" si="30">E114-J114</f>
        <v>39266</v>
      </c>
      <c r="L114" s="13"/>
      <c r="M114" s="165">
        <f t="shared" ref="M114:M140" si="31">E114-L114</f>
        <v>39266</v>
      </c>
      <c r="N114" s="165">
        <f>'Primary 1-5'!D81</f>
        <v>0</v>
      </c>
      <c r="O114" s="165">
        <f t="shared" ref="O114:O140" si="32">E114-N114</f>
        <v>39266</v>
      </c>
      <c r="P114" s="165">
        <f>L114-N114</f>
        <v>0</v>
      </c>
      <c r="Q114" s="165">
        <f t="shared" ref="Q114:Q140" si="33">D114*L114/1000</f>
        <v>0</v>
      </c>
      <c r="R114" s="165">
        <f t="shared" ref="R114:R140" si="34">D114*E114/1000</f>
        <v>431.92599999999999</v>
      </c>
      <c r="S114" s="165">
        <f>R114/65</f>
        <v>6.6450153846153848</v>
      </c>
      <c r="T114" s="165">
        <f t="shared" ref="T114:T140" si="35">D114*J114/1000/65</f>
        <v>0</v>
      </c>
      <c r="U114" s="165">
        <f>S114-T114</f>
        <v>6.6450153846153848</v>
      </c>
    </row>
    <row r="115" spans="1:21" s="43" customFormat="1" ht="14.45" customHeight="1">
      <c r="A115" s="165">
        <v>2</v>
      </c>
      <c r="B115" s="166" t="s">
        <v>5</v>
      </c>
      <c r="C115" s="416"/>
      <c r="D115" s="167">
        <v>12</v>
      </c>
      <c r="E115" s="172">
        <v>39266</v>
      </c>
      <c r="F115" s="169">
        <v>2</v>
      </c>
      <c r="G115" s="169">
        <f t="shared" si="27"/>
        <v>235596</v>
      </c>
      <c r="H115" s="171"/>
      <c r="I115" s="169">
        <f t="shared" si="28"/>
        <v>235596</v>
      </c>
      <c r="J115" s="165">
        <f t="shared" si="29"/>
        <v>0</v>
      </c>
      <c r="K115" s="165">
        <f t="shared" si="30"/>
        <v>39266</v>
      </c>
      <c r="L115" s="13"/>
      <c r="M115" s="165">
        <f t="shared" si="31"/>
        <v>39266</v>
      </c>
      <c r="N115" s="165">
        <f>'Primary 1-5'!E81</f>
        <v>0</v>
      </c>
      <c r="O115" s="165">
        <f t="shared" si="32"/>
        <v>39266</v>
      </c>
      <c r="P115" s="165">
        <f t="shared" ref="P115:P140" si="36">L115-N115</f>
        <v>0</v>
      </c>
      <c r="Q115" s="165">
        <f t="shared" si="33"/>
        <v>0</v>
      </c>
      <c r="R115" s="165">
        <f t="shared" si="34"/>
        <v>471.19200000000001</v>
      </c>
      <c r="S115" s="165">
        <f t="shared" ref="S115:S140" si="37">R115/65</f>
        <v>7.2491076923076925</v>
      </c>
      <c r="T115" s="165">
        <f t="shared" si="35"/>
        <v>0</v>
      </c>
      <c r="U115" s="165">
        <f t="shared" ref="U115:U140" si="38">S115-T115</f>
        <v>7.2491076923076925</v>
      </c>
    </row>
    <row r="116" spans="1:21" s="43" customFormat="1" ht="14.45" customHeight="1">
      <c r="A116" s="165">
        <v>3</v>
      </c>
      <c r="B116" s="166" t="s">
        <v>6</v>
      </c>
      <c r="C116" s="417"/>
      <c r="D116" s="167">
        <v>15</v>
      </c>
      <c r="E116" s="172">
        <v>39266</v>
      </c>
      <c r="F116" s="169">
        <v>2</v>
      </c>
      <c r="G116" s="169">
        <f t="shared" si="27"/>
        <v>294495</v>
      </c>
      <c r="H116" s="171"/>
      <c r="I116" s="169">
        <f t="shared" si="28"/>
        <v>294495</v>
      </c>
      <c r="J116" s="165">
        <f t="shared" si="29"/>
        <v>0</v>
      </c>
      <c r="K116" s="165">
        <f t="shared" si="30"/>
        <v>39266</v>
      </c>
      <c r="L116" s="13"/>
      <c r="M116" s="165">
        <f t="shared" si="31"/>
        <v>39266</v>
      </c>
      <c r="N116" s="165">
        <f>'Primary 1-5'!F81</f>
        <v>0</v>
      </c>
      <c r="O116" s="165">
        <f t="shared" si="32"/>
        <v>39266</v>
      </c>
      <c r="P116" s="165">
        <f t="shared" si="36"/>
        <v>0</v>
      </c>
      <c r="Q116" s="165">
        <f t="shared" si="33"/>
        <v>0</v>
      </c>
      <c r="R116" s="165">
        <f t="shared" si="34"/>
        <v>588.99</v>
      </c>
      <c r="S116" s="165">
        <f t="shared" si="37"/>
        <v>9.0613846153846147</v>
      </c>
      <c r="T116" s="165">
        <f t="shared" si="35"/>
        <v>0</v>
      </c>
      <c r="U116" s="165">
        <f t="shared" si="38"/>
        <v>9.0613846153846147</v>
      </c>
    </row>
    <row r="117" spans="1:21" s="43" customFormat="1" ht="14.45" customHeight="1">
      <c r="A117" s="165">
        <v>4</v>
      </c>
      <c r="B117" s="166" t="s">
        <v>4</v>
      </c>
      <c r="C117" s="415" t="s">
        <v>13</v>
      </c>
      <c r="D117" s="167">
        <v>9</v>
      </c>
      <c r="E117" s="172">
        <v>37948</v>
      </c>
      <c r="F117" s="169">
        <v>2</v>
      </c>
      <c r="G117" s="169">
        <f t="shared" si="27"/>
        <v>170766</v>
      </c>
      <c r="H117" s="171"/>
      <c r="I117" s="169">
        <f t="shared" si="28"/>
        <v>170766</v>
      </c>
      <c r="J117" s="165">
        <f t="shared" si="29"/>
        <v>0</v>
      </c>
      <c r="K117" s="165">
        <f t="shared" si="30"/>
        <v>37948</v>
      </c>
      <c r="L117" s="13"/>
      <c r="M117" s="165">
        <f t="shared" si="31"/>
        <v>37948</v>
      </c>
      <c r="N117" s="165">
        <f>'Primary 1-5'!G81</f>
        <v>0</v>
      </c>
      <c r="O117" s="165">
        <f t="shared" si="32"/>
        <v>37948</v>
      </c>
      <c r="P117" s="165">
        <f t="shared" si="36"/>
        <v>0</v>
      </c>
      <c r="Q117" s="165">
        <f t="shared" si="33"/>
        <v>0</v>
      </c>
      <c r="R117" s="165">
        <f t="shared" si="34"/>
        <v>341.53199999999998</v>
      </c>
      <c r="S117" s="165">
        <f t="shared" si="37"/>
        <v>5.2543384615384614</v>
      </c>
      <c r="T117" s="165">
        <f t="shared" si="35"/>
        <v>0</v>
      </c>
      <c r="U117" s="165">
        <f t="shared" si="38"/>
        <v>5.2543384615384614</v>
      </c>
    </row>
    <row r="118" spans="1:21" s="43" customFormat="1" ht="14.45" customHeight="1">
      <c r="A118" s="165">
        <v>5</v>
      </c>
      <c r="B118" s="166" t="s">
        <v>5</v>
      </c>
      <c r="C118" s="416"/>
      <c r="D118" s="167">
        <v>13</v>
      </c>
      <c r="E118" s="172">
        <v>37948</v>
      </c>
      <c r="F118" s="169">
        <v>2</v>
      </c>
      <c r="G118" s="169">
        <f t="shared" si="27"/>
        <v>246662</v>
      </c>
      <c r="H118" s="171"/>
      <c r="I118" s="169">
        <f t="shared" si="28"/>
        <v>246662</v>
      </c>
      <c r="J118" s="165">
        <f t="shared" si="29"/>
        <v>0</v>
      </c>
      <c r="K118" s="165">
        <f t="shared" si="30"/>
        <v>37948</v>
      </c>
      <c r="L118" s="13"/>
      <c r="M118" s="165">
        <f t="shared" si="31"/>
        <v>37948</v>
      </c>
      <c r="N118" s="165">
        <f>'Primary 1-5'!H81</f>
        <v>0</v>
      </c>
      <c r="O118" s="165">
        <f t="shared" si="32"/>
        <v>37948</v>
      </c>
      <c r="P118" s="165">
        <f t="shared" si="36"/>
        <v>0</v>
      </c>
      <c r="Q118" s="165">
        <f t="shared" si="33"/>
        <v>0</v>
      </c>
      <c r="R118" s="165">
        <f t="shared" si="34"/>
        <v>493.32400000000001</v>
      </c>
      <c r="S118" s="165">
        <f t="shared" si="37"/>
        <v>7.5895999999999999</v>
      </c>
      <c r="T118" s="165">
        <f t="shared" si="35"/>
        <v>0</v>
      </c>
      <c r="U118" s="165">
        <f t="shared" si="38"/>
        <v>7.5895999999999999</v>
      </c>
    </row>
    <row r="119" spans="1:21" s="43" customFormat="1" ht="14.45" customHeight="1">
      <c r="A119" s="165">
        <v>6</v>
      </c>
      <c r="B119" s="166" t="s">
        <v>6</v>
      </c>
      <c r="C119" s="417"/>
      <c r="D119" s="167">
        <v>17</v>
      </c>
      <c r="E119" s="172">
        <v>37948</v>
      </c>
      <c r="F119" s="169">
        <v>2</v>
      </c>
      <c r="G119" s="169">
        <f t="shared" si="27"/>
        <v>322558</v>
      </c>
      <c r="H119" s="171"/>
      <c r="I119" s="169">
        <f t="shared" si="28"/>
        <v>322558</v>
      </c>
      <c r="J119" s="165">
        <f t="shared" si="29"/>
        <v>0</v>
      </c>
      <c r="K119" s="165">
        <f t="shared" si="30"/>
        <v>37948</v>
      </c>
      <c r="L119" s="13"/>
      <c r="M119" s="165">
        <f t="shared" si="31"/>
        <v>37948</v>
      </c>
      <c r="N119" s="165">
        <f>'Primary 1-5'!I81</f>
        <v>0</v>
      </c>
      <c r="O119" s="165">
        <f t="shared" si="32"/>
        <v>37948</v>
      </c>
      <c r="P119" s="165">
        <f t="shared" si="36"/>
        <v>0</v>
      </c>
      <c r="Q119" s="165">
        <f t="shared" si="33"/>
        <v>0</v>
      </c>
      <c r="R119" s="165">
        <f t="shared" si="34"/>
        <v>645.11599999999999</v>
      </c>
      <c r="S119" s="165">
        <f t="shared" si="37"/>
        <v>9.9248615384615384</v>
      </c>
      <c r="T119" s="165">
        <f t="shared" si="35"/>
        <v>0</v>
      </c>
      <c r="U119" s="165">
        <f t="shared" si="38"/>
        <v>9.9248615384615384</v>
      </c>
    </row>
    <row r="120" spans="1:21" s="43" customFormat="1" ht="14.45" customHeight="1">
      <c r="A120" s="165">
        <v>7</v>
      </c>
      <c r="B120" s="166" t="s">
        <v>4</v>
      </c>
      <c r="C120" s="415" t="s">
        <v>14</v>
      </c>
      <c r="D120" s="170">
        <v>13.5</v>
      </c>
      <c r="E120" s="172">
        <v>38282</v>
      </c>
      <c r="F120" s="169">
        <v>2</v>
      </c>
      <c r="G120" s="169">
        <f t="shared" si="27"/>
        <v>258403.5</v>
      </c>
      <c r="H120" s="171"/>
      <c r="I120" s="169">
        <f t="shared" si="28"/>
        <v>258403.5</v>
      </c>
      <c r="J120" s="165">
        <f t="shared" si="29"/>
        <v>0</v>
      </c>
      <c r="K120" s="165">
        <f t="shared" si="30"/>
        <v>38282</v>
      </c>
      <c r="L120" s="13"/>
      <c r="M120" s="165">
        <f t="shared" si="31"/>
        <v>38282</v>
      </c>
      <c r="N120" s="165">
        <f>'Primary 1-5'!J81</f>
        <v>0</v>
      </c>
      <c r="O120" s="165">
        <f t="shared" si="32"/>
        <v>38282</v>
      </c>
      <c r="P120" s="165">
        <f t="shared" si="36"/>
        <v>0</v>
      </c>
      <c r="Q120" s="165">
        <f t="shared" si="33"/>
        <v>0</v>
      </c>
      <c r="R120" s="165">
        <f t="shared" si="34"/>
        <v>516.80700000000002</v>
      </c>
      <c r="S120" s="165">
        <f t="shared" si="37"/>
        <v>7.9508769230769234</v>
      </c>
      <c r="T120" s="165">
        <f t="shared" si="35"/>
        <v>0</v>
      </c>
      <c r="U120" s="165">
        <f t="shared" si="38"/>
        <v>7.9508769230769234</v>
      </c>
    </row>
    <row r="121" spans="1:21" s="43" customFormat="1" ht="14.45" customHeight="1">
      <c r="A121" s="165">
        <v>8</v>
      </c>
      <c r="B121" s="166" t="s">
        <v>5</v>
      </c>
      <c r="C121" s="416"/>
      <c r="D121" s="167">
        <v>16</v>
      </c>
      <c r="E121" s="172">
        <v>38282</v>
      </c>
      <c r="F121" s="169">
        <v>2</v>
      </c>
      <c r="G121" s="169">
        <f t="shared" si="27"/>
        <v>306256</v>
      </c>
      <c r="H121" s="171"/>
      <c r="I121" s="169">
        <f t="shared" si="28"/>
        <v>306256</v>
      </c>
      <c r="J121" s="165">
        <f t="shared" si="29"/>
        <v>0</v>
      </c>
      <c r="K121" s="165">
        <f t="shared" si="30"/>
        <v>38282</v>
      </c>
      <c r="L121" s="13"/>
      <c r="M121" s="165">
        <f t="shared" si="31"/>
        <v>38282</v>
      </c>
      <c r="N121" s="165">
        <f>'Primary 1-5'!K81</f>
        <v>0</v>
      </c>
      <c r="O121" s="165">
        <f t="shared" si="32"/>
        <v>38282</v>
      </c>
      <c r="P121" s="165">
        <f t="shared" si="36"/>
        <v>0</v>
      </c>
      <c r="Q121" s="165">
        <f t="shared" si="33"/>
        <v>0</v>
      </c>
      <c r="R121" s="165">
        <f t="shared" si="34"/>
        <v>612.51199999999994</v>
      </c>
      <c r="S121" s="165">
        <f t="shared" si="37"/>
        <v>9.4232615384615368</v>
      </c>
      <c r="T121" s="165">
        <f t="shared" si="35"/>
        <v>0</v>
      </c>
      <c r="U121" s="165">
        <f t="shared" si="38"/>
        <v>9.4232615384615368</v>
      </c>
    </row>
    <row r="122" spans="1:21" s="43" customFormat="1" ht="14.45" customHeight="1">
      <c r="A122" s="165">
        <v>9</v>
      </c>
      <c r="B122" s="166" t="s">
        <v>6</v>
      </c>
      <c r="C122" s="416"/>
      <c r="D122" s="167">
        <v>20</v>
      </c>
      <c r="E122" s="172">
        <v>38282</v>
      </c>
      <c r="F122" s="169">
        <v>2</v>
      </c>
      <c r="G122" s="169">
        <f t="shared" si="27"/>
        <v>382820</v>
      </c>
      <c r="H122" s="171"/>
      <c r="I122" s="169">
        <f t="shared" si="28"/>
        <v>382820</v>
      </c>
      <c r="J122" s="165">
        <f t="shared" si="29"/>
        <v>0</v>
      </c>
      <c r="K122" s="165">
        <f t="shared" si="30"/>
        <v>38282</v>
      </c>
      <c r="L122" s="13"/>
      <c r="M122" s="165">
        <f t="shared" si="31"/>
        <v>38282</v>
      </c>
      <c r="N122" s="165">
        <f>'Primary 1-5'!L81</f>
        <v>0</v>
      </c>
      <c r="O122" s="165">
        <f t="shared" si="32"/>
        <v>38282</v>
      </c>
      <c r="P122" s="165">
        <f t="shared" si="36"/>
        <v>0</v>
      </c>
      <c r="Q122" s="165">
        <f t="shared" si="33"/>
        <v>0</v>
      </c>
      <c r="R122" s="165">
        <f t="shared" si="34"/>
        <v>765.64</v>
      </c>
      <c r="S122" s="165">
        <f t="shared" si="37"/>
        <v>11.779076923076923</v>
      </c>
      <c r="T122" s="165">
        <f t="shared" si="35"/>
        <v>0</v>
      </c>
      <c r="U122" s="165">
        <f t="shared" si="38"/>
        <v>11.779076923076923</v>
      </c>
    </row>
    <row r="123" spans="1:21" s="43" customFormat="1" ht="14.45" customHeight="1">
      <c r="A123" s="165">
        <v>10</v>
      </c>
      <c r="B123" s="166" t="s">
        <v>204</v>
      </c>
      <c r="C123" s="416"/>
      <c r="D123" s="170">
        <v>14.5</v>
      </c>
      <c r="E123" s="172">
        <v>38282</v>
      </c>
      <c r="F123" s="169">
        <v>2</v>
      </c>
      <c r="G123" s="169">
        <f t="shared" si="27"/>
        <v>277544.5</v>
      </c>
      <c r="H123" s="171"/>
      <c r="I123" s="169">
        <f t="shared" si="28"/>
        <v>277544.5</v>
      </c>
      <c r="J123" s="165">
        <f t="shared" si="29"/>
        <v>0</v>
      </c>
      <c r="K123" s="165">
        <f t="shared" si="30"/>
        <v>38282</v>
      </c>
      <c r="L123" s="13"/>
      <c r="M123" s="165">
        <f t="shared" si="31"/>
        <v>38282</v>
      </c>
      <c r="N123" s="165">
        <f>'Primary 1-5'!M81</f>
        <v>0</v>
      </c>
      <c r="O123" s="165">
        <f t="shared" si="32"/>
        <v>38282</v>
      </c>
      <c r="P123" s="165">
        <f t="shared" si="36"/>
        <v>0</v>
      </c>
      <c r="Q123" s="165">
        <f t="shared" si="33"/>
        <v>0</v>
      </c>
      <c r="R123" s="165">
        <f t="shared" si="34"/>
        <v>555.08900000000006</v>
      </c>
      <c r="S123" s="165">
        <f t="shared" si="37"/>
        <v>8.53983076923077</v>
      </c>
      <c r="T123" s="165">
        <f t="shared" si="35"/>
        <v>0</v>
      </c>
      <c r="U123" s="165">
        <f t="shared" si="38"/>
        <v>8.53983076923077</v>
      </c>
    </row>
    <row r="124" spans="1:21" s="43" customFormat="1" ht="14.45" customHeight="1">
      <c r="A124" s="165">
        <v>11</v>
      </c>
      <c r="B124" s="166" t="s">
        <v>7</v>
      </c>
      <c r="C124" s="416"/>
      <c r="D124" s="167">
        <v>19</v>
      </c>
      <c r="E124" s="172">
        <v>38282</v>
      </c>
      <c r="F124" s="169">
        <v>2</v>
      </c>
      <c r="G124" s="169">
        <f t="shared" si="27"/>
        <v>363679</v>
      </c>
      <c r="H124" s="171"/>
      <c r="I124" s="169">
        <f t="shared" si="28"/>
        <v>363679</v>
      </c>
      <c r="J124" s="165">
        <f t="shared" si="29"/>
        <v>0</v>
      </c>
      <c r="K124" s="165">
        <f t="shared" si="30"/>
        <v>38282</v>
      </c>
      <c r="L124" s="13"/>
      <c r="M124" s="165">
        <f t="shared" si="31"/>
        <v>38282</v>
      </c>
      <c r="N124" s="165">
        <f>'Primary 1-5'!N81</f>
        <v>0</v>
      </c>
      <c r="O124" s="165">
        <f t="shared" si="32"/>
        <v>38282</v>
      </c>
      <c r="P124" s="165">
        <f t="shared" si="36"/>
        <v>0</v>
      </c>
      <c r="Q124" s="165">
        <f t="shared" si="33"/>
        <v>0</v>
      </c>
      <c r="R124" s="165">
        <f t="shared" si="34"/>
        <v>727.35799999999995</v>
      </c>
      <c r="S124" s="165">
        <f t="shared" si="37"/>
        <v>11.190123076923076</v>
      </c>
      <c r="T124" s="165">
        <f t="shared" si="35"/>
        <v>0</v>
      </c>
      <c r="U124" s="165">
        <f t="shared" si="38"/>
        <v>11.190123076923076</v>
      </c>
    </row>
    <row r="125" spans="1:21" s="43" customFormat="1" ht="14.45" customHeight="1">
      <c r="A125" s="165">
        <v>12</v>
      </c>
      <c r="B125" s="166" t="s">
        <v>8</v>
      </c>
      <c r="C125" s="416"/>
      <c r="D125" s="167">
        <v>9</v>
      </c>
      <c r="E125" s="172">
        <v>34143</v>
      </c>
      <c r="F125" s="169">
        <v>2</v>
      </c>
      <c r="G125" s="169">
        <f t="shared" si="27"/>
        <v>153643.5</v>
      </c>
      <c r="H125" s="171"/>
      <c r="I125" s="169">
        <f t="shared" si="28"/>
        <v>153643.5</v>
      </c>
      <c r="J125" s="165">
        <f t="shared" si="29"/>
        <v>0</v>
      </c>
      <c r="K125" s="165">
        <f t="shared" si="30"/>
        <v>34143</v>
      </c>
      <c r="L125" s="13"/>
      <c r="M125" s="165">
        <f t="shared" si="31"/>
        <v>34143</v>
      </c>
      <c r="N125" s="165">
        <f>'Primary 1-5'!O81</f>
        <v>0</v>
      </c>
      <c r="O125" s="165">
        <f t="shared" si="32"/>
        <v>34143</v>
      </c>
      <c r="P125" s="165">
        <f t="shared" si="36"/>
        <v>0</v>
      </c>
      <c r="Q125" s="165">
        <f t="shared" si="33"/>
        <v>0</v>
      </c>
      <c r="R125" s="165">
        <f t="shared" si="34"/>
        <v>307.28699999999998</v>
      </c>
      <c r="S125" s="165">
        <f t="shared" si="37"/>
        <v>4.727492307692307</v>
      </c>
      <c r="T125" s="165">
        <f t="shared" si="35"/>
        <v>0</v>
      </c>
      <c r="U125" s="165">
        <f t="shared" si="38"/>
        <v>4.727492307692307</v>
      </c>
    </row>
    <row r="126" spans="1:21" s="43" customFormat="1" ht="14.45" customHeight="1">
      <c r="A126" s="165">
        <v>13</v>
      </c>
      <c r="B126" s="166" t="s">
        <v>9</v>
      </c>
      <c r="C126" s="417"/>
      <c r="D126" s="167">
        <v>11.5</v>
      </c>
      <c r="E126" s="172">
        <v>4089</v>
      </c>
      <c r="F126" s="169">
        <v>2</v>
      </c>
      <c r="G126" s="169">
        <f t="shared" si="27"/>
        <v>23511.75</v>
      </c>
      <c r="H126" s="171"/>
      <c r="I126" s="169">
        <f t="shared" si="28"/>
        <v>23511.75</v>
      </c>
      <c r="J126" s="165">
        <f t="shared" si="29"/>
        <v>0</v>
      </c>
      <c r="K126" s="165">
        <f t="shared" si="30"/>
        <v>4089</v>
      </c>
      <c r="L126" s="13"/>
      <c r="M126" s="165">
        <f t="shared" si="31"/>
        <v>4089</v>
      </c>
      <c r="N126" s="165">
        <f>'Primary 1-5'!P81</f>
        <v>0</v>
      </c>
      <c r="O126" s="165">
        <f t="shared" si="32"/>
        <v>4089</v>
      </c>
      <c r="P126" s="165">
        <f t="shared" si="36"/>
        <v>0</v>
      </c>
      <c r="Q126" s="165">
        <f t="shared" si="33"/>
        <v>0</v>
      </c>
      <c r="R126" s="165">
        <f t="shared" si="34"/>
        <v>47.023499999999999</v>
      </c>
      <c r="S126" s="165">
        <f t="shared" si="37"/>
        <v>0.72343846153846147</v>
      </c>
      <c r="T126" s="165">
        <f t="shared" si="35"/>
        <v>0</v>
      </c>
      <c r="U126" s="165">
        <f t="shared" si="38"/>
        <v>0.72343846153846147</v>
      </c>
    </row>
    <row r="127" spans="1:21" s="43" customFormat="1" ht="14.45" customHeight="1">
      <c r="A127" s="165">
        <v>14</v>
      </c>
      <c r="B127" s="166" t="s">
        <v>4</v>
      </c>
      <c r="C127" s="415" t="s">
        <v>52</v>
      </c>
      <c r="D127" s="167">
        <v>16.5</v>
      </c>
      <c r="E127" s="172">
        <v>36268</v>
      </c>
      <c r="F127" s="169">
        <v>2</v>
      </c>
      <c r="G127" s="169">
        <f t="shared" si="27"/>
        <v>299211</v>
      </c>
      <c r="H127" s="171"/>
      <c r="I127" s="169">
        <f t="shared" si="28"/>
        <v>299211</v>
      </c>
      <c r="J127" s="165">
        <f t="shared" si="29"/>
        <v>0</v>
      </c>
      <c r="K127" s="165">
        <f t="shared" si="30"/>
        <v>36268</v>
      </c>
      <c r="L127" s="13"/>
      <c r="M127" s="165">
        <f t="shared" si="31"/>
        <v>36268</v>
      </c>
      <c r="N127" s="165">
        <f>'Primary 1-5'!Q81</f>
        <v>0</v>
      </c>
      <c r="O127" s="165">
        <f t="shared" si="32"/>
        <v>36268</v>
      </c>
      <c r="P127" s="165">
        <f t="shared" si="36"/>
        <v>0</v>
      </c>
      <c r="Q127" s="165">
        <f t="shared" si="33"/>
        <v>0</v>
      </c>
      <c r="R127" s="165">
        <f t="shared" si="34"/>
        <v>598.42200000000003</v>
      </c>
      <c r="S127" s="165">
        <f t="shared" si="37"/>
        <v>9.206492307692308</v>
      </c>
      <c r="T127" s="165">
        <f t="shared" si="35"/>
        <v>0</v>
      </c>
      <c r="U127" s="165">
        <f t="shared" si="38"/>
        <v>9.206492307692308</v>
      </c>
    </row>
    <row r="128" spans="1:21" s="43" customFormat="1" ht="14.45" customHeight="1">
      <c r="A128" s="165">
        <v>15</v>
      </c>
      <c r="B128" s="166" t="s">
        <v>5</v>
      </c>
      <c r="C128" s="416"/>
      <c r="D128" s="167">
        <v>12</v>
      </c>
      <c r="E128" s="172">
        <v>36268</v>
      </c>
      <c r="F128" s="169">
        <v>2</v>
      </c>
      <c r="G128" s="169">
        <f t="shared" si="27"/>
        <v>217608</v>
      </c>
      <c r="H128" s="171"/>
      <c r="I128" s="169">
        <f t="shared" si="28"/>
        <v>217608</v>
      </c>
      <c r="J128" s="165">
        <f t="shared" si="29"/>
        <v>0</v>
      </c>
      <c r="K128" s="165">
        <f t="shared" si="30"/>
        <v>36268</v>
      </c>
      <c r="L128" s="13"/>
      <c r="M128" s="165">
        <f t="shared" si="31"/>
        <v>36268</v>
      </c>
      <c r="N128" s="165">
        <f>'Primary 1-5'!R81</f>
        <v>0</v>
      </c>
      <c r="O128" s="165">
        <f t="shared" si="32"/>
        <v>36268</v>
      </c>
      <c r="P128" s="165">
        <f t="shared" si="36"/>
        <v>0</v>
      </c>
      <c r="Q128" s="165">
        <f t="shared" si="33"/>
        <v>0</v>
      </c>
      <c r="R128" s="165">
        <f t="shared" si="34"/>
        <v>435.21600000000001</v>
      </c>
      <c r="S128" s="165">
        <f t="shared" si="37"/>
        <v>6.6956307692307693</v>
      </c>
      <c r="T128" s="165">
        <f t="shared" si="35"/>
        <v>0</v>
      </c>
      <c r="U128" s="165">
        <f t="shared" si="38"/>
        <v>6.6956307692307693</v>
      </c>
    </row>
    <row r="129" spans="1:21" s="43" customFormat="1" ht="14.45" customHeight="1">
      <c r="A129" s="165">
        <v>16</v>
      </c>
      <c r="B129" s="166" t="s">
        <v>6</v>
      </c>
      <c r="C129" s="416"/>
      <c r="D129" s="167">
        <v>22.5</v>
      </c>
      <c r="E129" s="172">
        <v>36268</v>
      </c>
      <c r="F129" s="169">
        <v>2</v>
      </c>
      <c r="G129" s="169">
        <f t="shared" si="27"/>
        <v>408015</v>
      </c>
      <c r="H129" s="171"/>
      <c r="I129" s="169">
        <f t="shared" si="28"/>
        <v>408015</v>
      </c>
      <c r="J129" s="165">
        <f t="shared" si="29"/>
        <v>0</v>
      </c>
      <c r="K129" s="165">
        <f t="shared" si="30"/>
        <v>36268</v>
      </c>
      <c r="L129" s="13"/>
      <c r="M129" s="165">
        <f t="shared" si="31"/>
        <v>36268</v>
      </c>
      <c r="N129" s="165">
        <f>'Primary 1-5'!S81</f>
        <v>0</v>
      </c>
      <c r="O129" s="165">
        <f t="shared" si="32"/>
        <v>36268</v>
      </c>
      <c r="P129" s="165">
        <f t="shared" si="36"/>
        <v>0</v>
      </c>
      <c r="Q129" s="165">
        <f t="shared" si="33"/>
        <v>0</v>
      </c>
      <c r="R129" s="165">
        <f t="shared" si="34"/>
        <v>816.03</v>
      </c>
      <c r="S129" s="165">
        <f t="shared" si="37"/>
        <v>12.554307692307692</v>
      </c>
      <c r="T129" s="165">
        <f t="shared" si="35"/>
        <v>0</v>
      </c>
      <c r="U129" s="165">
        <f t="shared" si="38"/>
        <v>12.554307692307692</v>
      </c>
    </row>
    <row r="130" spans="1:21" s="43" customFormat="1" ht="14.45" customHeight="1">
      <c r="A130" s="165">
        <v>17</v>
      </c>
      <c r="B130" s="166" t="s">
        <v>204</v>
      </c>
      <c r="C130" s="416"/>
      <c r="D130" s="167">
        <v>15</v>
      </c>
      <c r="E130" s="172">
        <v>36268</v>
      </c>
      <c r="F130" s="169">
        <v>2</v>
      </c>
      <c r="G130" s="169">
        <f t="shared" si="27"/>
        <v>272010</v>
      </c>
      <c r="H130" s="171"/>
      <c r="I130" s="169">
        <f t="shared" si="28"/>
        <v>272010</v>
      </c>
      <c r="J130" s="165">
        <f t="shared" si="29"/>
        <v>0</v>
      </c>
      <c r="K130" s="165">
        <f t="shared" si="30"/>
        <v>36268</v>
      </c>
      <c r="L130" s="13"/>
      <c r="M130" s="165">
        <f t="shared" si="31"/>
        <v>36268</v>
      </c>
      <c r="N130" s="165">
        <f>'Primary 1-5'!T81</f>
        <v>0</v>
      </c>
      <c r="O130" s="165">
        <f t="shared" si="32"/>
        <v>36268</v>
      </c>
      <c r="P130" s="165">
        <f t="shared" si="36"/>
        <v>0</v>
      </c>
      <c r="Q130" s="165">
        <f t="shared" si="33"/>
        <v>0</v>
      </c>
      <c r="R130" s="165">
        <f t="shared" si="34"/>
        <v>544.02</v>
      </c>
      <c r="S130" s="165">
        <f t="shared" si="37"/>
        <v>8.3695384615384611</v>
      </c>
      <c r="T130" s="165">
        <f t="shared" si="35"/>
        <v>0</v>
      </c>
      <c r="U130" s="165">
        <f t="shared" si="38"/>
        <v>8.3695384615384611</v>
      </c>
    </row>
    <row r="131" spans="1:21" s="43" customFormat="1" ht="14.45" customHeight="1">
      <c r="A131" s="165">
        <v>18</v>
      </c>
      <c r="B131" s="166" t="s">
        <v>7</v>
      </c>
      <c r="C131" s="416"/>
      <c r="D131" s="167">
        <v>19.5</v>
      </c>
      <c r="E131" s="172">
        <v>36268</v>
      </c>
      <c r="F131" s="169">
        <v>2</v>
      </c>
      <c r="G131" s="169">
        <f t="shared" si="27"/>
        <v>353613</v>
      </c>
      <c r="H131" s="171"/>
      <c r="I131" s="169">
        <f t="shared" si="28"/>
        <v>353613</v>
      </c>
      <c r="J131" s="165">
        <f t="shared" si="29"/>
        <v>0</v>
      </c>
      <c r="K131" s="165">
        <f t="shared" si="30"/>
        <v>36268</v>
      </c>
      <c r="L131" s="13"/>
      <c r="M131" s="165">
        <f t="shared" si="31"/>
        <v>36268</v>
      </c>
      <c r="N131" s="165">
        <f>'Primary 1-5'!U81</f>
        <v>0</v>
      </c>
      <c r="O131" s="165">
        <f t="shared" si="32"/>
        <v>36268</v>
      </c>
      <c r="P131" s="165">
        <f t="shared" si="36"/>
        <v>0</v>
      </c>
      <c r="Q131" s="165">
        <f t="shared" si="33"/>
        <v>0</v>
      </c>
      <c r="R131" s="165">
        <f t="shared" si="34"/>
        <v>707.226</v>
      </c>
      <c r="S131" s="165">
        <f t="shared" si="37"/>
        <v>10.8804</v>
      </c>
      <c r="T131" s="165">
        <f t="shared" si="35"/>
        <v>0</v>
      </c>
      <c r="U131" s="165">
        <f t="shared" si="38"/>
        <v>10.8804</v>
      </c>
    </row>
    <row r="132" spans="1:21" s="43" customFormat="1" ht="14.45" customHeight="1">
      <c r="A132" s="165">
        <v>19</v>
      </c>
      <c r="B132" s="166" t="s">
        <v>8</v>
      </c>
      <c r="C132" s="416"/>
      <c r="D132" s="167">
        <v>10</v>
      </c>
      <c r="E132" s="172">
        <v>32255</v>
      </c>
      <c r="F132" s="169">
        <v>2</v>
      </c>
      <c r="G132" s="169">
        <f t="shared" si="27"/>
        <v>161275</v>
      </c>
      <c r="H132" s="171"/>
      <c r="I132" s="169">
        <f t="shared" si="28"/>
        <v>161275</v>
      </c>
      <c r="J132" s="165">
        <f t="shared" si="29"/>
        <v>0</v>
      </c>
      <c r="K132" s="165">
        <f t="shared" si="30"/>
        <v>32255</v>
      </c>
      <c r="L132" s="13"/>
      <c r="M132" s="165">
        <f t="shared" si="31"/>
        <v>32255</v>
      </c>
      <c r="N132" s="165">
        <f>'Primary 1-5'!V81</f>
        <v>0</v>
      </c>
      <c r="O132" s="165">
        <f t="shared" si="32"/>
        <v>32255</v>
      </c>
      <c r="P132" s="165">
        <f t="shared" si="36"/>
        <v>0</v>
      </c>
      <c r="Q132" s="165">
        <f t="shared" si="33"/>
        <v>0</v>
      </c>
      <c r="R132" s="165">
        <f t="shared" si="34"/>
        <v>322.55</v>
      </c>
      <c r="S132" s="165">
        <f t="shared" si="37"/>
        <v>4.9623076923076921</v>
      </c>
      <c r="T132" s="165">
        <f t="shared" si="35"/>
        <v>0</v>
      </c>
      <c r="U132" s="165">
        <f t="shared" si="38"/>
        <v>4.9623076923076921</v>
      </c>
    </row>
    <row r="133" spans="1:21" s="43" customFormat="1" ht="14.45" customHeight="1">
      <c r="A133" s="165">
        <v>20</v>
      </c>
      <c r="B133" s="166" t="s">
        <v>9</v>
      </c>
      <c r="C133" s="417"/>
      <c r="D133" s="167">
        <v>13.5</v>
      </c>
      <c r="E133" s="172">
        <v>3970</v>
      </c>
      <c r="F133" s="169">
        <v>2</v>
      </c>
      <c r="G133" s="169">
        <f t="shared" si="27"/>
        <v>26797.5</v>
      </c>
      <c r="H133" s="171"/>
      <c r="I133" s="169">
        <f t="shared" si="28"/>
        <v>26797.5</v>
      </c>
      <c r="J133" s="165">
        <f t="shared" si="29"/>
        <v>0</v>
      </c>
      <c r="K133" s="165">
        <f t="shared" si="30"/>
        <v>3970</v>
      </c>
      <c r="L133" s="13"/>
      <c r="M133" s="165">
        <f t="shared" si="31"/>
        <v>3970</v>
      </c>
      <c r="N133" s="165">
        <f>'Primary 1-5'!W81</f>
        <v>0</v>
      </c>
      <c r="O133" s="165">
        <f t="shared" si="32"/>
        <v>3970</v>
      </c>
      <c r="P133" s="165">
        <f t="shared" si="36"/>
        <v>0</v>
      </c>
      <c r="Q133" s="165">
        <f t="shared" si="33"/>
        <v>0</v>
      </c>
      <c r="R133" s="165">
        <f t="shared" si="34"/>
        <v>53.594999999999999</v>
      </c>
      <c r="S133" s="165">
        <f t="shared" si="37"/>
        <v>0.82453846153846155</v>
      </c>
      <c r="T133" s="165">
        <f t="shared" si="35"/>
        <v>0</v>
      </c>
      <c r="U133" s="165">
        <f t="shared" si="38"/>
        <v>0.82453846153846155</v>
      </c>
    </row>
    <row r="134" spans="1:21" s="43" customFormat="1" ht="14.45" customHeight="1">
      <c r="A134" s="165">
        <v>21</v>
      </c>
      <c r="B134" s="166" t="s">
        <v>4</v>
      </c>
      <c r="C134" s="415" t="s">
        <v>53</v>
      </c>
      <c r="D134" s="167">
        <v>17.5</v>
      </c>
      <c r="E134" s="172">
        <v>32595</v>
      </c>
      <c r="F134" s="169">
        <v>2</v>
      </c>
      <c r="G134" s="169">
        <f t="shared" si="27"/>
        <v>285206.25</v>
      </c>
      <c r="H134" s="171"/>
      <c r="I134" s="169">
        <f t="shared" si="28"/>
        <v>285206.25</v>
      </c>
      <c r="J134" s="165">
        <f t="shared" si="29"/>
        <v>0</v>
      </c>
      <c r="K134" s="165">
        <f t="shared" si="30"/>
        <v>32595</v>
      </c>
      <c r="L134" s="13"/>
      <c r="M134" s="165">
        <f t="shared" si="31"/>
        <v>32595</v>
      </c>
      <c r="N134" s="165">
        <f>'Primary 1-5'!X81</f>
        <v>0</v>
      </c>
      <c r="O134" s="165">
        <f t="shared" si="32"/>
        <v>32595</v>
      </c>
      <c r="P134" s="165">
        <f t="shared" si="36"/>
        <v>0</v>
      </c>
      <c r="Q134" s="165">
        <f t="shared" si="33"/>
        <v>0</v>
      </c>
      <c r="R134" s="165">
        <f t="shared" si="34"/>
        <v>570.41250000000002</v>
      </c>
      <c r="S134" s="165">
        <f t="shared" si="37"/>
        <v>8.7755769230769243</v>
      </c>
      <c r="T134" s="165">
        <f t="shared" si="35"/>
        <v>0</v>
      </c>
      <c r="U134" s="165">
        <f t="shared" si="38"/>
        <v>8.7755769230769243</v>
      </c>
    </row>
    <row r="135" spans="1:21" s="43" customFormat="1" ht="14.45" customHeight="1">
      <c r="A135" s="165">
        <v>22</v>
      </c>
      <c r="B135" s="166" t="s">
        <v>5</v>
      </c>
      <c r="C135" s="416"/>
      <c r="D135" s="167">
        <v>14.5</v>
      </c>
      <c r="E135" s="172">
        <v>32595</v>
      </c>
      <c r="F135" s="169">
        <v>2</v>
      </c>
      <c r="G135" s="169">
        <f t="shared" si="27"/>
        <v>236313.75</v>
      </c>
      <c r="H135" s="171"/>
      <c r="I135" s="169">
        <f t="shared" si="28"/>
        <v>236313.75</v>
      </c>
      <c r="J135" s="165">
        <f t="shared" si="29"/>
        <v>0</v>
      </c>
      <c r="K135" s="165">
        <f t="shared" si="30"/>
        <v>32595</v>
      </c>
      <c r="L135" s="13"/>
      <c r="M135" s="165">
        <f t="shared" si="31"/>
        <v>32595</v>
      </c>
      <c r="N135" s="165">
        <f>'Primary 1-5'!Y81</f>
        <v>0</v>
      </c>
      <c r="O135" s="165">
        <f t="shared" si="32"/>
        <v>32595</v>
      </c>
      <c r="P135" s="165">
        <f t="shared" si="36"/>
        <v>0</v>
      </c>
      <c r="Q135" s="165">
        <f t="shared" si="33"/>
        <v>0</v>
      </c>
      <c r="R135" s="165">
        <f t="shared" si="34"/>
        <v>472.6275</v>
      </c>
      <c r="S135" s="165">
        <f t="shared" si="37"/>
        <v>7.2711923076923073</v>
      </c>
      <c r="T135" s="165">
        <f t="shared" si="35"/>
        <v>0</v>
      </c>
      <c r="U135" s="165">
        <f t="shared" si="38"/>
        <v>7.2711923076923073</v>
      </c>
    </row>
    <row r="136" spans="1:21" s="43" customFormat="1" ht="14.45" customHeight="1">
      <c r="A136" s="165">
        <v>23</v>
      </c>
      <c r="B136" s="166" t="s">
        <v>6</v>
      </c>
      <c r="C136" s="416"/>
      <c r="D136" s="167">
        <v>23.5</v>
      </c>
      <c r="E136" s="172">
        <v>32595</v>
      </c>
      <c r="F136" s="169">
        <v>2</v>
      </c>
      <c r="G136" s="169">
        <f t="shared" si="27"/>
        <v>382991.25</v>
      </c>
      <c r="H136" s="171"/>
      <c r="I136" s="169">
        <f t="shared" si="28"/>
        <v>382991.25</v>
      </c>
      <c r="J136" s="165">
        <f t="shared" si="29"/>
        <v>0</v>
      </c>
      <c r="K136" s="165">
        <f t="shared" si="30"/>
        <v>32595</v>
      </c>
      <c r="L136" s="13"/>
      <c r="M136" s="165">
        <f t="shared" si="31"/>
        <v>32595</v>
      </c>
      <c r="N136" s="165">
        <f>'Primary 1-5'!Z81</f>
        <v>0</v>
      </c>
      <c r="O136" s="165">
        <f t="shared" si="32"/>
        <v>32595</v>
      </c>
      <c r="P136" s="165">
        <f t="shared" si="36"/>
        <v>0</v>
      </c>
      <c r="Q136" s="165">
        <f t="shared" si="33"/>
        <v>0</v>
      </c>
      <c r="R136" s="165">
        <f t="shared" si="34"/>
        <v>765.98249999999996</v>
      </c>
      <c r="S136" s="165">
        <f t="shared" si="37"/>
        <v>11.784346153846153</v>
      </c>
      <c r="T136" s="165">
        <f t="shared" si="35"/>
        <v>0</v>
      </c>
      <c r="U136" s="165">
        <f t="shared" si="38"/>
        <v>11.784346153846153</v>
      </c>
    </row>
    <row r="137" spans="1:21" s="43" customFormat="1" ht="14.45" customHeight="1">
      <c r="A137" s="165">
        <v>24</v>
      </c>
      <c r="B137" s="166" t="s">
        <v>204</v>
      </c>
      <c r="C137" s="416"/>
      <c r="D137" s="167">
        <v>20.5</v>
      </c>
      <c r="E137" s="172">
        <v>32595</v>
      </c>
      <c r="F137" s="169">
        <v>2</v>
      </c>
      <c r="G137" s="169">
        <f t="shared" si="27"/>
        <v>334098.75</v>
      </c>
      <c r="H137" s="171"/>
      <c r="I137" s="169">
        <f t="shared" si="28"/>
        <v>334098.75</v>
      </c>
      <c r="J137" s="165">
        <f t="shared" si="29"/>
        <v>0</v>
      </c>
      <c r="K137" s="165">
        <f t="shared" si="30"/>
        <v>32595</v>
      </c>
      <c r="L137" s="13"/>
      <c r="M137" s="165">
        <f t="shared" si="31"/>
        <v>32595</v>
      </c>
      <c r="N137" s="165">
        <f>'Primary 1-5'!AA81</f>
        <v>0</v>
      </c>
      <c r="O137" s="165">
        <f t="shared" si="32"/>
        <v>32595</v>
      </c>
      <c r="P137" s="165">
        <f t="shared" si="36"/>
        <v>0</v>
      </c>
      <c r="Q137" s="165">
        <f t="shared" si="33"/>
        <v>0</v>
      </c>
      <c r="R137" s="165">
        <f t="shared" si="34"/>
        <v>668.19749999999999</v>
      </c>
      <c r="S137" s="165">
        <f t="shared" si="37"/>
        <v>10.279961538461539</v>
      </c>
      <c r="T137" s="165">
        <f t="shared" si="35"/>
        <v>0</v>
      </c>
      <c r="U137" s="165">
        <f t="shared" si="38"/>
        <v>10.279961538461539</v>
      </c>
    </row>
    <row r="138" spans="1:21" s="43" customFormat="1" ht="14.45" customHeight="1">
      <c r="A138" s="165">
        <v>25</v>
      </c>
      <c r="B138" s="166" t="s">
        <v>7</v>
      </c>
      <c r="C138" s="416"/>
      <c r="D138" s="167">
        <v>20.5</v>
      </c>
      <c r="E138" s="172">
        <v>32595</v>
      </c>
      <c r="F138" s="169">
        <v>2</v>
      </c>
      <c r="G138" s="169">
        <f t="shared" si="27"/>
        <v>334098.75</v>
      </c>
      <c r="H138" s="171"/>
      <c r="I138" s="169">
        <f t="shared" si="28"/>
        <v>334098.75</v>
      </c>
      <c r="J138" s="165">
        <f t="shared" si="29"/>
        <v>0</v>
      </c>
      <c r="K138" s="165">
        <f t="shared" si="30"/>
        <v>32595</v>
      </c>
      <c r="L138" s="13"/>
      <c r="M138" s="165">
        <f t="shared" si="31"/>
        <v>32595</v>
      </c>
      <c r="N138" s="165">
        <f>'Primary 1-5'!AB81</f>
        <v>0</v>
      </c>
      <c r="O138" s="165">
        <f t="shared" si="32"/>
        <v>32595</v>
      </c>
      <c r="P138" s="165">
        <f t="shared" si="36"/>
        <v>0</v>
      </c>
      <c r="Q138" s="165">
        <f t="shared" si="33"/>
        <v>0</v>
      </c>
      <c r="R138" s="165">
        <f t="shared" si="34"/>
        <v>668.19749999999999</v>
      </c>
      <c r="S138" s="165">
        <f t="shared" si="37"/>
        <v>10.279961538461539</v>
      </c>
      <c r="T138" s="165">
        <f t="shared" si="35"/>
        <v>0</v>
      </c>
      <c r="U138" s="165">
        <f t="shared" si="38"/>
        <v>10.279961538461539</v>
      </c>
    </row>
    <row r="139" spans="1:21" s="43" customFormat="1" ht="14.45" customHeight="1">
      <c r="A139" s="165">
        <v>26</v>
      </c>
      <c r="B139" s="166" t="s">
        <v>8</v>
      </c>
      <c r="C139" s="416"/>
      <c r="D139" s="167">
        <v>10.5</v>
      </c>
      <c r="E139" s="172">
        <v>28835</v>
      </c>
      <c r="F139" s="169">
        <v>2</v>
      </c>
      <c r="G139" s="169">
        <f t="shared" si="27"/>
        <v>151383.75</v>
      </c>
      <c r="H139" s="171"/>
      <c r="I139" s="169">
        <f t="shared" si="28"/>
        <v>151383.75</v>
      </c>
      <c r="J139" s="165">
        <f t="shared" si="29"/>
        <v>0</v>
      </c>
      <c r="K139" s="165">
        <f t="shared" si="30"/>
        <v>28835</v>
      </c>
      <c r="L139" s="13"/>
      <c r="M139" s="165">
        <f t="shared" si="31"/>
        <v>28835</v>
      </c>
      <c r="N139" s="165">
        <f>'Primary 1-5'!AC81</f>
        <v>0</v>
      </c>
      <c r="O139" s="165">
        <f t="shared" si="32"/>
        <v>28835</v>
      </c>
      <c r="P139" s="165">
        <f t="shared" si="36"/>
        <v>0</v>
      </c>
      <c r="Q139" s="165">
        <f t="shared" si="33"/>
        <v>0</v>
      </c>
      <c r="R139" s="165">
        <f t="shared" si="34"/>
        <v>302.76749999999998</v>
      </c>
      <c r="S139" s="165">
        <f t="shared" si="37"/>
        <v>4.6579615384615378</v>
      </c>
      <c r="T139" s="165">
        <f t="shared" si="35"/>
        <v>0</v>
      </c>
      <c r="U139" s="165">
        <f t="shared" si="38"/>
        <v>4.6579615384615378</v>
      </c>
    </row>
    <row r="140" spans="1:21" s="43" customFormat="1" ht="14.45" customHeight="1">
      <c r="A140" s="165">
        <v>27</v>
      </c>
      <c r="B140" s="166" t="s">
        <v>9</v>
      </c>
      <c r="C140" s="417"/>
      <c r="D140" s="167">
        <v>12.5</v>
      </c>
      <c r="E140" s="172">
        <v>3708</v>
      </c>
      <c r="F140" s="169">
        <v>2</v>
      </c>
      <c r="G140" s="169">
        <f t="shared" si="27"/>
        <v>23175</v>
      </c>
      <c r="H140" s="171"/>
      <c r="I140" s="169">
        <f t="shared" si="28"/>
        <v>23175</v>
      </c>
      <c r="J140" s="165">
        <f t="shared" si="29"/>
        <v>0</v>
      </c>
      <c r="K140" s="165">
        <f t="shared" si="30"/>
        <v>3708</v>
      </c>
      <c r="L140" s="13"/>
      <c r="M140" s="165">
        <f t="shared" si="31"/>
        <v>3708</v>
      </c>
      <c r="N140" s="165">
        <f>'Primary 1-5'!AD81</f>
        <v>0</v>
      </c>
      <c r="O140" s="165">
        <f t="shared" si="32"/>
        <v>3708</v>
      </c>
      <c r="P140" s="165">
        <f t="shared" si="36"/>
        <v>0</v>
      </c>
      <c r="Q140" s="165">
        <f t="shared" si="33"/>
        <v>0</v>
      </c>
      <c r="R140" s="165">
        <f t="shared" si="34"/>
        <v>46.35</v>
      </c>
      <c r="S140" s="165">
        <f t="shared" si="37"/>
        <v>0.71307692307692305</v>
      </c>
      <c r="T140" s="165">
        <f t="shared" si="35"/>
        <v>0</v>
      </c>
      <c r="U140" s="165">
        <f t="shared" si="38"/>
        <v>0.71307692307692305</v>
      </c>
    </row>
    <row r="141" spans="1:21" s="43" customFormat="1" ht="14.45" customHeight="1">
      <c r="A141" s="403" t="s">
        <v>79</v>
      </c>
      <c r="B141" s="403"/>
      <c r="C141" s="403"/>
      <c r="D141" s="403"/>
      <c r="E141" s="42">
        <f t="shared" ref="E141:U141" si="39">SUM(E114:E140)</f>
        <v>874367</v>
      </c>
      <c r="F141" s="42">
        <f t="shared" si="39"/>
        <v>54</v>
      </c>
      <c r="G141" s="42">
        <f t="shared" si="39"/>
        <v>6737695.25</v>
      </c>
      <c r="H141" s="42">
        <f t="shared" si="39"/>
        <v>0</v>
      </c>
      <c r="I141" s="42">
        <f t="shared" si="39"/>
        <v>6737695.25</v>
      </c>
      <c r="J141" s="42">
        <f t="shared" si="39"/>
        <v>0</v>
      </c>
      <c r="K141" s="42">
        <f t="shared" si="39"/>
        <v>874367</v>
      </c>
      <c r="L141" s="42">
        <f t="shared" si="39"/>
        <v>0</v>
      </c>
      <c r="M141" s="42">
        <f t="shared" si="39"/>
        <v>874367</v>
      </c>
      <c r="N141" s="42">
        <f t="shared" si="39"/>
        <v>0</v>
      </c>
      <c r="O141" s="42">
        <f t="shared" si="39"/>
        <v>874367</v>
      </c>
      <c r="P141" s="42">
        <f t="shared" si="39"/>
        <v>0</v>
      </c>
      <c r="Q141" s="42">
        <f t="shared" si="39"/>
        <v>0</v>
      </c>
      <c r="R141" s="42">
        <f t="shared" si="39"/>
        <v>13475.390500000003</v>
      </c>
      <c r="S141" s="42">
        <f t="shared" si="39"/>
        <v>207.31370000000004</v>
      </c>
      <c r="T141" s="42">
        <f t="shared" si="39"/>
        <v>0</v>
      </c>
      <c r="U141" s="42">
        <f t="shared" si="39"/>
        <v>207.31370000000004</v>
      </c>
    </row>
    <row r="142" spans="1:21" s="43" customFormat="1" ht="21" customHeight="1">
      <c r="A142" s="30"/>
      <c r="B142" s="28"/>
      <c r="C142" s="30"/>
      <c r="D142" s="31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</row>
    <row r="143" spans="1:21" s="43" customFormat="1" ht="18.600000000000001" customHeight="1">
      <c r="A143" s="30"/>
      <c r="B143" s="28"/>
      <c r="C143" s="30"/>
      <c r="D143" s="31"/>
      <c r="E143" s="30"/>
      <c r="F143" s="30"/>
      <c r="G143" s="30"/>
      <c r="H143" s="30"/>
      <c r="I143" s="30"/>
      <c r="J143" s="30"/>
      <c r="K143" s="30"/>
      <c r="L143" s="30"/>
      <c r="M143" s="122"/>
      <c r="N143" s="122"/>
      <c r="O143" s="122"/>
      <c r="P143" s="122"/>
      <c r="Q143" s="67"/>
      <c r="R143" s="67"/>
      <c r="S143" s="67"/>
      <c r="T143" s="67"/>
      <c r="U143" s="67"/>
    </row>
    <row r="144" spans="1:21" s="43" customFormat="1" ht="18.600000000000001" customHeight="1">
      <c r="A144" s="61"/>
      <c r="B144" s="61"/>
      <c r="C144" s="61"/>
      <c r="D144" s="61"/>
      <c r="E144" s="62"/>
      <c r="F144" s="62"/>
      <c r="G144" s="62"/>
      <c r="H144" s="62"/>
      <c r="I144" s="62"/>
      <c r="J144" s="62"/>
      <c r="K144" s="62"/>
      <c r="L144" s="62"/>
      <c r="M144" s="63"/>
      <c r="N144" s="63"/>
      <c r="O144" s="63"/>
      <c r="P144" s="63"/>
      <c r="Q144" s="387" t="s">
        <v>254</v>
      </c>
      <c r="R144" s="387"/>
      <c r="S144" s="387"/>
      <c r="T144" s="387"/>
      <c r="U144" s="387"/>
    </row>
    <row r="145" spans="1:21" s="43" customFormat="1" ht="21" customHeight="1">
      <c r="A145" s="388" t="s">
        <v>178</v>
      </c>
      <c r="B145" s="388"/>
      <c r="C145" s="388"/>
      <c r="D145" s="388"/>
      <c r="E145" s="388"/>
      <c r="F145" s="388"/>
      <c r="G145" s="388"/>
      <c r="H145" s="388"/>
      <c r="I145" s="38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</row>
    <row r="146" spans="1:21" s="43" customFormat="1" ht="18.600000000000001" customHeight="1">
      <c r="A146" s="379" t="s">
        <v>253</v>
      </c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</row>
    <row r="147" spans="1:21" s="43" customFormat="1" ht="18.600000000000001" customHeight="1">
      <c r="A147" s="364" t="s">
        <v>274</v>
      </c>
      <c r="B147" s="364"/>
      <c r="C147" s="364"/>
      <c r="D147" s="364"/>
      <c r="E147" s="364"/>
      <c r="F147" s="364"/>
      <c r="G147" s="364"/>
      <c r="H147" s="364"/>
      <c r="I147" s="364"/>
      <c r="J147" s="364"/>
      <c r="K147" s="364"/>
      <c r="L147" s="364"/>
      <c r="M147" s="364"/>
      <c r="N147" s="364"/>
      <c r="O147" s="364"/>
      <c r="P147" s="364"/>
      <c r="Q147" s="364"/>
      <c r="R147" s="364"/>
      <c r="S147" s="364"/>
      <c r="T147" s="364"/>
      <c r="U147" s="364"/>
    </row>
    <row r="148" spans="1:21" s="43" customFormat="1" ht="20.25">
      <c r="A148" s="400" t="s">
        <v>275</v>
      </c>
      <c r="B148" s="400"/>
      <c r="C148" s="400"/>
      <c r="D148" s="400"/>
      <c r="E148" s="400"/>
      <c r="F148" s="400"/>
      <c r="G148" s="400"/>
      <c r="H148" s="400"/>
      <c r="I148" s="400"/>
      <c r="J148" s="400"/>
      <c r="K148" s="400"/>
      <c r="L148" s="400"/>
      <c r="M148" s="400"/>
      <c r="N148" s="400"/>
      <c r="O148" s="400"/>
      <c r="P148" s="400"/>
      <c r="Q148" s="400"/>
      <c r="R148" s="378">
        <f>R116</f>
        <v>588.99</v>
      </c>
      <c r="S148" s="378"/>
      <c r="T148" s="378"/>
      <c r="U148" s="378"/>
    </row>
    <row r="149" spans="1:21" s="43" customFormat="1" ht="14.45" customHeight="1">
      <c r="A149" s="405" t="s">
        <v>0</v>
      </c>
      <c r="B149" s="405" t="s">
        <v>10</v>
      </c>
      <c r="C149" s="405" t="s">
        <v>1</v>
      </c>
      <c r="D149" s="411" t="s">
        <v>11</v>
      </c>
      <c r="E149" s="156" t="s">
        <v>223</v>
      </c>
      <c r="F149" s="149" t="s">
        <v>11</v>
      </c>
      <c r="G149" s="371" t="s">
        <v>113</v>
      </c>
      <c r="H149" s="372"/>
      <c r="I149" s="373"/>
      <c r="J149" s="397" t="s">
        <v>115</v>
      </c>
      <c r="K149" s="397"/>
      <c r="L149" s="401" t="s">
        <v>83</v>
      </c>
      <c r="M149" s="402"/>
      <c r="N149" s="398" t="s">
        <v>3</v>
      </c>
      <c r="O149" s="398"/>
      <c r="P149" s="398" t="s">
        <v>89</v>
      </c>
      <c r="Q149" s="398" t="s">
        <v>145</v>
      </c>
      <c r="R149" s="397" t="s">
        <v>134</v>
      </c>
      <c r="S149" s="397"/>
      <c r="T149" s="397"/>
      <c r="U149" s="397"/>
    </row>
    <row r="150" spans="1:21" s="43" customFormat="1" ht="14.45" customHeight="1">
      <c r="A150" s="406"/>
      <c r="B150" s="406"/>
      <c r="C150" s="406"/>
      <c r="D150" s="412"/>
      <c r="E150" s="144" t="s">
        <v>270</v>
      </c>
      <c r="F150" s="150"/>
      <c r="G150" s="138" t="s">
        <v>426</v>
      </c>
      <c r="H150" s="144" t="s">
        <v>82</v>
      </c>
      <c r="I150" s="144" t="s">
        <v>38</v>
      </c>
      <c r="J150" s="183" t="s">
        <v>82</v>
      </c>
      <c r="K150" s="183" t="s">
        <v>38</v>
      </c>
      <c r="L150" s="144" t="s">
        <v>83</v>
      </c>
      <c r="M150" s="144" t="s">
        <v>38</v>
      </c>
      <c r="N150" s="144" t="s">
        <v>3</v>
      </c>
      <c r="O150" s="144" t="s">
        <v>38</v>
      </c>
      <c r="P150" s="398"/>
      <c r="Q150" s="398"/>
      <c r="R150" s="183" t="s">
        <v>90</v>
      </c>
      <c r="S150" s="183" t="s">
        <v>154</v>
      </c>
      <c r="T150" s="183" t="s">
        <v>135</v>
      </c>
      <c r="U150" s="183" t="s">
        <v>38</v>
      </c>
    </row>
    <row r="151" spans="1:21" s="43" customFormat="1" ht="14.45" customHeight="1">
      <c r="A151" s="165">
        <v>1</v>
      </c>
      <c r="B151" s="166" t="s">
        <v>4</v>
      </c>
      <c r="C151" s="415" t="s">
        <v>12</v>
      </c>
      <c r="D151" s="167">
        <v>11</v>
      </c>
      <c r="E151" s="172">
        <v>39879</v>
      </c>
      <c r="F151" s="169">
        <v>2</v>
      </c>
      <c r="G151" s="169">
        <f t="shared" ref="G151:G177" si="40">D151/F151*E151</f>
        <v>219334.5</v>
      </c>
      <c r="H151" s="171"/>
      <c r="I151" s="169">
        <f t="shared" ref="I151:I177" si="41">G151-H151</f>
        <v>219334.5</v>
      </c>
      <c r="J151" s="165">
        <f t="shared" ref="J151:J177" si="42">H151/D151*2</f>
        <v>0</v>
      </c>
      <c r="K151" s="165">
        <f t="shared" ref="K151:K177" si="43">E151-J151</f>
        <v>39879</v>
      </c>
      <c r="L151" s="13"/>
      <c r="M151" s="165">
        <f t="shared" ref="M151:M177" si="44">E151-L151</f>
        <v>39879</v>
      </c>
      <c r="N151" s="165">
        <f>'Primary 1-5'!D98</f>
        <v>0</v>
      </c>
      <c r="O151" s="165">
        <f t="shared" ref="O151:O177" si="45">E151-N151</f>
        <v>39879</v>
      </c>
      <c r="P151" s="165">
        <f>L151-N151</f>
        <v>0</v>
      </c>
      <c r="Q151" s="165">
        <f t="shared" ref="Q151:Q177" si="46">D151*L151/1000</f>
        <v>0</v>
      </c>
      <c r="R151" s="165">
        <f t="shared" ref="R151:R177" si="47">D151*E151/1000</f>
        <v>438.66899999999998</v>
      </c>
      <c r="S151" s="165">
        <f>R151/65</f>
        <v>6.7487538461538463</v>
      </c>
      <c r="T151" s="165">
        <f t="shared" ref="T151:T177" si="48">D151*J151/1000/65</f>
        <v>0</v>
      </c>
      <c r="U151" s="165">
        <f>S151-T151</f>
        <v>6.7487538461538463</v>
      </c>
    </row>
    <row r="152" spans="1:21" s="43" customFormat="1" ht="14.45" customHeight="1">
      <c r="A152" s="165">
        <v>2</v>
      </c>
      <c r="B152" s="166" t="s">
        <v>5</v>
      </c>
      <c r="C152" s="416"/>
      <c r="D152" s="167">
        <v>12</v>
      </c>
      <c r="E152" s="172">
        <v>39879</v>
      </c>
      <c r="F152" s="169">
        <v>2</v>
      </c>
      <c r="G152" s="169">
        <f t="shared" si="40"/>
        <v>239274</v>
      </c>
      <c r="H152" s="171"/>
      <c r="I152" s="169">
        <f t="shared" si="41"/>
        <v>239274</v>
      </c>
      <c r="J152" s="165">
        <f t="shared" si="42"/>
        <v>0</v>
      </c>
      <c r="K152" s="165">
        <f t="shared" si="43"/>
        <v>39879</v>
      </c>
      <c r="L152" s="13"/>
      <c r="M152" s="165">
        <f t="shared" si="44"/>
        <v>39879</v>
      </c>
      <c r="N152" s="165">
        <f>'Primary 1-5'!E98</f>
        <v>0</v>
      </c>
      <c r="O152" s="165">
        <f t="shared" si="45"/>
        <v>39879</v>
      </c>
      <c r="P152" s="165">
        <f t="shared" ref="P152:P177" si="49">L152-N152</f>
        <v>0</v>
      </c>
      <c r="Q152" s="165">
        <f t="shared" si="46"/>
        <v>0</v>
      </c>
      <c r="R152" s="165">
        <f t="shared" si="47"/>
        <v>478.548</v>
      </c>
      <c r="S152" s="165">
        <f t="shared" ref="S152:S177" si="50">R152/65</f>
        <v>7.3622769230769229</v>
      </c>
      <c r="T152" s="165">
        <f t="shared" si="48"/>
        <v>0</v>
      </c>
      <c r="U152" s="165">
        <f t="shared" ref="U152:U177" si="51">S152-T152</f>
        <v>7.3622769230769229</v>
      </c>
    </row>
    <row r="153" spans="1:21" s="43" customFormat="1" ht="14.45" customHeight="1">
      <c r="A153" s="165">
        <v>3</v>
      </c>
      <c r="B153" s="166" t="s">
        <v>6</v>
      </c>
      <c r="C153" s="417"/>
      <c r="D153" s="167">
        <v>15</v>
      </c>
      <c r="E153" s="172">
        <v>39879</v>
      </c>
      <c r="F153" s="169">
        <v>2</v>
      </c>
      <c r="G153" s="169">
        <f t="shared" si="40"/>
        <v>299092.5</v>
      </c>
      <c r="H153" s="171"/>
      <c r="I153" s="169">
        <f t="shared" si="41"/>
        <v>299092.5</v>
      </c>
      <c r="J153" s="165">
        <f t="shared" si="42"/>
        <v>0</v>
      </c>
      <c r="K153" s="165">
        <f t="shared" si="43"/>
        <v>39879</v>
      </c>
      <c r="L153" s="13"/>
      <c r="M153" s="165">
        <f t="shared" si="44"/>
        <v>39879</v>
      </c>
      <c r="N153" s="165">
        <f>'Primary 1-5'!F98</f>
        <v>0</v>
      </c>
      <c r="O153" s="165">
        <f t="shared" si="45"/>
        <v>39879</v>
      </c>
      <c r="P153" s="165">
        <f t="shared" si="49"/>
        <v>0</v>
      </c>
      <c r="Q153" s="165">
        <f t="shared" si="46"/>
        <v>0</v>
      </c>
      <c r="R153" s="165">
        <f t="shared" si="47"/>
        <v>598.18499999999995</v>
      </c>
      <c r="S153" s="165">
        <f t="shared" si="50"/>
        <v>9.2028461538461528</v>
      </c>
      <c r="T153" s="165">
        <f t="shared" si="48"/>
        <v>0</v>
      </c>
      <c r="U153" s="165">
        <f t="shared" si="51"/>
        <v>9.2028461538461528</v>
      </c>
    </row>
    <row r="154" spans="1:21" s="43" customFormat="1" ht="14.45" customHeight="1">
      <c r="A154" s="165">
        <v>4</v>
      </c>
      <c r="B154" s="166" t="s">
        <v>4</v>
      </c>
      <c r="C154" s="415" t="s">
        <v>13</v>
      </c>
      <c r="D154" s="167">
        <v>9</v>
      </c>
      <c r="E154" s="172">
        <v>37815</v>
      </c>
      <c r="F154" s="169">
        <v>2</v>
      </c>
      <c r="G154" s="169">
        <f t="shared" si="40"/>
        <v>170167.5</v>
      </c>
      <c r="H154" s="171"/>
      <c r="I154" s="169">
        <f t="shared" si="41"/>
        <v>170167.5</v>
      </c>
      <c r="J154" s="165">
        <f t="shared" si="42"/>
        <v>0</v>
      </c>
      <c r="K154" s="165">
        <f t="shared" si="43"/>
        <v>37815</v>
      </c>
      <c r="L154" s="13"/>
      <c r="M154" s="165">
        <f t="shared" si="44"/>
        <v>37815</v>
      </c>
      <c r="N154" s="165">
        <f>'Primary 1-5'!G98</f>
        <v>0</v>
      </c>
      <c r="O154" s="165">
        <f t="shared" si="45"/>
        <v>37815</v>
      </c>
      <c r="P154" s="165">
        <f t="shared" si="49"/>
        <v>0</v>
      </c>
      <c r="Q154" s="165">
        <f t="shared" si="46"/>
        <v>0</v>
      </c>
      <c r="R154" s="165">
        <f t="shared" si="47"/>
        <v>340.33499999999998</v>
      </c>
      <c r="S154" s="165">
        <f t="shared" si="50"/>
        <v>5.2359230769230765</v>
      </c>
      <c r="T154" s="165">
        <f t="shared" si="48"/>
        <v>0</v>
      </c>
      <c r="U154" s="165">
        <f t="shared" si="51"/>
        <v>5.2359230769230765</v>
      </c>
    </row>
    <row r="155" spans="1:21" s="43" customFormat="1" ht="14.45" customHeight="1">
      <c r="A155" s="165">
        <v>5</v>
      </c>
      <c r="B155" s="166" t="s">
        <v>5</v>
      </c>
      <c r="C155" s="416"/>
      <c r="D155" s="167">
        <v>13</v>
      </c>
      <c r="E155" s="172">
        <v>37815</v>
      </c>
      <c r="F155" s="169">
        <v>2</v>
      </c>
      <c r="G155" s="169">
        <f t="shared" si="40"/>
        <v>245797.5</v>
      </c>
      <c r="H155" s="171"/>
      <c r="I155" s="169">
        <f t="shared" si="41"/>
        <v>245797.5</v>
      </c>
      <c r="J155" s="165">
        <f t="shared" si="42"/>
        <v>0</v>
      </c>
      <c r="K155" s="165">
        <f t="shared" si="43"/>
        <v>37815</v>
      </c>
      <c r="L155" s="13"/>
      <c r="M155" s="165">
        <f t="shared" si="44"/>
        <v>37815</v>
      </c>
      <c r="N155" s="165">
        <f>'Primary 1-5'!H98</f>
        <v>0</v>
      </c>
      <c r="O155" s="165">
        <f t="shared" si="45"/>
        <v>37815</v>
      </c>
      <c r="P155" s="165">
        <f t="shared" si="49"/>
        <v>0</v>
      </c>
      <c r="Q155" s="165">
        <f t="shared" si="46"/>
        <v>0</v>
      </c>
      <c r="R155" s="165">
        <f t="shared" si="47"/>
        <v>491.59500000000003</v>
      </c>
      <c r="S155" s="165">
        <f t="shared" si="50"/>
        <v>7.5630000000000006</v>
      </c>
      <c r="T155" s="165">
        <f t="shared" si="48"/>
        <v>0</v>
      </c>
      <c r="U155" s="165">
        <f t="shared" si="51"/>
        <v>7.5630000000000006</v>
      </c>
    </row>
    <row r="156" spans="1:21" s="43" customFormat="1" ht="14.45" customHeight="1">
      <c r="A156" s="165">
        <v>6</v>
      </c>
      <c r="B156" s="166" t="s">
        <v>6</v>
      </c>
      <c r="C156" s="417"/>
      <c r="D156" s="167">
        <v>17</v>
      </c>
      <c r="E156" s="172">
        <v>37815</v>
      </c>
      <c r="F156" s="169">
        <v>2</v>
      </c>
      <c r="G156" s="169">
        <f t="shared" si="40"/>
        <v>321427.5</v>
      </c>
      <c r="H156" s="171"/>
      <c r="I156" s="169">
        <f t="shared" si="41"/>
        <v>321427.5</v>
      </c>
      <c r="J156" s="165">
        <f t="shared" si="42"/>
        <v>0</v>
      </c>
      <c r="K156" s="165">
        <f t="shared" si="43"/>
        <v>37815</v>
      </c>
      <c r="L156" s="13"/>
      <c r="M156" s="165">
        <f t="shared" si="44"/>
        <v>37815</v>
      </c>
      <c r="N156" s="165">
        <f>'Primary 1-5'!I98</f>
        <v>0</v>
      </c>
      <c r="O156" s="165">
        <f t="shared" si="45"/>
        <v>37815</v>
      </c>
      <c r="P156" s="165">
        <f t="shared" si="49"/>
        <v>0</v>
      </c>
      <c r="Q156" s="165">
        <f t="shared" si="46"/>
        <v>0</v>
      </c>
      <c r="R156" s="165">
        <f t="shared" si="47"/>
        <v>642.85500000000002</v>
      </c>
      <c r="S156" s="165">
        <f t="shared" si="50"/>
        <v>9.8900769230769239</v>
      </c>
      <c r="T156" s="165">
        <f t="shared" si="48"/>
        <v>0</v>
      </c>
      <c r="U156" s="165">
        <f t="shared" si="51"/>
        <v>9.8900769230769239</v>
      </c>
    </row>
    <row r="157" spans="1:21" s="43" customFormat="1" ht="14.45" customHeight="1">
      <c r="A157" s="165">
        <v>7</v>
      </c>
      <c r="B157" s="166" t="s">
        <v>4</v>
      </c>
      <c r="C157" s="415" t="s">
        <v>14</v>
      </c>
      <c r="D157" s="170">
        <v>13.5</v>
      </c>
      <c r="E157" s="172">
        <v>37390</v>
      </c>
      <c r="F157" s="169">
        <v>2</v>
      </c>
      <c r="G157" s="169">
        <f t="shared" si="40"/>
        <v>252382.5</v>
      </c>
      <c r="H157" s="171"/>
      <c r="I157" s="169">
        <f t="shared" si="41"/>
        <v>252382.5</v>
      </c>
      <c r="J157" s="165">
        <f t="shared" si="42"/>
        <v>0</v>
      </c>
      <c r="K157" s="165">
        <f t="shared" si="43"/>
        <v>37390</v>
      </c>
      <c r="L157" s="13"/>
      <c r="M157" s="165">
        <f t="shared" si="44"/>
        <v>37390</v>
      </c>
      <c r="N157" s="165">
        <f>'Primary 1-5'!J98</f>
        <v>0</v>
      </c>
      <c r="O157" s="165">
        <f t="shared" si="45"/>
        <v>37390</v>
      </c>
      <c r="P157" s="165">
        <f t="shared" si="49"/>
        <v>0</v>
      </c>
      <c r="Q157" s="165">
        <f t="shared" si="46"/>
        <v>0</v>
      </c>
      <c r="R157" s="165">
        <f t="shared" si="47"/>
        <v>504.76499999999999</v>
      </c>
      <c r="S157" s="165">
        <f t="shared" si="50"/>
        <v>7.7656153846153844</v>
      </c>
      <c r="T157" s="165">
        <f t="shared" si="48"/>
        <v>0</v>
      </c>
      <c r="U157" s="165">
        <f t="shared" si="51"/>
        <v>7.7656153846153844</v>
      </c>
    </row>
    <row r="158" spans="1:21" s="43" customFormat="1" ht="14.45" customHeight="1">
      <c r="A158" s="165">
        <v>8</v>
      </c>
      <c r="B158" s="166" t="s">
        <v>5</v>
      </c>
      <c r="C158" s="416"/>
      <c r="D158" s="167">
        <v>16</v>
      </c>
      <c r="E158" s="172">
        <v>37390</v>
      </c>
      <c r="F158" s="169">
        <v>2</v>
      </c>
      <c r="G158" s="169">
        <f t="shared" si="40"/>
        <v>299120</v>
      </c>
      <c r="H158" s="171"/>
      <c r="I158" s="169">
        <f t="shared" si="41"/>
        <v>299120</v>
      </c>
      <c r="J158" s="165">
        <f t="shared" si="42"/>
        <v>0</v>
      </c>
      <c r="K158" s="165">
        <f t="shared" si="43"/>
        <v>37390</v>
      </c>
      <c r="L158" s="13"/>
      <c r="M158" s="165">
        <f t="shared" si="44"/>
        <v>37390</v>
      </c>
      <c r="N158" s="165">
        <f>'Primary 1-5'!K98</f>
        <v>0</v>
      </c>
      <c r="O158" s="165">
        <f t="shared" si="45"/>
        <v>37390</v>
      </c>
      <c r="P158" s="165">
        <f t="shared" si="49"/>
        <v>0</v>
      </c>
      <c r="Q158" s="165">
        <f t="shared" si="46"/>
        <v>0</v>
      </c>
      <c r="R158" s="165">
        <f t="shared" si="47"/>
        <v>598.24</v>
      </c>
      <c r="S158" s="165">
        <f t="shared" si="50"/>
        <v>9.2036923076923074</v>
      </c>
      <c r="T158" s="165">
        <f t="shared" si="48"/>
        <v>0</v>
      </c>
      <c r="U158" s="165">
        <f t="shared" si="51"/>
        <v>9.2036923076923074</v>
      </c>
    </row>
    <row r="159" spans="1:21" s="43" customFormat="1" ht="14.45" customHeight="1">
      <c r="A159" s="165">
        <v>9</v>
      </c>
      <c r="B159" s="166" t="s">
        <v>6</v>
      </c>
      <c r="C159" s="416"/>
      <c r="D159" s="167">
        <v>20</v>
      </c>
      <c r="E159" s="172">
        <v>37390</v>
      </c>
      <c r="F159" s="169">
        <v>2</v>
      </c>
      <c r="G159" s="169">
        <f t="shared" si="40"/>
        <v>373900</v>
      </c>
      <c r="H159" s="171"/>
      <c r="I159" s="169">
        <f t="shared" si="41"/>
        <v>373900</v>
      </c>
      <c r="J159" s="165">
        <f t="shared" si="42"/>
        <v>0</v>
      </c>
      <c r="K159" s="165">
        <f t="shared" si="43"/>
        <v>37390</v>
      </c>
      <c r="L159" s="13"/>
      <c r="M159" s="165">
        <f t="shared" si="44"/>
        <v>37390</v>
      </c>
      <c r="N159" s="165">
        <f>'Primary 1-5'!L98</f>
        <v>0</v>
      </c>
      <c r="O159" s="165">
        <f t="shared" si="45"/>
        <v>37390</v>
      </c>
      <c r="P159" s="165">
        <f t="shared" si="49"/>
        <v>0</v>
      </c>
      <c r="Q159" s="165">
        <f t="shared" si="46"/>
        <v>0</v>
      </c>
      <c r="R159" s="165">
        <f t="shared" si="47"/>
        <v>747.8</v>
      </c>
      <c r="S159" s="165">
        <f t="shared" si="50"/>
        <v>11.504615384615384</v>
      </c>
      <c r="T159" s="165">
        <f t="shared" si="48"/>
        <v>0</v>
      </c>
      <c r="U159" s="165">
        <f t="shared" si="51"/>
        <v>11.504615384615384</v>
      </c>
    </row>
    <row r="160" spans="1:21" s="43" customFormat="1" ht="14.45" customHeight="1">
      <c r="A160" s="165">
        <v>10</v>
      </c>
      <c r="B160" s="166" t="s">
        <v>204</v>
      </c>
      <c r="C160" s="416"/>
      <c r="D160" s="170">
        <v>14.5</v>
      </c>
      <c r="E160" s="172">
        <v>37390</v>
      </c>
      <c r="F160" s="169">
        <v>2</v>
      </c>
      <c r="G160" s="169">
        <f t="shared" si="40"/>
        <v>271077.5</v>
      </c>
      <c r="H160" s="171"/>
      <c r="I160" s="169">
        <f t="shared" si="41"/>
        <v>271077.5</v>
      </c>
      <c r="J160" s="165">
        <f t="shared" si="42"/>
        <v>0</v>
      </c>
      <c r="K160" s="165">
        <f t="shared" si="43"/>
        <v>37390</v>
      </c>
      <c r="L160" s="13"/>
      <c r="M160" s="165">
        <f t="shared" si="44"/>
        <v>37390</v>
      </c>
      <c r="N160" s="165">
        <f>'Primary 1-5'!M98</f>
        <v>0</v>
      </c>
      <c r="O160" s="165">
        <f t="shared" si="45"/>
        <v>37390</v>
      </c>
      <c r="P160" s="165">
        <f t="shared" si="49"/>
        <v>0</v>
      </c>
      <c r="Q160" s="165">
        <f t="shared" si="46"/>
        <v>0</v>
      </c>
      <c r="R160" s="165">
        <f t="shared" si="47"/>
        <v>542.15499999999997</v>
      </c>
      <c r="S160" s="165">
        <f t="shared" si="50"/>
        <v>8.3408461538461527</v>
      </c>
      <c r="T160" s="165">
        <f t="shared" si="48"/>
        <v>0</v>
      </c>
      <c r="U160" s="165">
        <f t="shared" si="51"/>
        <v>8.3408461538461527</v>
      </c>
    </row>
    <row r="161" spans="1:21" s="43" customFormat="1" ht="14.45" customHeight="1">
      <c r="A161" s="165">
        <v>11</v>
      </c>
      <c r="B161" s="166" t="s">
        <v>7</v>
      </c>
      <c r="C161" s="416"/>
      <c r="D161" s="167">
        <v>19</v>
      </c>
      <c r="E161" s="172">
        <v>37390</v>
      </c>
      <c r="F161" s="169">
        <v>2</v>
      </c>
      <c r="G161" s="169">
        <f t="shared" si="40"/>
        <v>355205</v>
      </c>
      <c r="H161" s="171"/>
      <c r="I161" s="169">
        <f t="shared" si="41"/>
        <v>355205</v>
      </c>
      <c r="J161" s="165">
        <f t="shared" si="42"/>
        <v>0</v>
      </c>
      <c r="K161" s="165">
        <f t="shared" si="43"/>
        <v>37390</v>
      </c>
      <c r="L161" s="13"/>
      <c r="M161" s="165">
        <f t="shared" si="44"/>
        <v>37390</v>
      </c>
      <c r="N161" s="165">
        <f>'Primary 1-5'!N98</f>
        <v>0</v>
      </c>
      <c r="O161" s="165">
        <f t="shared" si="45"/>
        <v>37390</v>
      </c>
      <c r="P161" s="165">
        <f t="shared" si="49"/>
        <v>0</v>
      </c>
      <c r="Q161" s="165">
        <f t="shared" si="46"/>
        <v>0</v>
      </c>
      <c r="R161" s="165">
        <f t="shared" si="47"/>
        <v>710.41</v>
      </c>
      <c r="S161" s="165">
        <f t="shared" si="50"/>
        <v>10.929384615384615</v>
      </c>
      <c r="T161" s="165">
        <f t="shared" si="48"/>
        <v>0</v>
      </c>
      <c r="U161" s="165">
        <f t="shared" si="51"/>
        <v>10.929384615384615</v>
      </c>
    </row>
    <row r="162" spans="1:21" s="43" customFormat="1" ht="14.45" customHeight="1">
      <c r="A162" s="165">
        <v>12</v>
      </c>
      <c r="B162" s="166" t="s">
        <v>8</v>
      </c>
      <c r="C162" s="416"/>
      <c r="D162" s="167">
        <v>9</v>
      </c>
      <c r="E162" s="172">
        <v>36004</v>
      </c>
      <c r="F162" s="169">
        <v>2</v>
      </c>
      <c r="G162" s="169">
        <f t="shared" si="40"/>
        <v>162018</v>
      </c>
      <c r="H162" s="171"/>
      <c r="I162" s="169">
        <f t="shared" si="41"/>
        <v>162018</v>
      </c>
      <c r="J162" s="165">
        <f t="shared" si="42"/>
        <v>0</v>
      </c>
      <c r="K162" s="165">
        <f t="shared" si="43"/>
        <v>36004</v>
      </c>
      <c r="L162" s="13"/>
      <c r="M162" s="165">
        <f t="shared" si="44"/>
        <v>36004</v>
      </c>
      <c r="N162" s="165">
        <f>'Primary 1-5'!O98</f>
        <v>0</v>
      </c>
      <c r="O162" s="165">
        <f t="shared" si="45"/>
        <v>36004</v>
      </c>
      <c r="P162" s="165">
        <f t="shared" si="49"/>
        <v>0</v>
      </c>
      <c r="Q162" s="165">
        <f t="shared" si="46"/>
        <v>0</v>
      </c>
      <c r="R162" s="165">
        <f t="shared" si="47"/>
        <v>324.036</v>
      </c>
      <c r="S162" s="165">
        <f t="shared" si="50"/>
        <v>4.9851692307692304</v>
      </c>
      <c r="T162" s="165">
        <f t="shared" si="48"/>
        <v>0</v>
      </c>
      <c r="U162" s="165">
        <f t="shared" si="51"/>
        <v>4.9851692307692304</v>
      </c>
    </row>
    <row r="163" spans="1:21" s="43" customFormat="1" ht="14.45" customHeight="1">
      <c r="A163" s="165">
        <v>13</v>
      </c>
      <c r="B163" s="166" t="s">
        <v>9</v>
      </c>
      <c r="C163" s="417"/>
      <c r="D163" s="167">
        <v>11.5</v>
      </c>
      <c r="E163" s="172">
        <v>1132</v>
      </c>
      <c r="F163" s="169">
        <v>2</v>
      </c>
      <c r="G163" s="169">
        <f t="shared" si="40"/>
        <v>6509</v>
      </c>
      <c r="H163" s="171"/>
      <c r="I163" s="169">
        <f t="shared" si="41"/>
        <v>6509</v>
      </c>
      <c r="J163" s="165">
        <f t="shared" si="42"/>
        <v>0</v>
      </c>
      <c r="K163" s="165">
        <f t="shared" si="43"/>
        <v>1132</v>
      </c>
      <c r="L163" s="13"/>
      <c r="M163" s="165">
        <f t="shared" si="44"/>
        <v>1132</v>
      </c>
      <c r="N163" s="165">
        <f>'Primary 1-5'!P98</f>
        <v>0</v>
      </c>
      <c r="O163" s="165">
        <f t="shared" si="45"/>
        <v>1132</v>
      </c>
      <c r="P163" s="165">
        <f t="shared" si="49"/>
        <v>0</v>
      </c>
      <c r="Q163" s="165">
        <f t="shared" si="46"/>
        <v>0</v>
      </c>
      <c r="R163" s="165">
        <f t="shared" si="47"/>
        <v>13.018000000000001</v>
      </c>
      <c r="S163" s="165">
        <f t="shared" si="50"/>
        <v>0.20027692307692307</v>
      </c>
      <c r="T163" s="165">
        <f t="shared" si="48"/>
        <v>0</v>
      </c>
      <c r="U163" s="165">
        <f t="shared" si="51"/>
        <v>0.20027692307692307</v>
      </c>
    </row>
    <row r="164" spans="1:21" s="43" customFormat="1" ht="14.45" customHeight="1">
      <c r="A164" s="165">
        <v>14</v>
      </c>
      <c r="B164" s="166" t="s">
        <v>4</v>
      </c>
      <c r="C164" s="415" t="s">
        <v>52</v>
      </c>
      <c r="D164" s="167">
        <v>16.5</v>
      </c>
      <c r="E164" s="172">
        <v>36127</v>
      </c>
      <c r="F164" s="169">
        <v>2</v>
      </c>
      <c r="G164" s="169">
        <f t="shared" si="40"/>
        <v>298047.75</v>
      </c>
      <c r="H164" s="171"/>
      <c r="I164" s="169">
        <f t="shared" si="41"/>
        <v>298047.75</v>
      </c>
      <c r="J164" s="165">
        <f t="shared" si="42"/>
        <v>0</v>
      </c>
      <c r="K164" s="165">
        <f t="shared" si="43"/>
        <v>36127</v>
      </c>
      <c r="L164" s="13"/>
      <c r="M164" s="165">
        <f t="shared" si="44"/>
        <v>36127</v>
      </c>
      <c r="N164" s="165">
        <f>'Primary 1-5'!Q98</f>
        <v>0</v>
      </c>
      <c r="O164" s="165">
        <f t="shared" si="45"/>
        <v>36127</v>
      </c>
      <c r="P164" s="165">
        <f t="shared" si="49"/>
        <v>0</v>
      </c>
      <c r="Q164" s="165">
        <f t="shared" si="46"/>
        <v>0</v>
      </c>
      <c r="R164" s="165">
        <f t="shared" si="47"/>
        <v>596.09550000000002</v>
      </c>
      <c r="S164" s="165">
        <f t="shared" si="50"/>
        <v>9.1707000000000001</v>
      </c>
      <c r="T164" s="165">
        <f t="shared" si="48"/>
        <v>0</v>
      </c>
      <c r="U164" s="165">
        <f t="shared" si="51"/>
        <v>9.1707000000000001</v>
      </c>
    </row>
    <row r="165" spans="1:21" s="43" customFormat="1" ht="14.45" customHeight="1">
      <c r="A165" s="165">
        <v>15</v>
      </c>
      <c r="B165" s="166" t="s">
        <v>5</v>
      </c>
      <c r="C165" s="416"/>
      <c r="D165" s="167">
        <v>12</v>
      </c>
      <c r="E165" s="172">
        <v>36127</v>
      </c>
      <c r="F165" s="169">
        <v>2</v>
      </c>
      <c r="G165" s="169">
        <f t="shared" si="40"/>
        <v>216762</v>
      </c>
      <c r="H165" s="171"/>
      <c r="I165" s="169">
        <f t="shared" si="41"/>
        <v>216762</v>
      </c>
      <c r="J165" s="165">
        <f t="shared" si="42"/>
        <v>0</v>
      </c>
      <c r="K165" s="165">
        <f t="shared" si="43"/>
        <v>36127</v>
      </c>
      <c r="L165" s="13"/>
      <c r="M165" s="165">
        <f t="shared" si="44"/>
        <v>36127</v>
      </c>
      <c r="N165" s="165">
        <f>'Primary 1-5'!R98</f>
        <v>0</v>
      </c>
      <c r="O165" s="165">
        <f t="shared" si="45"/>
        <v>36127</v>
      </c>
      <c r="P165" s="165">
        <f t="shared" si="49"/>
        <v>0</v>
      </c>
      <c r="Q165" s="165">
        <f t="shared" si="46"/>
        <v>0</v>
      </c>
      <c r="R165" s="165">
        <f t="shared" si="47"/>
        <v>433.524</v>
      </c>
      <c r="S165" s="165">
        <f t="shared" si="50"/>
        <v>6.6696</v>
      </c>
      <c r="T165" s="165">
        <f t="shared" si="48"/>
        <v>0</v>
      </c>
      <c r="U165" s="165">
        <f t="shared" si="51"/>
        <v>6.6696</v>
      </c>
    </row>
    <row r="166" spans="1:21" s="43" customFormat="1" ht="14.45" customHeight="1">
      <c r="A166" s="165">
        <v>16</v>
      </c>
      <c r="B166" s="166" t="s">
        <v>6</v>
      </c>
      <c r="C166" s="416"/>
      <c r="D166" s="167">
        <v>22.5</v>
      </c>
      <c r="E166" s="172">
        <v>36127</v>
      </c>
      <c r="F166" s="169">
        <v>2</v>
      </c>
      <c r="G166" s="169">
        <f t="shared" si="40"/>
        <v>406428.75</v>
      </c>
      <c r="H166" s="171"/>
      <c r="I166" s="169">
        <f t="shared" si="41"/>
        <v>406428.75</v>
      </c>
      <c r="J166" s="165">
        <f t="shared" si="42"/>
        <v>0</v>
      </c>
      <c r="K166" s="165">
        <f t="shared" si="43"/>
        <v>36127</v>
      </c>
      <c r="L166" s="13"/>
      <c r="M166" s="165">
        <f t="shared" si="44"/>
        <v>36127</v>
      </c>
      <c r="N166" s="165">
        <f>'Primary 1-5'!S98</f>
        <v>0</v>
      </c>
      <c r="O166" s="165">
        <f t="shared" si="45"/>
        <v>36127</v>
      </c>
      <c r="P166" s="165">
        <f t="shared" si="49"/>
        <v>0</v>
      </c>
      <c r="Q166" s="165">
        <f t="shared" si="46"/>
        <v>0</v>
      </c>
      <c r="R166" s="165">
        <f t="shared" si="47"/>
        <v>812.85749999999996</v>
      </c>
      <c r="S166" s="165">
        <f t="shared" si="50"/>
        <v>12.5055</v>
      </c>
      <c r="T166" s="165">
        <f t="shared" si="48"/>
        <v>0</v>
      </c>
      <c r="U166" s="165">
        <f t="shared" si="51"/>
        <v>12.5055</v>
      </c>
    </row>
    <row r="167" spans="1:21" s="43" customFormat="1" ht="14.45" customHeight="1">
      <c r="A167" s="165">
        <v>17</v>
      </c>
      <c r="B167" s="166" t="s">
        <v>204</v>
      </c>
      <c r="C167" s="416"/>
      <c r="D167" s="167">
        <v>15</v>
      </c>
      <c r="E167" s="172">
        <v>36127</v>
      </c>
      <c r="F167" s="169">
        <v>2</v>
      </c>
      <c r="G167" s="169">
        <f t="shared" si="40"/>
        <v>270952.5</v>
      </c>
      <c r="H167" s="171"/>
      <c r="I167" s="169">
        <f t="shared" si="41"/>
        <v>270952.5</v>
      </c>
      <c r="J167" s="165">
        <f t="shared" si="42"/>
        <v>0</v>
      </c>
      <c r="K167" s="165">
        <f t="shared" si="43"/>
        <v>36127</v>
      </c>
      <c r="L167" s="13"/>
      <c r="M167" s="165">
        <f t="shared" si="44"/>
        <v>36127</v>
      </c>
      <c r="N167" s="165">
        <f>'Primary 1-5'!T98</f>
        <v>0</v>
      </c>
      <c r="O167" s="165">
        <f t="shared" si="45"/>
        <v>36127</v>
      </c>
      <c r="P167" s="165">
        <f t="shared" si="49"/>
        <v>0</v>
      </c>
      <c r="Q167" s="165">
        <f t="shared" si="46"/>
        <v>0</v>
      </c>
      <c r="R167" s="165">
        <f t="shared" si="47"/>
        <v>541.90499999999997</v>
      </c>
      <c r="S167" s="165">
        <f t="shared" si="50"/>
        <v>8.3369999999999997</v>
      </c>
      <c r="T167" s="165">
        <f t="shared" si="48"/>
        <v>0</v>
      </c>
      <c r="U167" s="165">
        <f t="shared" si="51"/>
        <v>8.3369999999999997</v>
      </c>
    </row>
    <row r="168" spans="1:21" s="43" customFormat="1" ht="14.45" customHeight="1">
      <c r="A168" s="165">
        <v>18</v>
      </c>
      <c r="B168" s="166" t="s">
        <v>7</v>
      </c>
      <c r="C168" s="416"/>
      <c r="D168" s="167">
        <v>19.5</v>
      </c>
      <c r="E168" s="172">
        <v>36127</v>
      </c>
      <c r="F168" s="169">
        <v>2</v>
      </c>
      <c r="G168" s="169">
        <f t="shared" si="40"/>
        <v>352238.25</v>
      </c>
      <c r="H168" s="171"/>
      <c r="I168" s="169">
        <f t="shared" si="41"/>
        <v>352238.25</v>
      </c>
      <c r="J168" s="165">
        <f t="shared" si="42"/>
        <v>0</v>
      </c>
      <c r="K168" s="165">
        <f t="shared" si="43"/>
        <v>36127</v>
      </c>
      <c r="L168" s="13"/>
      <c r="M168" s="165">
        <f t="shared" si="44"/>
        <v>36127</v>
      </c>
      <c r="N168" s="165">
        <f>'Primary 1-5'!U98</f>
        <v>0</v>
      </c>
      <c r="O168" s="165">
        <f t="shared" si="45"/>
        <v>36127</v>
      </c>
      <c r="P168" s="165">
        <f t="shared" si="49"/>
        <v>0</v>
      </c>
      <c r="Q168" s="165">
        <f t="shared" si="46"/>
        <v>0</v>
      </c>
      <c r="R168" s="165">
        <f t="shared" si="47"/>
        <v>704.47649999999999</v>
      </c>
      <c r="S168" s="165">
        <f t="shared" si="50"/>
        <v>10.838099999999999</v>
      </c>
      <c r="T168" s="165">
        <f t="shared" si="48"/>
        <v>0</v>
      </c>
      <c r="U168" s="165">
        <f t="shared" si="51"/>
        <v>10.838099999999999</v>
      </c>
    </row>
    <row r="169" spans="1:21" s="43" customFormat="1" ht="14.45" customHeight="1">
      <c r="A169" s="165">
        <v>19</v>
      </c>
      <c r="B169" s="166" t="s">
        <v>8</v>
      </c>
      <c r="C169" s="416"/>
      <c r="D169" s="167">
        <v>10</v>
      </c>
      <c r="E169" s="172">
        <v>34780</v>
      </c>
      <c r="F169" s="169">
        <v>2</v>
      </c>
      <c r="G169" s="169">
        <f t="shared" si="40"/>
        <v>173900</v>
      </c>
      <c r="H169" s="171"/>
      <c r="I169" s="169">
        <f t="shared" si="41"/>
        <v>173900</v>
      </c>
      <c r="J169" s="165">
        <f t="shared" si="42"/>
        <v>0</v>
      </c>
      <c r="K169" s="165">
        <f t="shared" si="43"/>
        <v>34780</v>
      </c>
      <c r="L169" s="13"/>
      <c r="M169" s="165">
        <f t="shared" si="44"/>
        <v>34780</v>
      </c>
      <c r="N169" s="165">
        <f>'Primary 1-5'!V98</f>
        <v>0</v>
      </c>
      <c r="O169" s="165">
        <f t="shared" si="45"/>
        <v>34780</v>
      </c>
      <c r="P169" s="165">
        <f t="shared" si="49"/>
        <v>0</v>
      </c>
      <c r="Q169" s="165">
        <f t="shared" si="46"/>
        <v>0</v>
      </c>
      <c r="R169" s="165">
        <f t="shared" si="47"/>
        <v>347.8</v>
      </c>
      <c r="S169" s="165">
        <f t="shared" si="50"/>
        <v>5.3507692307692309</v>
      </c>
      <c r="T169" s="165">
        <f t="shared" si="48"/>
        <v>0</v>
      </c>
      <c r="U169" s="165">
        <f t="shared" si="51"/>
        <v>5.3507692307692309</v>
      </c>
    </row>
    <row r="170" spans="1:21" s="43" customFormat="1" ht="14.45" customHeight="1">
      <c r="A170" s="165">
        <v>20</v>
      </c>
      <c r="B170" s="166" t="s">
        <v>9</v>
      </c>
      <c r="C170" s="417"/>
      <c r="D170" s="167">
        <v>13.5</v>
      </c>
      <c r="E170" s="172">
        <v>1103</v>
      </c>
      <c r="F170" s="169">
        <v>2</v>
      </c>
      <c r="G170" s="169">
        <f t="shared" si="40"/>
        <v>7445.25</v>
      </c>
      <c r="H170" s="171"/>
      <c r="I170" s="169">
        <f t="shared" si="41"/>
        <v>7445.25</v>
      </c>
      <c r="J170" s="165">
        <f t="shared" si="42"/>
        <v>0</v>
      </c>
      <c r="K170" s="165">
        <f t="shared" si="43"/>
        <v>1103</v>
      </c>
      <c r="L170" s="13"/>
      <c r="M170" s="165">
        <f t="shared" si="44"/>
        <v>1103</v>
      </c>
      <c r="N170" s="165">
        <f>'Primary 1-5'!W98</f>
        <v>0</v>
      </c>
      <c r="O170" s="165">
        <f t="shared" si="45"/>
        <v>1103</v>
      </c>
      <c r="P170" s="165">
        <f t="shared" si="49"/>
        <v>0</v>
      </c>
      <c r="Q170" s="165">
        <f t="shared" si="46"/>
        <v>0</v>
      </c>
      <c r="R170" s="165">
        <f t="shared" si="47"/>
        <v>14.890499999999999</v>
      </c>
      <c r="S170" s="165">
        <f t="shared" si="50"/>
        <v>0.22908461538461539</v>
      </c>
      <c r="T170" s="165">
        <f t="shared" si="48"/>
        <v>0</v>
      </c>
      <c r="U170" s="165">
        <f t="shared" si="51"/>
        <v>0.22908461538461539</v>
      </c>
    </row>
    <row r="171" spans="1:21" s="43" customFormat="1" ht="14.45" customHeight="1">
      <c r="A171" s="165">
        <v>21</v>
      </c>
      <c r="B171" s="166" t="s">
        <v>4</v>
      </c>
      <c r="C171" s="415" t="s">
        <v>53</v>
      </c>
      <c r="D171" s="167">
        <v>17.5</v>
      </c>
      <c r="E171" s="172">
        <v>35878</v>
      </c>
      <c r="F171" s="169">
        <v>2</v>
      </c>
      <c r="G171" s="169">
        <f t="shared" si="40"/>
        <v>313932.5</v>
      </c>
      <c r="H171" s="171"/>
      <c r="I171" s="169">
        <f t="shared" si="41"/>
        <v>313932.5</v>
      </c>
      <c r="J171" s="165">
        <f t="shared" si="42"/>
        <v>0</v>
      </c>
      <c r="K171" s="165">
        <f t="shared" si="43"/>
        <v>35878</v>
      </c>
      <c r="L171" s="13"/>
      <c r="M171" s="165">
        <f t="shared" si="44"/>
        <v>35878</v>
      </c>
      <c r="N171" s="165">
        <f>'Primary 1-5'!X98</f>
        <v>0</v>
      </c>
      <c r="O171" s="165">
        <f t="shared" si="45"/>
        <v>35878</v>
      </c>
      <c r="P171" s="165">
        <f t="shared" si="49"/>
        <v>0</v>
      </c>
      <c r="Q171" s="165">
        <f t="shared" si="46"/>
        <v>0</v>
      </c>
      <c r="R171" s="165">
        <f t="shared" si="47"/>
        <v>627.86500000000001</v>
      </c>
      <c r="S171" s="165">
        <f t="shared" si="50"/>
        <v>9.6594615384615388</v>
      </c>
      <c r="T171" s="165">
        <f t="shared" si="48"/>
        <v>0</v>
      </c>
      <c r="U171" s="165">
        <f t="shared" si="51"/>
        <v>9.6594615384615388</v>
      </c>
    </row>
    <row r="172" spans="1:21" s="43" customFormat="1" ht="14.45" customHeight="1">
      <c r="A172" s="165">
        <v>22</v>
      </c>
      <c r="B172" s="166" t="s">
        <v>5</v>
      </c>
      <c r="C172" s="416"/>
      <c r="D172" s="167">
        <v>14.5</v>
      </c>
      <c r="E172" s="172">
        <v>35878</v>
      </c>
      <c r="F172" s="169">
        <v>2</v>
      </c>
      <c r="G172" s="169">
        <f t="shared" si="40"/>
        <v>260115.5</v>
      </c>
      <c r="H172" s="171"/>
      <c r="I172" s="169">
        <f t="shared" si="41"/>
        <v>260115.5</v>
      </c>
      <c r="J172" s="165">
        <f t="shared" si="42"/>
        <v>0</v>
      </c>
      <c r="K172" s="165">
        <f t="shared" si="43"/>
        <v>35878</v>
      </c>
      <c r="L172" s="13"/>
      <c r="M172" s="165">
        <f t="shared" si="44"/>
        <v>35878</v>
      </c>
      <c r="N172" s="165">
        <f>'Primary 1-5'!Y98</f>
        <v>0</v>
      </c>
      <c r="O172" s="165">
        <f t="shared" si="45"/>
        <v>35878</v>
      </c>
      <c r="P172" s="165">
        <f t="shared" si="49"/>
        <v>0</v>
      </c>
      <c r="Q172" s="165">
        <f t="shared" si="46"/>
        <v>0</v>
      </c>
      <c r="R172" s="165">
        <f t="shared" si="47"/>
        <v>520.23099999999999</v>
      </c>
      <c r="S172" s="165">
        <f t="shared" si="50"/>
        <v>8.0035538461538458</v>
      </c>
      <c r="T172" s="165">
        <f t="shared" si="48"/>
        <v>0</v>
      </c>
      <c r="U172" s="165">
        <f t="shared" si="51"/>
        <v>8.0035538461538458</v>
      </c>
    </row>
    <row r="173" spans="1:21" s="43" customFormat="1" ht="14.45" customHeight="1">
      <c r="A173" s="165">
        <v>23</v>
      </c>
      <c r="B173" s="166" t="s">
        <v>6</v>
      </c>
      <c r="C173" s="416"/>
      <c r="D173" s="167">
        <v>23.5</v>
      </c>
      <c r="E173" s="172">
        <v>35878</v>
      </c>
      <c r="F173" s="169">
        <v>2</v>
      </c>
      <c r="G173" s="169">
        <f t="shared" si="40"/>
        <v>421566.5</v>
      </c>
      <c r="H173" s="171"/>
      <c r="I173" s="169">
        <f t="shared" si="41"/>
        <v>421566.5</v>
      </c>
      <c r="J173" s="165">
        <f t="shared" si="42"/>
        <v>0</v>
      </c>
      <c r="K173" s="165">
        <f t="shared" si="43"/>
        <v>35878</v>
      </c>
      <c r="L173" s="13"/>
      <c r="M173" s="165">
        <f t="shared" si="44"/>
        <v>35878</v>
      </c>
      <c r="N173" s="165">
        <f>'Primary 1-5'!Z98</f>
        <v>0</v>
      </c>
      <c r="O173" s="165">
        <f t="shared" si="45"/>
        <v>35878</v>
      </c>
      <c r="P173" s="165">
        <f t="shared" si="49"/>
        <v>0</v>
      </c>
      <c r="Q173" s="165">
        <f t="shared" si="46"/>
        <v>0</v>
      </c>
      <c r="R173" s="165">
        <f t="shared" si="47"/>
        <v>843.13300000000004</v>
      </c>
      <c r="S173" s="165">
        <f t="shared" si="50"/>
        <v>12.971276923076923</v>
      </c>
      <c r="T173" s="165">
        <f t="shared" si="48"/>
        <v>0</v>
      </c>
      <c r="U173" s="165">
        <f t="shared" si="51"/>
        <v>12.971276923076923</v>
      </c>
    </row>
    <row r="174" spans="1:21" s="43" customFormat="1" ht="14.45" customHeight="1">
      <c r="A174" s="165">
        <v>24</v>
      </c>
      <c r="B174" s="166" t="s">
        <v>204</v>
      </c>
      <c r="C174" s="416"/>
      <c r="D174" s="167">
        <v>20.5</v>
      </c>
      <c r="E174" s="172">
        <v>35878</v>
      </c>
      <c r="F174" s="169">
        <v>2</v>
      </c>
      <c r="G174" s="169">
        <f t="shared" si="40"/>
        <v>367749.5</v>
      </c>
      <c r="H174" s="171"/>
      <c r="I174" s="169">
        <f t="shared" si="41"/>
        <v>367749.5</v>
      </c>
      <c r="J174" s="165">
        <f t="shared" si="42"/>
        <v>0</v>
      </c>
      <c r="K174" s="165">
        <f t="shared" si="43"/>
        <v>35878</v>
      </c>
      <c r="L174" s="13"/>
      <c r="M174" s="165">
        <f t="shared" si="44"/>
        <v>35878</v>
      </c>
      <c r="N174" s="165">
        <f>'Primary 1-5'!AA98</f>
        <v>0</v>
      </c>
      <c r="O174" s="165">
        <f t="shared" si="45"/>
        <v>35878</v>
      </c>
      <c r="P174" s="165">
        <f t="shared" si="49"/>
        <v>0</v>
      </c>
      <c r="Q174" s="165">
        <f t="shared" si="46"/>
        <v>0</v>
      </c>
      <c r="R174" s="165">
        <f t="shared" si="47"/>
        <v>735.49900000000002</v>
      </c>
      <c r="S174" s="165">
        <f t="shared" si="50"/>
        <v>11.315369230769232</v>
      </c>
      <c r="T174" s="165">
        <f t="shared" si="48"/>
        <v>0</v>
      </c>
      <c r="U174" s="165">
        <f t="shared" si="51"/>
        <v>11.315369230769232</v>
      </c>
    </row>
    <row r="175" spans="1:21" s="43" customFormat="1" ht="14.45" customHeight="1">
      <c r="A175" s="165">
        <v>25</v>
      </c>
      <c r="B175" s="166" t="s">
        <v>7</v>
      </c>
      <c r="C175" s="416"/>
      <c r="D175" s="167">
        <v>20.5</v>
      </c>
      <c r="E175" s="172">
        <v>35878</v>
      </c>
      <c r="F175" s="169">
        <v>2</v>
      </c>
      <c r="G175" s="169">
        <f t="shared" si="40"/>
        <v>367749.5</v>
      </c>
      <c r="H175" s="171"/>
      <c r="I175" s="169">
        <f t="shared" si="41"/>
        <v>367749.5</v>
      </c>
      <c r="J175" s="165">
        <f t="shared" si="42"/>
        <v>0</v>
      </c>
      <c r="K175" s="165">
        <f t="shared" si="43"/>
        <v>35878</v>
      </c>
      <c r="L175" s="13"/>
      <c r="M175" s="165">
        <f t="shared" si="44"/>
        <v>35878</v>
      </c>
      <c r="N175" s="165">
        <f>'Primary 1-5'!AB98</f>
        <v>0</v>
      </c>
      <c r="O175" s="165">
        <f t="shared" si="45"/>
        <v>35878</v>
      </c>
      <c r="P175" s="165">
        <f t="shared" si="49"/>
        <v>0</v>
      </c>
      <c r="Q175" s="165">
        <f t="shared" si="46"/>
        <v>0</v>
      </c>
      <c r="R175" s="165">
        <f t="shared" si="47"/>
        <v>735.49900000000002</v>
      </c>
      <c r="S175" s="165">
        <f t="shared" si="50"/>
        <v>11.315369230769232</v>
      </c>
      <c r="T175" s="165">
        <f t="shared" si="48"/>
        <v>0</v>
      </c>
      <c r="U175" s="165">
        <f t="shared" si="51"/>
        <v>11.315369230769232</v>
      </c>
    </row>
    <row r="176" spans="1:21" s="43" customFormat="1" ht="14.45" customHeight="1">
      <c r="A176" s="165">
        <v>26</v>
      </c>
      <c r="B176" s="166" t="s">
        <v>8</v>
      </c>
      <c r="C176" s="416"/>
      <c r="D176" s="167">
        <v>10.5</v>
      </c>
      <c r="E176" s="172">
        <v>34554</v>
      </c>
      <c r="F176" s="169">
        <v>2</v>
      </c>
      <c r="G176" s="169">
        <f t="shared" si="40"/>
        <v>181408.5</v>
      </c>
      <c r="H176" s="171"/>
      <c r="I176" s="169">
        <f t="shared" si="41"/>
        <v>181408.5</v>
      </c>
      <c r="J176" s="165">
        <f t="shared" si="42"/>
        <v>0</v>
      </c>
      <c r="K176" s="165">
        <f t="shared" si="43"/>
        <v>34554</v>
      </c>
      <c r="L176" s="13"/>
      <c r="M176" s="165">
        <f t="shared" si="44"/>
        <v>34554</v>
      </c>
      <c r="N176" s="165">
        <f>'Primary 1-5'!AC98</f>
        <v>0</v>
      </c>
      <c r="O176" s="165">
        <f t="shared" si="45"/>
        <v>34554</v>
      </c>
      <c r="P176" s="165">
        <f t="shared" si="49"/>
        <v>0</v>
      </c>
      <c r="Q176" s="165">
        <f t="shared" si="46"/>
        <v>0</v>
      </c>
      <c r="R176" s="165">
        <f t="shared" si="47"/>
        <v>362.81700000000001</v>
      </c>
      <c r="S176" s="165">
        <f t="shared" si="50"/>
        <v>5.5818000000000003</v>
      </c>
      <c r="T176" s="165">
        <f t="shared" si="48"/>
        <v>0</v>
      </c>
      <c r="U176" s="165">
        <f t="shared" si="51"/>
        <v>5.5818000000000003</v>
      </c>
    </row>
    <row r="177" spans="1:21" s="43" customFormat="1" ht="14.45" customHeight="1">
      <c r="A177" s="165">
        <v>27</v>
      </c>
      <c r="B177" s="166" t="s">
        <v>9</v>
      </c>
      <c r="C177" s="417"/>
      <c r="D177" s="167">
        <v>12.5</v>
      </c>
      <c r="E177" s="172">
        <v>1118</v>
      </c>
      <c r="F177" s="169">
        <v>2</v>
      </c>
      <c r="G177" s="169">
        <f t="shared" si="40"/>
        <v>6987.5</v>
      </c>
      <c r="H177" s="171"/>
      <c r="I177" s="169">
        <f t="shared" si="41"/>
        <v>6987.5</v>
      </c>
      <c r="J177" s="165">
        <f t="shared" si="42"/>
        <v>0</v>
      </c>
      <c r="K177" s="165">
        <f t="shared" si="43"/>
        <v>1118</v>
      </c>
      <c r="L177" s="165"/>
      <c r="M177" s="165">
        <f t="shared" si="44"/>
        <v>1118</v>
      </c>
      <c r="N177" s="165">
        <f>'Primary 1-5'!AD98</f>
        <v>0</v>
      </c>
      <c r="O177" s="165">
        <f t="shared" si="45"/>
        <v>1118</v>
      </c>
      <c r="P177" s="165">
        <f t="shared" si="49"/>
        <v>0</v>
      </c>
      <c r="Q177" s="165">
        <f t="shared" si="46"/>
        <v>0</v>
      </c>
      <c r="R177" s="165">
        <f t="shared" si="47"/>
        <v>13.975</v>
      </c>
      <c r="S177" s="165">
        <f t="shared" si="50"/>
        <v>0.215</v>
      </c>
      <c r="T177" s="165">
        <f t="shared" si="48"/>
        <v>0</v>
      </c>
      <c r="U177" s="165">
        <f t="shared" si="51"/>
        <v>0.215</v>
      </c>
    </row>
    <row r="178" spans="1:21" s="43" customFormat="1" ht="14.45" customHeight="1">
      <c r="A178" s="403" t="s">
        <v>79</v>
      </c>
      <c r="B178" s="403"/>
      <c r="C178" s="403"/>
      <c r="D178" s="403"/>
      <c r="E178" s="42">
        <f t="shared" ref="E178:U178" si="52">SUM(E151:E177)</f>
        <v>888748</v>
      </c>
      <c r="F178" s="42">
        <f t="shared" si="52"/>
        <v>54</v>
      </c>
      <c r="G178" s="42">
        <f t="shared" si="52"/>
        <v>6860589.5</v>
      </c>
      <c r="H178" s="42">
        <f t="shared" si="52"/>
        <v>0</v>
      </c>
      <c r="I178" s="42">
        <f t="shared" si="52"/>
        <v>6860589.5</v>
      </c>
      <c r="J178" s="42">
        <f t="shared" si="52"/>
        <v>0</v>
      </c>
      <c r="K178" s="42">
        <f t="shared" si="52"/>
        <v>888748</v>
      </c>
      <c r="L178" s="42">
        <f t="shared" si="52"/>
        <v>0</v>
      </c>
      <c r="M178" s="42">
        <f t="shared" si="52"/>
        <v>888748</v>
      </c>
      <c r="N178" s="42">
        <f t="shared" si="52"/>
        <v>0</v>
      </c>
      <c r="O178" s="42">
        <f t="shared" si="52"/>
        <v>888748</v>
      </c>
      <c r="P178" s="42">
        <f t="shared" si="52"/>
        <v>0</v>
      </c>
      <c r="Q178" s="42">
        <f t="shared" si="52"/>
        <v>0</v>
      </c>
      <c r="R178" s="42">
        <f t="shared" si="52"/>
        <v>13721.178999999998</v>
      </c>
      <c r="S178" s="42">
        <f t="shared" si="52"/>
        <v>211.09506153846147</v>
      </c>
      <c r="T178" s="42">
        <f t="shared" si="52"/>
        <v>0</v>
      </c>
      <c r="U178" s="42">
        <f t="shared" si="52"/>
        <v>211.09506153846147</v>
      </c>
    </row>
    <row r="179" spans="1:21" s="43" customFormat="1" ht="21" customHeight="1">
      <c r="A179" s="30"/>
      <c r="B179" s="28"/>
      <c r="C179" s="30"/>
      <c r="D179" s="31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</row>
    <row r="180" spans="1:21" s="43" customFormat="1" ht="18.600000000000001" customHeight="1">
      <c r="A180" s="30"/>
      <c r="B180" s="28"/>
      <c r="C180" s="30"/>
      <c r="D180" s="31"/>
      <c r="E180" s="30"/>
      <c r="F180" s="30"/>
      <c r="G180" s="30"/>
      <c r="H180" s="30"/>
      <c r="I180" s="30"/>
      <c r="J180" s="30"/>
      <c r="K180" s="30"/>
      <c r="L180" s="30"/>
      <c r="M180" s="122"/>
      <c r="N180" s="122"/>
      <c r="O180" s="122"/>
      <c r="P180" s="122"/>
      <c r="Q180" s="67"/>
      <c r="R180" s="67"/>
      <c r="S180" s="67"/>
      <c r="T180" s="67"/>
      <c r="U180" s="67"/>
    </row>
    <row r="181" spans="1:21" s="43" customFormat="1" ht="18.600000000000001" customHeight="1">
      <c r="A181" s="61"/>
      <c r="B181" s="61"/>
      <c r="C181" s="61"/>
      <c r="D181" s="61"/>
      <c r="E181" s="62"/>
      <c r="F181" s="62"/>
      <c r="G181" s="62"/>
      <c r="H181" s="62"/>
      <c r="I181" s="62"/>
      <c r="J181" s="62"/>
      <c r="K181" s="62"/>
      <c r="L181" s="62"/>
      <c r="M181" s="63"/>
      <c r="N181" s="63"/>
      <c r="O181" s="63"/>
      <c r="P181" s="63"/>
      <c r="Q181" s="387" t="s">
        <v>254</v>
      </c>
      <c r="R181" s="387"/>
      <c r="S181" s="387"/>
      <c r="T181" s="387"/>
      <c r="U181" s="387"/>
    </row>
    <row r="182" spans="1:21" s="43" customFormat="1" ht="21" customHeight="1">
      <c r="A182" s="388" t="s">
        <v>178</v>
      </c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388"/>
      <c r="P182" s="388"/>
      <c r="Q182" s="388"/>
      <c r="R182" s="388"/>
      <c r="S182" s="388"/>
      <c r="T182" s="388"/>
      <c r="U182" s="388"/>
    </row>
    <row r="183" spans="1:21" s="43" customFormat="1" ht="18.600000000000001" customHeight="1">
      <c r="A183" s="379" t="s">
        <v>253</v>
      </c>
      <c r="B183" s="379"/>
      <c r="C183" s="379"/>
      <c r="D183" s="379"/>
      <c r="E183" s="379"/>
      <c r="F183" s="379"/>
      <c r="G183" s="379"/>
      <c r="H183" s="379"/>
      <c r="I183" s="379"/>
      <c r="J183" s="379"/>
      <c r="K183" s="379"/>
      <c r="L183" s="379"/>
      <c r="M183" s="379"/>
      <c r="N183" s="379"/>
      <c r="O183" s="379"/>
      <c r="P183" s="379"/>
      <c r="Q183" s="379"/>
      <c r="R183" s="379"/>
      <c r="S183" s="379"/>
      <c r="T183" s="379"/>
      <c r="U183" s="379"/>
    </row>
    <row r="184" spans="1:21" s="43" customFormat="1" ht="18.600000000000001" customHeight="1">
      <c r="A184" s="364" t="s">
        <v>274</v>
      </c>
      <c r="B184" s="364"/>
      <c r="C184" s="364"/>
      <c r="D184" s="364"/>
      <c r="E184" s="364"/>
      <c r="F184" s="364"/>
      <c r="G184" s="364"/>
      <c r="H184" s="364"/>
      <c r="I184" s="364"/>
      <c r="J184" s="364"/>
      <c r="K184" s="364"/>
      <c r="L184" s="364"/>
      <c r="M184" s="364"/>
      <c r="N184" s="364"/>
      <c r="O184" s="364"/>
      <c r="P184" s="364"/>
      <c r="Q184" s="364"/>
      <c r="R184" s="364"/>
      <c r="S184" s="364"/>
      <c r="T184" s="364"/>
      <c r="U184" s="364"/>
    </row>
    <row r="185" spans="1:21" s="43" customFormat="1" ht="20.25">
      <c r="A185" s="400" t="s">
        <v>275</v>
      </c>
      <c r="B185" s="400"/>
      <c r="C185" s="400"/>
      <c r="D185" s="400"/>
      <c r="E185" s="400"/>
      <c r="F185" s="400"/>
      <c r="G185" s="400"/>
      <c r="H185" s="400"/>
      <c r="I185" s="400"/>
      <c r="J185" s="400"/>
      <c r="K185" s="400"/>
      <c r="L185" s="400"/>
      <c r="M185" s="400"/>
      <c r="N185" s="400"/>
      <c r="O185" s="400"/>
      <c r="P185" s="400"/>
      <c r="Q185" s="400"/>
      <c r="R185" s="378">
        <f>R153</f>
        <v>598.18499999999995</v>
      </c>
      <c r="S185" s="378"/>
      <c r="T185" s="378"/>
      <c r="U185" s="378"/>
    </row>
    <row r="186" spans="1:21" s="43" customFormat="1" ht="14.45" customHeight="1">
      <c r="A186" s="405" t="s">
        <v>0</v>
      </c>
      <c r="B186" s="405" t="s">
        <v>10</v>
      </c>
      <c r="C186" s="405" t="s">
        <v>1</v>
      </c>
      <c r="D186" s="411" t="s">
        <v>11</v>
      </c>
      <c r="E186" s="156" t="s">
        <v>223</v>
      </c>
      <c r="F186" s="149" t="s">
        <v>11</v>
      </c>
      <c r="G186" s="371" t="s">
        <v>113</v>
      </c>
      <c r="H186" s="372"/>
      <c r="I186" s="373"/>
      <c r="J186" s="397" t="s">
        <v>115</v>
      </c>
      <c r="K186" s="397"/>
      <c r="L186" s="401" t="s">
        <v>83</v>
      </c>
      <c r="M186" s="402"/>
      <c r="N186" s="398" t="s">
        <v>3</v>
      </c>
      <c r="O186" s="398"/>
      <c r="P186" s="398" t="s">
        <v>89</v>
      </c>
      <c r="Q186" s="398" t="s">
        <v>145</v>
      </c>
      <c r="R186" s="397" t="s">
        <v>134</v>
      </c>
      <c r="S186" s="397"/>
      <c r="T186" s="397"/>
      <c r="U186" s="397"/>
    </row>
    <row r="187" spans="1:21" s="43" customFormat="1" ht="14.45" customHeight="1">
      <c r="A187" s="406"/>
      <c r="B187" s="406"/>
      <c r="C187" s="406"/>
      <c r="D187" s="412"/>
      <c r="E187" s="144" t="s">
        <v>271</v>
      </c>
      <c r="F187" s="150"/>
      <c r="G187" s="138" t="s">
        <v>426</v>
      </c>
      <c r="H187" s="144" t="s">
        <v>82</v>
      </c>
      <c r="I187" s="144" t="s">
        <v>38</v>
      </c>
      <c r="J187" s="183" t="s">
        <v>82</v>
      </c>
      <c r="K187" s="183" t="s">
        <v>38</v>
      </c>
      <c r="L187" s="144" t="s">
        <v>83</v>
      </c>
      <c r="M187" s="144" t="s">
        <v>38</v>
      </c>
      <c r="N187" s="144" t="s">
        <v>3</v>
      </c>
      <c r="O187" s="144" t="s">
        <v>38</v>
      </c>
      <c r="P187" s="398"/>
      <c r="Q187" s="398"/>
      <c r="R187" s="183" t="s">
        <v>90</v>
      </c>
      <c r="S187" s="183" t="s">
        <v>154</v>
      </c>
      <c r="T187" s="183" t="s">
        <v>135</v>
      </c>
      <c r="U187" s="183" t="s">
        <v>38</v>
      </c>
    </row>
    <row r="188" spans="1:21" s="43" customFormat="1" ht="14.45" customHeight="1">
      <c r="A188" s="165">
        <v>1</v>
      </c>
      <c r="B188" s="166" t="s">
        <v>4</v>
      </c>
      <c r="C188" s="415" t="s">
        <v>12</v>
      </c>
      <c r="D188" s="167">
        <v>11</v>
      </c>
      <c r="E188" s="172">
        <v>22797</v>
      </c>
      <c r="F188" s="169">
        <v>2</v>
      </c>
      <c r="G188" s="169">
        <f t="shared" ref="G188:G214" si="53">D188/F188*E188</f>
        <v>125383.5</v>
      </c>
      <c r="H188" s="171"/>
      <c r="I188" s="169">
        <f t="shared" ref="I188:I214" si="54">G188-H188</f>
        <v>125383.5</v>
      </c>
      <c r="J188" s="165">
        <f t="shared" ref="J188:J214" si="55">H188/D188*2</f>
        <v>0</v>
      </c>
      <c r="K188" s="165">
        <f t="shared" ref="K188:K214" si="56">E188-J188</f>
        <v>22797</v>
      </c>
      <c r="L188" s="13"/>
      <c r="M188" s="165">
        <f t="shared" ref="M188:M214" si="57">E188-L188</f>
        <v>22797</v>
      </c>
      <c r="N188" s="165">
        <f>'Primary 1-5'!D125</f>
        <v>0</v>
      </c>
      <c r="O188" s="165">
        <f t="shared" ref="O188:O214" si="58">E188-N188</f>
        <v>22797</v>
      </c>
      <c r="P188" s="165">
        <f>L188-N188</f>
        <v>0</v>
      </c>
      <c r="Q188" s="165">
        <f t="shared" ref="Q188:Q214" si="59">D188*L188/1000</f>
        <v>0</v>
      </c>
      <c r="R188" s="165">
        <f t="shared" ref="R188:R214" si="60">D188*E188/1000</f>
        <v>250.767</v>
      </c>
      <c r="S188" s="165">
        <f>R188/65</f>
        <v>3.8579538461538463</v>
      </c>
      <c r="T188" s="165">
        <f t="shared" ref="T188:T214" si="61">D188*J188/1000/65</f>
        <v>0</v>
      </c>
      <c r="U188" s="165">
        <f>S188-T188</f>
        <v>3.8579538461538463</v>
      </c>
    </row>
    <row r="189" spans="1:21" s="43" customFormat="1" ht="14.45" customHeight="1">
      <c r="A189" s="165">
        <v>2</v>
      </c>
      <c r="B189" s="166" t="s">
        <v>5</v>
      </c>
      <c r="C189" s="416"/>
      <c r="D189" s="167">
        <v>12</v>
      </c>
      <c r="E189" s="172">
        <v>22797</v>
      </c>
      <c r="F189" s="169">
        <v>2</v>
      </c>
      <c r="G189" s="169">
        <f t="shared" si="53"/>
        <v>136782</v>
      </c>
      <c r="H189" s="171"/>
      <c r="I189" s="169">
        <f t="shared" si="54"/>
        <v>136782</v>
      </c>
      <c r="J189" s="165">
        <f t="shared" si="55"/>
        <v>0</v>
      </c>
      <c r="K189" s="165">
        <f t="shared" si="56"/>
        <v>22797</v>
      </c>
      <c r="L189" s="13"/>
      <c r="M189" s="165">
        <f t="shared" si="57"/>
        <v>22797</v>
      </c>
      <c r="N189" s="165">
        <f>'Primary 1-5'!E125</f>
        <v>0</v>
      </c>
      <c r="O189" s="165">
        <f t="shared" si="58"/>
        <v>22797</v>
      </c>
      <c r="P189" s="165">
        <f t="shared" ref="P189:P214" si="62">L189-N189</f>
        <v>0</v>
      </c>
      <c r="Q189" s="165">
        <f t="shared" si="59"/>
        <v>0</v>
      </c>
      <c r="R189" s="165">
        <f t="shared" si="60"/>
        <v>273.56400000000002</v>
      </c>
      <c r="S189" s="165">
        <f t="shared" ref="S189:S214" si="63">R189/65</f>
        <v>4.208676923076923</v>
      </c>
      <c r="T189" s="165">
        <f t="shared" si="61"/>
        <v>0</v>
      </c>
      <c r="U189" s="165">
        <f t="shared" ref="U189:U214" si="64">S189-T189</f>
        <v>4.208676923076923</v>
      </c>
    </row>
    <row r="190" spans="1:21" s="43" customFormat="1" ht="14.45" customHeight="1">
      <c r="A190" s="165">
        <v>3</v>
      </c>
      <c r="B190" s="166" t="s">
        <v>6</v>
      </c>
      <c r="C190" s="417"/>
      <c r="D190" s="167">
        <v>15</v>
      </c>
      <c r="E190" s="172">
        <v>22797</v>
      </c>
      <c r="F190" s="169">
        <v>2</v>
      </c>
      <c r="G190" s="169">
        <f t="shared" si="53"/>
        <v>170977.5</v>
      </c>
      <c r="H190" s="171"/>
      <c r="I190" s="169">
        <f t="shared" si="54"/>
        <v>170977.5</v>
      </c>
      <c r="J190" s="165">
        <f t="shared" si="55"/>
        <v>0</v>
      </c>
      <c r="K190" s="165">
        <f t="shared" si="56"/>
        <v>22797</v>
      </c>
      <c r="L190" s="13"/>
      <c r="M190" s="165">
        <f t="shared" si="57"/>
        <v>22797</v>
      </c>
      <c r="N190" s="165">
        <f>'Primary 1-5'!F125</f>
        <v>0</v>
      </c>
      <c r="O190" s="165">
        <f t="shared" si="58"/>
        <v>22797</v>
      </c>
      <c r="P190" s="165">
        <f t="shared" si="62"/>
        <v>0</v>
      </c>
      <c r="Q190" s="165">
        <f t="shared" si="59"/>
        <v>0</v>
      </c>
      <c r="R190" s="165">
        <f t="shared" si="60"/>
        <v>341.95499999999998</v>
      </c>
      <c r="S190" s="165">
        <f t="shared" si="63"/>
        <v>5.2608461538461535</v>
      </c>
      <c r="T190" s="165">
        <f t="shared" si="61"/>
        <v>0</v>
      </c>
      <c r="U190" s="165">
        <f t="shared" si="64"/>
        <v>5.2608461538461535</v>
      </c>
    </row>
    <row r="191" spans="1:21" s="43" customFormat="1" ht="14.45" customHeight="1">
      <c r="A191" s="165">
        <v>4</v>
      </c>
      <c r="B191" s="166" t="s">
        <v>4</v>
      </c>
      <c r="C191" s="415" t="s">
        <v>13</v>
      </c>
      <c r="D191" s="167">
        <v>9</v>
      </c>
      <c r="E191" s="172">
        <v>23865</v>
      </c>
      <c r="F191" s="169">
        <v>2</v>
      </c>
      <c r="G191" s="169">
        <f t="shared" si="53"/>
        <v>107392.5</v>
      </c>
      <c r="H191" s="171"/>
      <c r="I191" s="169">
        <f t="shared" si="54"/>
        <v>107392.5</v>
      </c>
      <c r="J191" s="165">
        <f t="shared" si="55"/>
        <v>0</v>
      </c>
      <c r="K191" s="165">
        <f t="shared" si="56"/>
        <v>23865</v>
      </c>
      <c r="L191" s="13"/>
      <c r="M191" s="165">
        <f t="shared" si="57"/>
        <v>23865</v>
      </c>
      <c r="N191" s="165">
        <f>'Primary 1-5'!G125</f>
        <v>0</v>
      </c>
      <c r="O191" s="165">
        <f t="shared" si="58"/>
        <v>23865</v>
      </c>
      <c r="P191" s="165">
        <f t="shared" si="62"/>
        <v>0</v>
      </c>
      <c r="Q191" s="165">
        <f t="shared" si="59"/>
        <v>0</v>
      </c>
      <c r="R191" s="165">
        <f t="shared" si="60"/>
        <v>214.785</v>
      </c>
      <c r="S191" s="165">
        <f t="shared" si="63"/>
        <v>3.3043846153846155</v>
      </c>
      <c r="T191" s="165">
        <f t="shared" si="61"/>
        <v>0</v>
      </c>
      <c r="U191" s="165">
        <f t="shared" si="64"/>
        <v>3.3043846153846155</v>
      </c>
    </row>
    <row r="192" spans="1:21" s="43" customFormat="1" ht="14.45" customHeight="1">
      <c r="A192" s="165">
        <v>5</v>
      </c>
      <c r="B192" s="166" t="s">
        <v>5</v>
      </c>
      <c r="C192" s="416"/>
      <c r="D192" s="167">
        <v>13</v>
      </c>
      <c r="E192" s="172">
        <v>23865</v>
      </c>
      <c r="F192" s="169">
        <v>2</v>
      </c>
      <c r="G192" s="169">
        <f t="shared" si="53"/>
        <v>155122.5</v>
      </c>
      <c r="H192" s="171"/>
      <c r="I192" s="169">
        <f t="shared" si="54"/>
        <v>155122.5</v>
      </c>
      <c r="J192" s="165">
        <f t="shared" si="55"/>
        <v>0</v>
      </c>
      <c r="K192" s="165">
        <f t="shared" si="56"/>
        <v>23865</v>
      </c>
      <c r="L192" s="13"/>
      <c r="M192" s="165">
        <f t="shared" si="57"/>
        <v>23865</v>
      </c>
      <c r="N192" s="165">
        <f>'Primary 1-5'!H125</f>
        <v>0</v>
      </c>
      <c r="O192" s="165">
        <f t="shared" si="58"/>
        <v>23865</v>
      </c>
      <c r="P192" s="165">
        <f t="shared" si="62"/>
        <v>0</v>
      </c>
      <c r="Q192" s="165">
        <f t="shared" si="59"/>
        <v>0</v>
      </c>
      <c r="R192" s="165">
        <f t="shared" si="60"/>
        <v>310.245</v>
      </c>
      <c r="S192" s="165">
        <f t="shared" si="63"/>
        <v>4.7729999999999997</v>
      </c>
      <c r="T192" s="165">
        <f t="shared" si="61"/>
        <v>0</v>
      </c>
      <c r="U192" s="165">
        <f t="shared" si="64"/>
        <v>4.7729999999999997</v>
      </c>
    </row>
    <row r="193" spans="1:21" s="43" customFormat="1" ht="14.45" customHeight="1">
      <c r="A193" s="165">
        <v>6</v>
      </c>
      <c r="B193" s="166" t="s">
        <v>6</v>
      </c>
      <c r="C193" s="417"/>
      <c r="D193" s="167">
        <v>17</v>
      </c>
      <c r="E193" s="172">
        <v>23865</v>
      </c>
      <c r="F193" s="169">
        <v>2</v>
      </c>
      <c r="G193" s="169">
        <f t="shared" si="53"/>
        <v>202852.5</v>
      </c>
      <c r="H193" s="171"/>
      <c r="I193" s="169">
        <f t="shared" si="54"/>
        <v>202852.5</v>
      </c>
      <c r="J193" s="165">
        <f t="shared" si="55"/>
        <v>0</v>
      </c>
      <c r="K193" s="165">
        <f t="shared" si="56"/>
        <v>23865</v>
      </c>
      <c r="L193" s="13"/>
      <c r="M193" s="165">
        <f t="shared" si="57"/>
        <v>23865</v>
      </c>
      <c r="N193" s="165">
        <f>'Primary 1-5'!I125</f>
        <v>0</v>
      </c>
      <c r="O193" s="165">
        <f t="shared" si="58"/>
        <v>23865</v>
      </c>
      <c r="P193" s="165">
        <f t="shared" si="62"/>
        <v>0</v>
      </c>
      <c r="Q193" s="165">
        <f t="shared" si="59"/>
        <v>0</v>
      </c>
      <c r="R193" s="165">
        <f t="shared" si="60"/>
        <v>405.70499999999998</v>
      </c>
      <c r="S193" s="165">
        <f t="shared" si="63"/>
        <v>6.2416153846153843</v>
      </c>
      <c r="T193" s="165">
        <f t="shared" si="61"/>
        <v>0</v>
      </c>
      <c r="U193" s="165">
        <f t="shared" si="64"/>
        <v>6.2416153846153843</v>
      </c>
    </row>
    <row r="194" spans="1:21" s="43" customFormat="1" ht="14.45" customHeight="1">
      <c r="A194" s="165">
        <v>7</v>
      </c>
      <c r="B194" s="166" t="s">
        <v>4</v>
      </c>
      <c r="C194" s="415" t="s">
        <v>14</v>
      </c>
      <c r="D194" s="170">
        <v>13.5</v>
      </c>
      <c r="E194" s="172">
        <v>25868</v>
      </c>
      <c r="F194" s="169">
        <v>2</v>
      </c>
      <c r="G194" s="169">
        <f t="shared" si="53"/>
        <v>174609</v>
      </c>
      <c r="H194" s="171"/>
      <c r="I194" s="169">
        <f t="shared" si="54"/>
        <v>174609</v>
      </c>
      <c r="J194" s="165">
        <f t="shared" si="55"/>
        <v>0</v>
      </c>
      <c r="K194" s="165">
        <f t="shared" si="56"/>
        <v>25868</v>
      </c>
      <c r="L194" s="13"/>
      <c r="M194" s="165">
        <f t="shared" si="57"/>
        <v>25868</v>
      </c>
      <c r="N194" s="165">
        <f>'Primary 1-5'!J125</f>
        <v>0</v>
      </c>
      <c r="O194" s="165">
        <f t="shared" si="58"/>
        <v>25868</v>
      </c>
      <c r="P194" s="165">
        <f t="shared" si="62"/>
        <v>0</v>
      </c>
      <c r="Q194" s="165">
        <f t="shared" si="59"/>
        <v>0</v>
      </c>
      <c r="R194" s="165">
        <f t="shared" si="60"/>
        <v>349.21800000000002</v>
      </c>
      <c r="S194" s="165">
        <f t="shared" si="63"/>
        <v>5.372584615384616</v>
      </c>
      <c r="T194" s="165">
        <f t="shared" si="61"/>
        <v>0</v>
      </c>
      <c r="U194" s="165">
        <f t="shared" si="64"/>
        <v>5.372584615384616</v>
      </c>
    </row>
    <row r="195" spans="1:21" s="43" customFormat="1" ht="14.45" customHeight="1">
      <c r="A195" s="165">
        <v>8</v>
      </c>
      <c r="B195" s="166" t="s">
        <v>5</v>
      </c>
      <c r="C195" s="416"/>
      <c r="D195" s="167">
        <v>16</v>
      </c>
      <c r="E195" s="172">
        <v>25868</v>
      </c>
      <c r="F195" s="169">
        <v>2</v>
      </c>
      <c r="G195" s="169">
        <f t="shared" si="53"/>
        <v>206944</v>
      </c>
      <c r="H195" s="171"/>
      <c r="I195" s="169">
        <f t="shared" si="54"/>
        <v>206944</v>
      </c>
      <c r="J195" s="165">
        <f t="shared" si="55"/>
        <v>0</v>
      </c>
      <c r="K195" s="165">
        <f t="shared" si="56"/>
        <v>25868</v>
      </c>
      <c r="L195" s="13"/>
      <c r="M195" s="165">
        <f t="shared" si="57"/>
        <v>25868</v>
      </c>
      <c r="N195" s="165">
        <f>'Primary 1-5'!K125</f>
        <v>0</v>
      </c>
      <c r="O195" s="165">
        <f t="shared" si="58"/>
        <v>25868</v>
      </c>
      <c r="P195" s="165">
        <f t="shared" si="62"/>
        <v>0</v>
      </c>
      <c r="Q195" s="165">
        <f t="shared" si="59"/>
        <v>0</v>
      </c>
      <c r="R195" s="165">
        <f t="shared" si="60"/>
        <v>413.88799999999998</v>
      </c>
      <c r="S195" s="165">
        <f t="shared" si="63"/>
        <v>6.3675076923076919</v>
      </c>
      <c r="T195" s="165">
        <f t="shared" si="61"/>
        <v>0</v>
      </c>
      <c r="U195" s="165">
        <f t="shared" si="64"/>
        <v>6.3675076923076919</v>
      </c>
    </row>
    <row r="196" spans="1:21" s="43" customFormat="1" ht="14.45" customHeight="1">
      <c r="A196" s="165">
        <v>9</v>
      </c>
      <c r="B196" s="166" t="s">
        <v>6</v>
      </c>
      <c r="C196" s="416"/>
      <c r="D196" s="167">
        <v>20</v>
      </c>
      <c r="E196" s="172">
        <v>25868</v>
      </c>
      <c r="F196" s="169">
        <v>2</v>
      </c>
      <c r="G196" s="169">
        <f t="shared" si="53"/>
        <v>258680</v>
      </c>
      <c r="H196" s="171"/>
      <c r="I196" s="169">
        <f t="shared" si="54"/>
        <v>258680</v>
      </c>
      <c r="J196" s="165">
        <f t="shared" si="55"/>
        <v>0</v>
      </c>
      <c r="K196" s="165">
        <f t="shared" si="56"/>
        <v>25868</v>
      </c>
      <c r="L196" s="13"/>
      <c r="M196" s="165">
        <f t="shared" si="57"/>
        <v>25868</v>
      </c>
      <c r="N196" s="165">
        <f>'Primary 1-5'!L125</f>
        <v>0</v>
      </c>
      <c r="O196" s="165">
        <f t="shared" si="58"/>
        <v>25868</v>
      </c>
      <c r="P196" s="165">
        <f t="shared" si="62"/>
        <v>0</v>
      </c>
      <c r="Q196" s="165">
        <f t="shared" si="59"/>
        <v>0</v>
      </c>
      <c r="R196" s="165">
        <f t="shared" si="60"/>
        <v>517.36</v>
      </c>
      <c r="S196" s="165">
        <f t="shared" si="63"/>
        <v>7.9593846153846153</v>
      </c>
      <c r="T196" s="165">
        <f t="shared" si="61"/>
        <v>0</v>
      </c>
      <c r="U196" s="165">
        <f t="shared" si="64"/>
        <v>7.9593846153846153</v>
      </c>
    </row>
    <row r="197" spans="1:21" s="43" customFormat="1" ht="14.45" customHeight="1">
      <c r="A197" s="165">
        <v>10</v>
      </c>
      <c r="B197" s="166" t="s">
        <v>204</v>
      </c>
      <c r="C197" s="416"/>
      <c r="D197" s="170">
        <v>14.5</v>
      </c>
      <c r="E197" s="172">
        <v>25868</v>
      </c>
      <c r="F197" s="169">
        <v>2</v>
      </c>
      <c r="G197" s="169">
        <f t="shared" si="53"/>
        <v>187543</v>
      </c>
      <c r="H197" s="171"/>
      <c r="I197" s="169">
        <f t="shared" si="54"/>
        <v>187543</v>
      </c>
      <c r="J197" s="165">
        <f t="shared" si="55"/>
        <v>0</v>
      </c>
      <c r="K197" s="165">
        <f t="shared" si="56"/>
        <v>25868</v>
      </c>
      <c r="L197" s="13"/>
      <c r="M197" s="165">
        <f t="shared" si="57"/>
        <v>25868</v>
      </c>
      <c r="N197" s="165">
        <f>'Primary 1-5'!M125</f>
        <v>0</v>
      </c>
      <c r="O197" s="165">
        <f t="shared" si="58"/>
        <v>25868</v>
      </c>
      <c r="P197" s="165">
        <f t="shared" si="62"/>
        <v>0</v>
      </c>
      <c r="Q197" s="165">
        <f t="shared" si="59"/>
        <v>0</v>
      </c>
      <c r="R197" s="165">
        <f t="shared" si="60"/>
        <v>375.08600000000001</v>
      </c>
      <c r="S197" s="165">
        <f t="shared" si="63"/>
        <v>5.7705538461538461</v>
      </c>
      <c r="T197" s="165">
        <f t="shared" si="61"/>
        <v>0</v>
      </c>
      <c r="U197" s="165">
        <f t="shared" si="64"/>
        <v>5.7705538461538461</v>
      </c>
    </row>
    <row r="198" spans="1:21" s="43" customFormat="1" ht="14.45" customHeight="1">
      <c r="A198" s="165">
        <v>11</v>
      </c>
      <c r="B198" s="166" t="s">
        <v>7</v>
      </c>
      <c r="C198" s="416"/>
      <c r="D198" s="167">
        <v>19</v>
      </c>
      <c r="E198" s="172">
        <v>25868</v>
      </c>
      <c r="F198" s="169">
        <v>2</v>
      </c>
      <c r="G198" s="169">
        <f t="shared" si="53"/>
        <v>245746</v>
      </c>
      <c r="H198" s="171"/>
      <c r="I198" s="169">
        <f t="shared" si="54"/>
        <v>245746</v>
      </c>
      <c r="J198" s="165">
        <f t="shared" si="55"/>
        <v>0</v>
      </c>
      <c r="K198" s="165">
        <f t="shared" si="56"/>
        <v>25868</v>
      </c>
      <c r="L198" s="13"/>
      <c r="M198" s="165">
        <f t="shared" si="57"/>
        <v>25868</v>
      </c>
      <c r="N198" s="165">
        <f>'Primary 1-5'!N125</f>
        <v>0</v>
      </c>
      <c r="O198" s="165">
        <f t="shared" si="58"/>
        <v>25868</v>
      </c>
      <c r="P198" s="165">
        <f t="shared" si="62"/>
        <v>0</v>
      </c>
      <c r="Q198" s="165">
        <f t="shared" si="59"/>
        <v>0</v>
      </c>
      <c r="R198" s="165">
        <f t="shared" si="60"/>
        <v>491.49200000000002</v>
      </c>
      <c r="S198" s="165">
        <f t="shared" si="63"/>
        <v>7.5614153846153851</v>
      </c>
      <c r="T198" s="165">
        <f t="shared" si="61"/>
        <v>0</v>
      </c>
      <c r="U198" s="165">
        <f t="shared" si="64"/>
        <v>7.5614153846153851</v>
      </c>
    </row>
    <row r="199" spans="1:21" s="43" customFormat="1" ht="14.45" customHeight="1">
      <c r="A199" s="165">
        <v>12</v>
      </c>
      <c r="B199" s="166" t="s">
        <v>8</v>
      </c>
      <c r="C199" s="416"/>
      <c r="D199" s="167">
        <v>9</v>
      </c>
      <c r="E199" s="172">
        <v>22405</v>
      </c>
      <c r="F199" s="169">
        <v>2</v>
      </c>
      <c r="G199" s="169">
        <f t="shared" si="53"/>
        <v>100822.5</v>
      </c>
      <c r="H199" s="171"/>
      <c r="I199" s="169">
        <f t="shared" si="54"/>
        <v>100822.5</v>
      </c>
      <c r="J199" s="165">
        <f t="shared" si="55"/>
        <v>0</v>
      </c>
      <c r="K199" s="165">
        <f t="shared" si="56"/>
        <v>22405</v>
      </c>
      <c r="L199" s="13"/>
      <c r="M199" s="165">
        <f t="shared" si="57"/>
        <v>22405</v>
      </c>
      <c r="N199" s="165">
        <f>'Primary 1-5'!O125</f>
        <v>0</v>
      </c>
      <c r="O199" s="165">
        <f t="shared" si="58"/>
        <v>22405</v>
      </c>
      <c r="P199" s="165">
        <f t="shared" si="62"/>
        <v>0</v>
      </c>
      <c r="Q199" s="165">
        <f t="shared" si="59"/>
        <v>0</v>
      </c>
      <c r="R199" s="165">
        <f t="shared" si="60"/>
        <v>201.64500000000001</v>
      </c>
      <c r="S199" s="165">
        <f t="shared" si="63"/>
        <v>3.1022307692307693</v>
      </c>
      <c r="T199" s="165">
        <f t="shared" si="61"/>
        <v>0</v>
      </c>
      <c r="U199" s="165">
        <f t="shared" si="64"/>
        <v>3.1022307692307693</v>
      </c>
    </row>
    <row r="200" spans="1:21" s="43" customFormat="1" ht="14.45" customHeight="1">
      <c r="A200" s="165">
        <v>13</v>
      </c>
      <c r="B200" s="166" t="s">
        <v>9</v>
      </c>
      <c r="C200" s="417"/>
      <c r="D200" s="167">
        <v>11.5</v>
      </c>
      <c r="E200" s="172">
        <v>3332</v>
      </c>
      <c r="F200" s="169">
        <v>2</v>
      </c>
      <c r="G200" s="169">
        <f t="shared" si="53"/>
        <v>19159</v>
      </c>
      <c r="H200" s="171"/>
      <c r="I200" s="169">
        <f t="shared" si="54"/>
        <v>19159</v>
      </c>
      <c r="J200" s="165">
        <f t="shared" si="55"/>
        <v>0</v>
      </c>
      <c r="K200" s="165">
        <f t="shared" si="56"/>
        <v>3332</v>
      </c>
      <c r="L200" s="13"/>
      <c r="M200" s="165">
        <f t="shared" si="57"/>
        <v>3332</v>
      </c>
      <c r="N200" s="165">
        <f>'Primary 1-5'!P125</f>
        <v>0</v>
      </c>
      <c r="O200" s="165">
        <f t="shared" si="58"/>
        <v>3332</v>
      </c>
      <c r="P200" s="165">
        <f t="shared" si="62"/>
        <v>0</v>
      </c>
      <c r="Q200" s="165">
        <f t="shared" si="59"/>
        <v>0</v>
      </c>
      <c r="R200" s="165">
        <f t="shared" si="60"/>
        <v>38.317999999999998</v>
      </c>
      <c r="S200" s="165">
        <f t="shared" si="63"/>
        <v>0.58950769230769229</v>
      </c>
      <c r="T200" s="165">
        <f t="shared" si="61"/>
        <v>0</v>
      </c>
      <c r="U200" s="165">
        <f t="shared" si="64"/>
        <v>0.58950769230769229</v>
      </c>
    </row>
    <row r="201" spans="1:21" s="43" customFormat="1" ht="14.45" customHeight="1">
      <c r="A201" s="165">
        <v>14</v>
      </c>
      <c r="B201" s="166" t="s">
        <v>4</v>
      </c>
      <c r="C201" s="415" t="s">
        <v>52</v>
      </c>
      <c r="D201" s="167">
        <v>16.5</v>
      </c>
      <c r="E201" s="172">
        <v>28087</v>
      </c>
      <c r="F201" s="169">
        <v>2</v>
      </c>
      <c r="G201" s="169">
        <f t="shared" si="53"/>
        <v>231717.75</v>
      </c>
      <c r="H201" s="171"/>
      <c r="I201" s="169">
        <f t="shared" si="54"/>
        <v>231717.75</v>
      </c>
      <c r="J201" s="165">
        <f t="shared" si="55"/>
        <v>0</v>
      </c>
      <c r="K201" s="165">
        <f t="shared" si="56"/>
        <v>28087</v>
      </c>
      <c r="L201" s="13"/>
      <c r="M201" s="165">
        <f t="shared" si="57"/>
        <v>28087</v>
      </c>
      <c r="N201" s="165">
        <f>'Primary 1-5'!Q125</f>
        <v>0</v>
      </c>
      <c r="O201" s="165">
        <f t="shared" si="58"/>
        <v>28087</v>
      </c>
      <c r="P201" s="165">
        <f t="shared" si="62"/>
        <v>0</v>
      </c>
      <c r="Q201" s="165">
        <f t="shared" si="59"/>
        <v>0</v>
      </c>
      <c r="R201" s="165">
        <f t="shared" si="60"/>
        <v>463.43549999999999</v>
      </c>
      <c r="S201" s="165">
        <f t="shared" si="63"/>
        <v>7.129776923076923</v>
      </c>
      <c r="T201" s="165">
        <f t="shared" si="61"/>
        <v>0</v>
      </c>
      <c r="U201" s="165">
        <f t="shared" si="64"/>
        <v>7.129776923076923</v>
      </c>
    </row>
    <row r="202" spans="1:21" s="43" customFormat="1" ht="14.45" customHeight="1">
      <c r="A202" s="165">
        <v>15</v>
      </c>
      <c r="B202" s="166" t="s">
        <v>5</v>
      </c>
      <c r="C202" s="416"/>
      <c r="D202" s="167">
        <v>12</v>
      </c>
      <c r="E202" s="172">
        <v>28087</v>
      </c>
      <c r="F202" s="169">
        <v>2</v>
      </c>
      <c r="G202" s="169">
        <f t="shared" si="53"/>
        <v>168522</v>
      </c>
      <c r="H202" s="171"/>
      <c r="I202" s="169">
        <f t="shared" si="54"/>
        <v>168522</v>
      </c>
      <c r="J202" s="165">
        <f t="shared" si="55"/>
        <v>0</v>
      </c>
      <c r="K202" s="165">
        <f t="shared" si="56"/>
        <v>28087</v>
      </c>
      <c r="L202" s="13"/>
      <c r="M202" s="165">
        <f t="shared" si="57"/>
        <v>28087</v>
      </c>
      <c r="N202" s="165">
        <f>'Primary 1-5'!R125</f>
        <v>0</v>
      </c>
      <c r="O202" s="165">
        <f t="shared" si="58"/>
        <v>28087</v>
      </c>
      <c r="P202" s="165">
        <f t="shared" si="62"/>
        <v>0</v>
      </c>
      <c r="Q202" s="165">
        <f t="shared" si="59"/>
        <v>0</v>
      </c>
      <c r="R202" s="165">
        <f t="shared" si="60"/>
        <v>337.04399999999998</v>
      </c>
      <c r="S202" s="165">
        <f t="shared" si="63"/>
        <v>5.1852923076923076</v>
      </c>
      <c r="T202" s="165">
        <f t="shared" si="61"/>
        <v>0</v>
      </c>
      <c r="U202" s="165">
        <f t="shared" si="64"/>
        <v>5.1852923076923076</v>
      </c>
    </row>
    <row r="203" spans="1:21" s="43" customFormat="1" ht="14.45" customHeight="1">
      <c r="A203" s="165">
        <v>16</v>
      </c>
      <c r="B203" s="166" t="s">
        <v>6</v>
      </c>
      <c r="C203" s="416"/>
      <c r="D203" s="167">
        <v>22.5</v>
      </c>
      <c r="E203" s="172">
        <v>28087</v>
      </c>
      <c r="F203" s="169">
        <v>2</v>
      </c>
      <c r="G203" s="169">
        <f t="shared" si="53"/>
        <v>315978.75</v>
      </c>
      <c r="H203" s="171"/>
      <c r="I203" s="169">
        <f t="shared" si="54"/>
        <v>315978.75</v>
      </c>
      <c r="J203" s="165">
        <f t="shared" si="55"/>
        <v>0</v>
      </c>
      <c r="K203" s="165">
        <f t="shared" si="56"/>
        <v>28087</v>
      </c>
      <c r="L203" s="13"/>
      <c r="M203" s="165">
        <f t="shared" si="57"/>
        <v>28087</v>
      </c>
      <c r="N203" s="165">
        <f>'Primary 1-5'!S125</f>
        <v>0</v>
      </c>
      <c r="O203" s="165">
        <f t="shared" si="58"/>
        <v>28087</v>
      </c>
      <c r="P203" s="165">
        <f t="shared" si="62"/>
        <v>0</v>
      </c>
      <c r="Q203" s="165">
        <f t="shared" si="59"/>
        <v>0</v>
      </c>
      <c r="R203" s="165">
        <f t="shared" si="60"/>
        <v>631.95749999999998</v>
      </c>
      <c r="S203" s="165">
        <f t="shared" si="63"/>
        <v>9.7224230769230768</v>
      </c>
      <c r="T203" s="165">
        <f t="shared" si="61"/>
        <v>0</v>
      </c>
      <c r="U203" s="165">
        <f t="shared" si="64"/>
        <v>9.7224230769230768</v>
      </c>
    </row>
    <row r="204" spans="1:21" s="43" customFormat="1" ht="14.45" customHeight="1">
      <c r="A204" s="165">
        <v>17</v>
      </c>
      <c r="B204" s="166" t="s">
        <v>204</v>
      </c>
      <c r="C204" s="416"/>
      <c r="D204" s="167">
        <v>15</v>
      </c>
      <c r="E204" s="172">
        <v>28087</v>
      </c>
      <c r="F204" s="169">
        <v>2</v>
      </c>
      <c r="G204" s="169">
        <f t="shared" si="53"/>
        <v>210652.5</v>
      </c>
      <c r="H204" s="171"/>
      <c r="I204" s="169">
        <f t="shared" si="54"/>
        <v>210652.5</v>
      </c>
      <c r="J204" s="165">
        <f t="shared" si="55"/>
        <v>0</v>
      </c>
      <c r="K204" s="165">
        <f t="shared" si="56"/>
        <v>28087</v>
      </c>
      <c r="L204" s="13"/>
      <c r="M204" s="165">
        <f t="shared" si="57"/>
        <v>28087</v>
      </c>
      <c r="N204" s="165">
        <f>'Primary 1-5'!T125</f>
        <v>0</v>
      </c>
      <c r="O204" s="165">
        <f t="shared" si="58"/>
        <v>28087</v>
      </c>
      <c r="P204" s="165">
        <f t="shared" si="62"/>
        <v>0</v>
      </c>
      <c r="Q204" s="165">
        <f t="shared" si="59"/>
        <v>0</v>
      </c>
      <c r="R204" s="165">
        <f t="shared" si="60"/>
        <v>421.30500000000001</v>
      </c>
      <c r="S204" s="165">
        <f t="shared" si="63"/>
        <v>6.4816153846153846</v>
      </c>
      <c r="T204" s="165">
        <f t="shared" si="61"/>
        <v>0</v>
      </c>
      <c r="U204" s="165">
        <f t="shared" si="64"/>
        <v>6.4816153846153846</v>
      </c>
    </row>
    <row r="205" spans="1:21" s="43" customFormat="1" ht="14.45" customHeight="1">
      <c r="A205" s="165">
        <v>18</v>
      </c>
      <c r="B205" s="166" t="s">
        <v>7</v>
      </c>
      <c r="C205" s="416"/>
      <c r="D205" s="167">
        <v>19.5</v>
      </c>
      <c r="E205" s="172">
        <v>28087</v>
      </c>
      <c r="F205" s="169">
        <v>2</v>
      </c>
      <c r="G205" s="169">
        <f t="shared" si="53"/>
        <v>273848.25</v>
      </c>
      <c r="H205" s="171"/>
      <c r="I205" s="169">
        <f t="shared" si="54"/>
        <v>273848.25</v>
      </c>
      <c r="J205" s="165">
        <f t="shared" si="55"/>
        <v>0</v>
      </c>
      <c r="K205" s="165">
        <f t="shared" si="56"/>
        <v>28087</v>
      </c>
      <c r="L205" s="13"/>
      <c r="M205" s="165">
        <f t="shared" si="57"/>
        <v>28087</v>
      </c>
      <c r="N205" s="165">
        <f>'Primary 1-5'!U125</f>
        <v>0</v>
      </c>
      <c r="O205" s="165">
        <f t="shared" si="58"/>
        <v>28087</v>
      </c>
      <c r="P205" s="165">
        <f t="shared" si="62"/>
        <v>0</v>
      </c>
      <c r="Q205" s="165">
        <f t="shared" si="59"/>
        <v>0</v>
      </c>
      <c r="R205" s="165">
        <f t="shared" si="60"/>
        <v>547.69650000000001</v>
      </c>
      <c r="S205" s="165">
        <f t="shared" si="63"/>
        <v>8.4260999999999999</v>
      </c>
      <c r="T205" s="165">
        <f t="shared" si="61"/>
        <v>0</v>
      </c>
      <c r="U205" s="165">
        <f t="shared" si="64"/>
        <v>8.4260999999999999</v>
      </c>
    </row>
    <row r="206" spans="1:21" s="43" customFormat="1" ht="14.45" customHeight="1">
      <c r="A206" s="165">
        <v>19</v>
      </c>
      <c r="B206" s="166" t="s">
        <v>8</v>
      </c>
      <c r="C206" s="416"/>
      <c r="D206" s="167">
        <v>10</v>
      </c>
      <c r="E206" s="172">
        <v>24449</v>
      </c>
      <c r="F206" s="169">
        <v>2</v>
      </c>
      <c r="G206" s="169">
        <f t="shared" si="53"/>
        <v>122245</v>
      </c>
      <c r="H206" s="171"/>
      <c r="I206" s="169">
        <f t="shared" si="54"/>
        <v>122245</v>
      </c>
      <c r="J206" s="165">
        <f t="shared" si="55"/>
        <v>0</v>
      </c>
      <c r="K206" s="165">
        <f t="shared" si="56"/>
        <v>24449</v>
      </c>
      <c r="L206" s="13"/>
      <c r="M206" s="165">
        <f t="shared" si="57"/>
        <v>24449</v>
      </c>
      <c r="N206" s="165">
        <f>'Primary 1-5'!V125</f>
        <v>0</v>
      </c>
      <c r="O206" s="165">
        <f t="shared" si="58"/>
        <v>24449</v>
      </c>
      <c r="P206" s="165">
        <f t="shared" si="62"/>
        <v>0</v>
      </c>
      <c r="Q206" s="165">
        <f t="shared" si="59"/>
        <v>0</v>
      </c>
      <c r="R206" s="165">
        <f t="shared" si="60"/>
        <v>244.49</v>
      </c>
      <c r="S206" s="165">
        <f t="shared" si="63"/>
        <v>3.7613846153846153</v>
      </c>
      <c r="T206" s="165">
        <f t="shared" si="61"/>
        <v>0</v>
      </c>
      <c r="U206" s="165">
        <f t="shared" si="64"/>
        <v>3.7613846153846153</v>
      </c>
    </row>
    <row r="207" spans="1:21" s="43" customFormat="1" ht="14.45" customHeight="1">
      <c r="A207" s="165">
        <v>20</v>
      </c>
      <c r="B207" s="166" t="s">
        <v>9</v>
      </c>
      <c r="C207" s="417"/>
      <c r="D207" s="167">
        <v>13.5</v>
      </c>
      <c r="E207" s="172">
        <v>3506</v>
      </c>
      <c r="F207" s="169">
        <v>2</v>
      </c>
      <c r="G207" s="169">
        <f t="shared" si="53"/>
        <v>23665.5</v>
      </c>
      <c r="H207" s="171"/>
      <c r="I207" s="169">
        <f t="shared" si="54"/>
        <v>23665.5</v>
      </c>
      <c r="J207" s="165">
        <f t="shared" si="55"/>
        <v>0</v>
      </c>
      <c r="K207" s="165">
        <f t="shared" si="56"/>
        <v>3506</v>
      </c>
      <c r="L207" s="13"/>
      <c r="M207" s="165">
        <f t="shared" si="57"/>
        <v>3506</v>
      </c>
      <c r="N207" s="165">
        <f>'Primary 1-5'!W125</f>
        <v>0</v>
      </c>
      <c r="O207" s="165">
        <f t="shared" si="58"/>
        <v>3506</v>
      </c>
      <c r="P207" s="165">
        <f t="shared" si="62"/>
        <v>0</v>
      </c>
      <c r="Q207" s="165">
        <f t="shared" si="59"/>
        <v>0</v>
      </c>
      <c r="R207" s="165">
        <f t="shared" si="60"/>
        <v>47.331000000000003</v>
      </c>
      <c r="S207" s="165">
        <f t="shared" si="63"/>
        <v>0.72816923076923079</v>
      </c>
      <c r="T207" s="165">
        <f t="shared" si="61"/>
        <v>0</v>
      </c>
      <c r="U207" s="165">
        <f t="shared" si="64"/>
        <v>0.72816923076923079</v>
      </c>
    </row>
    <row r="208" spans="1:21" s="43" customFormat="1" ht="14.45" customHeight="1">
      <c r="A208" s="165">
        <v>21</v>
      </c>
      <c r="B208" s="166" t="s">
        <v>4</v>
      </c>
      <c r="C208" s="415" t="s">
        <v>53</v>
      </c>
      <c r="D208" s="167">
        <v>17.5</v>
      </c>
      <c r="E208" s="172">
        <v>27421</v>
      </c>
      <c r="F208" s="169">
        <v>2</v>
      </c>
      <c r="G208" s="169">
        <f t="shared" si="53"/>
        <v>239933.75</v>
      </c>
      <c r="H208" s="171"/>
      <c r="I208" s="169">
        <f t="shared" si="54"/>
        <v>239933.75</v>
      </c>
      <c r="J208" s="165">
        <f t="shared" si="55"/>
        <v>0</v>
      </c>
      <c r="K208" s="165">
        <f t="shared" si="56"/>
        <v>27421</v>
      </c>
      <c r="L208" s="13"/>
      <c r="M208" s="165">
        <f t="shared" si="57"/>
        <v>27421</v>
      </c>
      <c r="N208" s="165">
        <f>'Primary 1-5'!X125</f>
        <v>0</v>
      </c>
      <c r="O208" s="165">
        <f t="shared" si="58"/>
        <v>27421</v>
      </c>
      <c r="P208" s="165">
        <f t="shared" si="62"/>
        <v>0</v>
      </c>
      <c r="Q208" s="165">
        <f t="shared" si="59"/>
        <v>0</v>
      </c>
      <c r="R208" s="165">
        <f t="shared" si="60"/>
        <v>479.86750000000001</v>
      </c>
      <c r="S208" s="165">
        <f t="shared" si="63"/>
        <v>7.3825769230769236</v>
      </c>
      <c r="T208" s="165">
        <f t="shared" si="61"/>
        <v>0</v>
      </c>
      <c r="U208" s="165">
        <f t="shared" si="64"/>
        <v>7.3825769230769236</v>
      </c>
    </row>
    <row r="209" spans="1:21" s="43" customFormat="1" ht="14.45" customHeight="1">
      <c r="A209" s="165">
        <v>22</v>
      </c>
      <c r="B209" s="166" t="s">
        <v>5</v>
      </c>
      <c r="C209" s="416"/>
      <c r="D209" s="167">
        <v>14.5</v>
      </c>
      <c r="E209" s="172">
        <v>27421</v>
      </c>
      <c r="F209" s="169">
        <v>2</v>
      </c>
      <c r="G209" s="169">
        <f t="shared" si="53"/>
        <v>198802.25</v>
      </c>
      <c r="H209" s="171"/>
      <c r="I209" s="169">
        <f t="shared" si="54"/>
        <v>198802.25</v>
      </c>
      <c r="J209" s="165">
        <f t="shared" si="55"/>
        <v>0</v>
      </c>
      <c r="K209" s="165">
        <f t="shared" si="56"/>
        <v>27421</v>
      </c>
      <c r="L209" s="13"/>
      <c r="M209" s="165">
        <f t="shared" si="57"/>
        <v>27421</v>
      </c>
      <c r="N209" s="165">
        <f>'Primary 1-5'!Y125</f>
        <v>0</v>
      </c>
      <c r="O209" s="165">
        <f t="shared" si="58"/>
        <v>27421</v>
      </c>
      <c r="P209" s="165">
        <f t="shared" si="62"/>
        <v>0</v>
      </c>
      <c r="Q209" s="165">
        <f t="shared" si="59"/>
        <v>0</v>
      </c>
      <c r="R209" s="165">
        <f t="shared" si="60"/>
        <v>397.60449999999997</v>
      </c>
      <c r="S209" s="165">
        <f t="shared" si="63"/>
        <v>6.116992307692307</v>
      </c>
      <c r="T209" s="165">
        <f t="shared" si="61"/>
        <v>0</v>
      </c>
      <c r="U209" s="165">
        <f t="shared" si="64"/>
        <v>6.116992307692307</v>
      </c>
    </row>
    <row r="210" spans="1:21" s="43" customFormat="1" ht="14.45" customHeight="1">
      <c r="A210" s="165">
        <v>23</v>
      </c>
      <c r="B210" s="166" t="s">
        <v>6</v>
      </c>
      <c r="C210" s="416"/>
      <c r="D210" s="167">
        <v>23.5</v>
      </c>
      <c r="E210" s="172">
        <v>27421</v>
      </c>
      <c r="F210" s="169">
        <v>2</v>
      </c>
      <c r="G210" s="169">
        <f t="shared" si="53"/>
        <v>322196.75</v>
      </c>
      <c r="H210" s="171"/>
      <c r="I210" s="169">
        <f t="shared" si="54"/>
        <v>322196.75</v>
      </c>
      <c r="J210" s="165">
        <f t="shared" si="55"/>
        <v>0</v>
      </c>
      <c r="K210" s="165">
        <f t="shared" si="56"/>
        <v>27421</v>
      </c>
      <c r="L210" s="13"/>
      <c r="M210" s="165">
        <f t="shared" si="57"/>
        <v>27421</v>
      </c>
      <c r="N210" s="165">
        <f>'Primary 1-5'!Z125</f>
        <v>0</v>
      </c>
      <c r="O210" s="165">
        <f t="shared" si="58"/>
        <v>27421</v>
      </c>
      <c r="P210" s="165">
        <f t="shared" si="62"/>
        <v>0</v>
      </c>
      <c r="Q210" s="165">
        <f t="shared" si="59"/>
        <v>0</v>
      </c>
      <c r="R210" s="165">
        <f t="shared" si="60"/>
        <v>644.39350000000002</v>
      </c>
      <c r="S210" s="165">
        <f t="shared" si="63"/>
        <v>9.9137461538461533</v>
      </c>
      <c r="T210" s="165">
        <f t="shared" si="61"/>
        <v>0</v>
      </c>
      <c r="U210" s="165">
        <f t="shared" si="64"/>
        <v>9.9137461538461533</v>
      </c>
    </row>
    <row r="211" spans="1:21" s="43" customFormat="1" ht="14.45" customHeight="1">
      <c r="A211" s="165">
        <v>24</v>
      </c>
      <c r="B211" s="166" t="s">
        <v>204</v>
      </c>
      <c r="C211" s="416"/>
      <c r="D211" s="167">
        <v>20.5</v>
      </c>
      <c r="E211" s="172">
        <v>27421</v>
      </c>
      <c r="F211" s="169">
        <v>2</v>
      </c>
      <c r="G211" s="169">
        <f t="shared" si="53"/>
        <v>281065.25</v>
      </c>
      <c r="H211" s="171"/>
      <c r="I211" s="169">
        <f t="shared" si="54"/>
        <v>281065.25</v>
      </c>
      <c r="J211" s="165">
        <f t="shared" si="55"/>
        <v>0</v>
      </c>
      <c r="K211" s="165">
        <f t="shared" si="56"/>
        <v>27421</v>
      </c>
      <c r="L211" s="13"/>
      <c r="M211" s="165">
        <f t="shared" si="57"/>
        <v>27421</v>
      </c>
      <c r="N211" s="165">
        <f>'Primary 1-5'!AA125</f>
        <v>0</v>
      </c>
      <c r="O211" s="165">
        <f t="shared" si="58"/>
        <v>27421</v>
      </c>
      <c r="P211" s="165">
        <f t="shared" si="62"/>
        <v>0</v>
      </c>
      <c r="Q211" s="165">
        <f t="shared" si="59"/>
        <v>0</v>
      </c>
      <c r="R211" s="165">
        <f t="shared" si="60"/>
        <v>562.13049999999998</v>
      </c>
      <c r="S211" s="165">
        <f t="shared" si="63"/>
        <v>8.6481615384615385</v>
      </c>
      <c r="T211" s="165">
        <f t="shared" si="61"/>
        <v>0</v>
      </c>
      <c r="U211" s="165">
        <f t="shared" si="64"/>
        <v>8.6481615384615385</v>
      </c>
    </row>
    <row r="212" spans="1:21" s="43" customFormat="1" ht="14.45" customHeight="1">
      <c r="A212" s="165">
        <v>25</v>
      </c>
      <c r="B212" s="166" t="s">
        <v>7</v>
      </c>
      <c r="C212" s="416"/>
      <c r="D212" s="167">
        <v>20.5</v>
      </c>
      <c r="E212" s="172">
        <v>27421</v>
      </c>
      <c r="F212" s="169">
        <v>2</v>
      </c>
      <c r="G212" s="169">
        <f t="shared" si="53"/>
        <v>281065.25</v>
      </c>
      <c r="H212" s="171"/>
      <c r="I212" s="169">
        <f t="shared" si="54"/>
        <v>281065.25</v>
      </c>
      <c r="J212" s="165">
        <f t="shared" si="55"/>
        <v>0</v>
      </c>
      <c r="K212" s="165">
        <f t="shared" si="56"/>
        <v>27421</v>
      </c>
      <c r="L212" s="13"/>
      <c r="M212" s="165">
        <f t="shared" si="57"/>
        <v>27421</v>
      </c>
      <c r="N212" s="165">
        <f>'Primary 1-5'!AB125</f>
        <v>0</v>
      </c>
      <c r="O212" s="165">
        <f t="shared" si="58"/>
        <v>27421</v>
      </c>
      <c r="P212" s="165">
        <f t="shared" si="62"/>
        <v>0</v>
      </c>
      <c r="Q212" s="165">
        <f t="shared" si="59"/>
        <v>0</v>
      </c>
      <c r="R212" s="165">
        <f t="shared" si="60"/>
        <v>562.13049999999998</v>
      </c>
      <c r="S212" s="165">
        <f t="shared" si="63"/>
        <v>8.6481615384615385</v>
      </c>
      <c r="T212" s="165">
        <f t="shared" si="61"/>
        <v>0</v>
      </c>
      <c r="U212" s="165">
        <f t="shared" si="64"/>
        <v>8.6481615384615385</v>
      </c>
    </row>
    <row r="213" spans="1:21" s="43" customFormat="1" ht="14.45" customHeight="1">
      <c r="A213" s="165">
        <v>26</v>
      </c>
      <c r="B213" s="166" t="s">
        <v>8</v>
      </c>
      <c r="C213" s="416"/>
      <c r="D213" s="167">
        <v>10.5</v>
      </c>
      <c r="E213" s="172">
        <v>24153</v>
      </c>
      <c r="F213" s="169">
        <v>2</v>
      </c>
      <c r="G213" s="169">
        <f t="shared" si="53"/>
        <v>126803.25</v>
      </c>
      <c r="H213" s="171"/>
      <c r="I213" s="169">
        <f t="shared" si="54"/>
        <v>126803.25</v>
      </c>
      <c r="J213" s="165">
        <f t="shared" si="55"/>
        <v>0</v>
      </c>
      <c r="K213" s="165">
        <f t="shared" si="56"/>
        <v>24153</v>
      </c>
      <c r="L213" s="13"/>
      <c r="M213" s="165">
        <f t="shared" si="57"/>
        <v>24153</v>
      </c>
      <c r="N213" s="165">
        <f>'Primary 1-5'!AC125</f>
        <v>0</v>
      </c>
      <c r="O213" s="165">
        <f t="shared" si="58"/>
        <v>24153</v>
      </c>
      <c r="P213" s="165">
        <f t="shared" si="62"/>
        <v>0</v>
      </c>
      <c r="Q213" s="165">
        <f t="shared" si="59"/>
        <v>0</v>
      </c>
      <c r="R213" s="165">
        <f t="shared" si="60"/>
        <v>253.60650000000001</v>
      </c>
      <c r="S213" s="165">
        <f t="shared" si="63"/>
        <v>3.9016384615384618</v>
      </c>
      <c r="T213" s="165">
        <f t="shared" si="61"/>
        <v>0</v>
      </c>
      <c r="U213" s="165">
        <f t="shared" si="64"/>
        <v>3.9016384615384618</v>
      </c>
    </row>
    <row r="214" spans="1:21" s="43" customFormat="1" ht="14.45" customHeight="1">
      <c r="A214" s="165">
        <v>27</v>
      </c>
      <c r="B214" s="166" t="s">
        <v>9</v>
      </c>
      <c r="C214" s="417"/>
      <c r="D214" s="167">
        <v>12.5</v>
      </c>
      <c r="E214" s="172">
        <v>3143</v>
      </c>
      <c r="F214" s="169">
        <v>2</v>
      </c>
      <c r="G214" s="169">
        <f t="shared" si="53"/>
        <v>19643.75</v>
      </c>
      <c r="H214" s="171"/>
      <c r="I214" s="169">
        <f t="shared" si="54"/>
        <v>19643.75</v>
      </c>
      <c r="J214" s="165">
        <f t="shared" si="55"/>
        <v>0</v>
      </c>
      <c r="K214" s="165">
        <f t="shared" si="56"/>
        <v>3143</v>
      </c>
      <c r="L214" s="165"/>
      <c r="M214" s="165">
        <f t="shared" si="57"/>
        <v>3143</v>
      </c>
      <c r="N214" s="165">
        <f>'Primary 1-5'!AD125</f>
        <v>0</v>
      </c>
      <c r="O214" s="165">
        <f t="shared" si="58"/>
        <v>3143</v>
      </c>
      <c r="P214" s="165">
        <f t="shared" si="62"/>
        <v>0</v>
      </c>
      <c r="Q214" s="165">
        <f t="shared" si="59"/>
        <v>0</v>
      </c>
      <c r="R214" s="165">
        <f t="shared" si="60"/>
        <v>39.287500000000001</v>
      </c>
      <c r="S214" s="165">
        <f t="shared" si="63"/>
        <v>0.60442307692307695</v>
      </c>
      <c r="T214" s="165">
        <f t="shared" si="61"/>
        <v>0</v>
      </c>
      <c r="U214" s="165">
        <f t="shared" si="64"/>
        <v>0.60442307692307695</v>
      </c>
    </row>
    <row r="215" spans="1:21" s="43" customFormat="1" ht="14.45" customHeight="1">
      <c r="A215" s="403" t="s">
        <v>79</v>
      </c>
      <c r="B215" s="403"/>
      <c r="C215" s="403"/>
      <c r="D215" s="403"/>
      <c r="E215" s="42">
        <f t="shared" ref="E215:U215" si="65">SUM(E188:E214)</f>
        <v>627854</v>
      </c>
      <c r="F215" s="42">
        <f t="shared" si="65"/>
        <v>54</v>
      </c>
      <c r="G215" s="42">
        <f t="shared" si="65"/>
        <v>4908154</v>
      </c>
      <c r="H215" s="42">
        <f t="shared" si="65"/>
        <v>0</v>
      </c>
      <c r="I215" s="42">
        <f t="shared" si="65"/>
        <v>4908154</v>
      </c>
      <c r="J215" s="42">
        <f t="shared" si="65"/>
        <v>0</v>
      </c>
      <c r="K215" s="42">
        <f t="shared" si="65"/>
        <v>627854</v>
      </c>
      <c r="L215" s="42">
        <f t="shared" si="65"/>
        <v>0</v>
      </c>
      <c r="M215" s="42">
        <f t="shared" si="65"/>
        <v>627854</v>
      </c>
      <c r="N215" s="42">
        <f t="shared" si="65"/>
        <v>0</v>
      </c>
      <c r="O215" s="42">
        <f t="shared" si="65"/>
        <v>627854</v>
      </c>
      <c r="P215" s="42">
        <f t="shared" si="65"/>
        <v>0</v>
      </c>
      <c r="Q215" s="42">
        <f t="shared" si="65"/>
        <v>0</v>
      </c>
      <c r="R215" s="42">
        <f t="shared" si="65"/>
        <v>9816.3079999999991</v>
      </c>
      <c r="S215" s="42">
        <f t="shared" si="65"/>
        <v>151.02012307692308</v>
      </c>
      <c r="T215" s="42">
        <f t="shared" si="65"/>
        <v>0</v>
      </c>
      <c r="U215" s="42">
        <f t="shared" si="65"/>
        <v>151.02012307692308</v>
      </c>
    </row>
    <row r="216" spans="1:21" s="43" customFormat="1" ht="21" customHeight="1">
      <c r="A216" s="30"/>
      <c r="B216" s="28"/>
      <c r="C216" s="30"/>
      <c r="D216" s="31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</row>
    <row r="217" spans="1:21" s="43" customFormat="1" ht="18.600000000000001" customHeight="1">
      <c r="A217" s="30"/>
      <c r="B217" s="28"/>
      <c r="C217" s="30"/>
      <c r="D217" s="31"/>
      <c r="E217" s="30"/>
      <c r="F217" s="30"/>
      <c r="G217" s="30"/>
      <c r="H217" s="30"/>
      <c r="I217" s="30"/>
      <c r="J217" s="30"/>
      <c r="K217" s="30"/>
      <c r="L217" s="30"/>
      <c r="M217" s="122"/>
      <c r="N217" s="122"/>
      <c r="O217" s="122"/>
      <c r="P217" s="122"/>
      <c r="Q217" s="67"/>
      <c r="R217" s="67"/>
      <c r="S217" s="67"/>
      <c r="T217" s="67"/>
      <c r="U217" s="67"/>
    </row>
    <row r="218" spans="1:21" s="43" customFormat="1" ht="18.600000000000001" customHeight="1">
      <c r="A218" s="61"/>
      <c r="B218" s="61"/>
      <c r="C218" s="61"/>
      <c r="D218" s="61"/>
      <c r="E218" s="62"/>
      <c r="F218" s="62"/>
      <c r="G218" s="62"/>
      <c r="H218" s="62"/>
      <c r="I218" s="62"/>
      <c r="J218" s="62"/>
      <c r="K218" s="62"/>
      <c r="L218" s="62"/>
      <c r="M218" s="63"/>
      <c r="N218" s="63"/>
      <c r="O218" s="63"/>
      <c r="P218" s="63"/>
      <c r="Q218" s="387" t="s">
        <v>254</v>
      </c>
      <c r="R218" s="387"/>
      <c r="S218" s="387"/>
      <c r="T218" s="387"/>
      <c r="U218" s="387"/>
    </row>
    <row r="219" spans="1:21" s="43" customFormat="1" ht="41.25">
      <c r="A219" s="388" t="s">
        <v>178</v>
      </c>
      <c r="B219" s="388"/>
      <c r="C219" s="388"/>
      <c r="D219" s="388"/>
      <c r="E219" s="388"/>
      <c r="F219" s="388"/>
      <c r="G219" s="388"/>
      <c r="H219" s="388"/>
      <c r="I219" s="388"/>
      <c r="J219" s="388"/>
      <c r="K219" s="388"/>
      <c r="L219" s="388"/>
      <c r="M219" s="388"/>
      <c r="N219" s="388"/>
      <c r="O219" s="388"/>
      <c r="P219" s="388"/>
      <c r="Q219" s="388"/>
      <c r="R219" s="388"/>
      <c r="S219" s="388"/>
      <c r="T219" s="388"/>
      <c r="U219" s="388"/>
    </row>
    <row r="220" spans="1:21" s="43" customFormat="1" ht="20.25">
      <c r="A220" s="379" t="s">
        <v>253</v>
      </c>
      <c r="B220" s="379"/>
      <c r="C220" s="379"/>
      <c r="D220" s="379"/>
      <c r="E220" s="379"/>
      <c r="F220" s="379"/>
      <c r="G220" s="379"/>
      <c r="H220" s="379"/>
      <c r="I220" s="379"/>
      <c r="J220" s="379"/>
      <c r="K220" s="379"/>
      <c r="L220" s="379"/>
      <c r="M220" s="379"/>
      <c r="N220" s="379"/>
      <c r="O220" s="379"/>
      <c r="P220" s="379"/>
      <c r="Q220" s="379"/>
      <c r="R220" s="379"/>
      <c r="S220" s="379"/>
      <c r="T220" s="379"/>
      <c r="U220" s="379"/>
    </row>
    <row r="221" spans="1:21" s="43" customFormat="1" ht="17.25">
      <c r="A221" s="313" t="s">
        <v>274</v>
      </c>
      <c r="B221" s="313"/>
      <c r="C221" s="313"/>
      <c r="D221" s="313"/>
      <c r="E221" s="313"/>
      <c r="F221" s="313"/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  <c r="T221" s="313"/>
      <c r="U221" s="313"/>
    </row>
    <row r="222" spans="1:21" s="43" customFormat="1" ht="20.25">
      <c r="A222" s="386" t="s">
        <v>452</v>
      </c>
      <c r="B222" s="386"/>
      <c r="C222" s="386"/>
      <c r="D222" s="386"/>
      <c r="E222" s="386"/>
      <c r="F222" s="386"/>
      <c r="G222" s="386"/>
      <c r="H222" s="386"/>
      <c r="I222" s="386"/>
      <c r="J222" s="386"/>
      <c r="K222" s="386"/>
      <c r="L222" s="386"/>
      <c r="M222" s="386"/>
      <c r="N222" s="386"/>
      <c r="O222" s="386"/>
      <c r="P222" s="386"/>
      <c r="Q222" s="386"/>
      <c r="R222" s="378"/>
      <c r="S222" s="378"/>
      <c r="T222" s="378"/>
      <c r="U222" s="378"/>
    </row>
    <row r="223" spans="1:21" s="43" customFormat="1">
      <c r="A223" s="389" t="s">
        <v>15</v>
      </c>
      <c r="B223" s="389" t="s">
        <v>64</v>
      </c>
      <c r="C223" s="389" t="s">
        <v>65</v>
      </c>
      <c r="D223" s="380" t="s">
        <v>66</v>
      </c>
      <c r="E223" s="161" t="s">
        <v>88</v>
      </c>
      <c r="F223" s="145" t="s">
        <v>157</v>
      </c>
      <c r="G223" s="374" t="s">
        <v>138</v>
      </c>
      <c r="H223" s="375"/>
      <c r="I223" s="376"/>
      <c r="J223" s="377" t="s">
        <v>139</v>
      </c>
      <c r="K223" s="377"/>
      <c r="L223" s="377" t="s">
        <v>86</v>
      </c>
      <c r="M223" s="377"/>
      <c r="N223" s="377" t="s">
        <v>25</v>
      </c>
      <c r="O223" s="377"/>
      <c r="P223" s="377" t="s">
        <v>87</v>
      </c>
      <c r="Q223" s="382" t="s">
        <v>199</v>
      </c>
      <c r="R223" s="377" t="s">
        <v>140</v>
      </c>
      <c r="S223" s="377"/>
      <c r="T223" s="377"/>
      <c r="U223" s="377"/>
    </row>
    <row r="224" spans="1:21" s="43" customFormat="1" ht="21" customHeight="1">
      <c r="A224" s="390"/>
      <c r="B224" s="390"/>
      <c r="C224" s="390"/>
      <c r="D224" s="381"/>
      <c r="E224" s="145" t="s">
        <v>262</v>
      </c>
      <c r="F224" s="145"/>
      <c r="G224" s="139" t="s">
        <v>189</v>
      </c>
      <c r="H224" s="145" t="s">
        <v>85</v>
      </c>
      <c r="I224" s="145" t="s">
        <v>70</v>
      </c>
      <c r="J224" s="148" t="s">
        <v>85</v>
      </c>
      <c r="K224" s="148" t="s">
        <v>70</v>
      </c>
      <c r="L224" s="145" t="s">
        <v>86</v>
      </c>
      <c r="M224" s="148" t="s">
        <v>70</v>
      </c>
      <c r="N224" s="148" t="s">
        <v>25</v>
      </c>
      <c r="O224" s="148" t="s">
        <v>70</v>
      </c>
      <c r="P224" s="377"/>
      <c r="Q224" s="382"/>
      <c r="R224" s="148" t="s">
        <v>155</v>
      </c>
      <c r="S224" s="148" t="s">
        <v>156</v>
      </c>
      <c r="T224" s="148" t="s">
        <v>141</v>
      </c>
      <c r="U224" s="148" t="s">
        <v>70</v>
      </c>
    </row>
    <row r="225" spans="1:21" ht="15.75">
      <c r="A225" s="173">
        <v>1</v>
      </c>
      <c r="B225" s="174" t="s">
        <v>194</v>
      </c>
      <c r="C225" s="173" t="s">
        <v>195</v>
      </c>
      <c r="D225" s="175">
        <v>12.5</v>
      </c>
      <c r="E225" s="173">
        <v>33510</v>
      </c>
      <c r="F225" s="173">
        <v>3.25</v>
      </c>
      <c r="G225" s="176">
        <f>F225*E225</f>
        <v>108907.5</v>
      </c>
      <c r="H225" s="10"/>
      <c r="I225" s="176">
        <f t="shared" ref="I225:I246" si="66">G225-H225</f>
        <v>108907.5</v>
      </c>
      <c r="J225" s="176">
        <f t="shared" ref="J225:J246" si="67">H225/F225</f>
        <v>0</v>
      </c>
      <c r="K225" s="176">
        <f t="shared" ref="K225:K246" si="68">E225-J225</f>
        <v>33510</v>
      </c>
      <c r="L225" s="10"/>
      <c r="M225" s="176">
        <f t="shared" ref="M225:M246" si="69">E225-L225</f>
        <v>33510</v>
      </c>
      <c r="N225" s="176">
        <f>'Secandary-7'!D12</f>
        <v>0</v>
      </c>
      <c r="O225" s="176">
        <f t="shared" ref="O225:O246" si="70">E225-N225</f>
        <v>33510</v>
      </c>
      <c r="P225" s="176">
        <f>L225-N225</f>
        <v>0</v>
      </c>
      <c r="Q225" s="176">
        <f t="shared" ref="Q225:Q246" si="71">D225*L225/1000</f>
        <v>0</v>
      </c>
      <c r="R225" s="176">
        <f t="shared" ref="R225:R246" si="72">D225*E225/1000</f>
        <v>418.875</v>
      </c>
      <c r="S225" s="176">
        <f>R225/75</f>
        <v>5.585</v>
      </c>
      <c r="T225" s="176">
        <f t="shared" ref="T225:T246" si="73">D225*J225/1000/75</f>
        <v>0</v>
      </c>
      <c r="U225" s="176">
        <f>S225-T225</f>
        <v>5.585</v>
      </c>
    </row>
    <row r="226" spans="1:21" ht="15.75">
      <c r="A226" s="173">
        <v>2</v>
      </c>
      <c r="B226" s="174" t="s">
        <v>191</v>
      </c>
      <c r="C226" s="173" t="s">
        <v>195</v>
      </c>
      <c r="D226" s="175">
        <v>8.5</v>
      </c>
      <c r="E226" s="173">
        <v>33510</v>
      </c>
      <c r="F226" s="173">
        <v>2.25</v>
      </c>
      <c r="G226" s="176">
        <f t="shared" ref="G226:G246" si="74">F226*E226</f>
        <v>75397.5</v>
      </c>
      <c r="H226" s="10"/>
      <c r="I226" s="176">
        <f t="shared" si="66"/>
        <v>75397.5</v>
      </c>
      <c r="J226" s="176">
        <f t="shared" si="67"/>
        <v>0</v>
      </c>
      <c r="K226" s="176">
        <f t="shared" si="68"/>
        <v>33510</v>
      </c>
      <c r="L226" s="10"/>
      <c r="M226" s="176">
        <f t="shared" si="69"/>
        <v>33510</v>
      </c>
      <c r="N226" s="176">
        <f>'Secandary-7'!E12</f>
        <v>0</v>
      </c>
      <c r="O226" s="176">
        <f t="shared" si="70"/>
        <v>33510</v>
      </c>
      <c r="P226" s="176">
        <f t="shared" ref="P226:P246" si="75">L226-N226</f>
        <v>0</v>
      </c>
      <c r="Q226" s="176">
        <f t="shared" si="71"/>
        <v>0</v>
      </c>
      <c r="R226" s="176">
        <f t="shared" si="72"/>
        <v>284.83499999999998</v>
      </c>
      <c r="S226" s="176">
        <f t="shared" ref="S226:S246" si="76">R226/75</f>
        <v>3.7977999999999996</v>
      </c>
      <c r="T226" s="176">
        <f t="shared" si="73"/>
        <v>0</v>
      </c>
      <c r="U226" s="176">
        <f t="shared" ref="U226:U246" si="77">S226-T226</f>
        <v>3.7977999999999996</v>
      </c>
    </row>
    <row r="227" spans="1:21" ht="15.75">
      <c r="A227" s="173">
        <v>3</v>
      </c>
      <c r="B227" s="174" t="s">
        <v>56</v>
      </c>
      <c r="C227" s="173" t="s">
        <v>195</v>
      </c>
      <c r="D227" s="175">
        <v>16.5</v>
      </c>
      <c r="E227" s="173">
        <v>33510</v>
      </c>
      <c r="F227" s="173">
        <v>4.25</v>
      </c>
      <c r="G227" s="176">
        <f t="shared" si="74"/>
        <v>142417.5</v>
      </c>
      <c r="H227" s="10"/>
      <c r="I227" s="176">
        <f t="shared" si="66"/>
        <v>142417.5</v>
      </c>
      <c r="J227" s="176">
        <f t="shared" si="67"/>
        <v>0</v>
      </c>
      <c r="K227" s="176">
        <f t="shared" si="68"/>
        <v>33510</v>
      </c>
      <c r="L227" s="10"/>
      <c r="M227" s="176">
        <f t="shared" si="69"/>
        <v>33510</v>
      </c>
      <c r="N227" s="176">
        <f>'Secandary-7'!F12</f>
        <v>0</v>
      </c>
      <c r="O227" s="176">
        <f t="shared" si="70"/>
        <v>33510</v>
      </c>
      <c r="P227" s="176">
        <f t="shared" si="75"/>
        <v>0</v>
      </c>
      <c r="Q227" s="176">
        <f t="shared" si="71"/>
        <v>0</v>
      </c>
      <c r="R227" s="176">
        <f t="shared" si="72"/>
        <v>552.91499999999996</v>
      </c>
      <c r="S227" s="176">
        <f t="shared" si="76"/>
        <v>7.3721999999999994</v>
      </c>
      <c r="T227" s="176">
        <f t="shared" si="73"/>
        <v>0</v>
      </c>
      <c r="U227" s="176">
        <f t="shared" si="77"/>
        <v>7.3721999999999994</v>
      </c>
    </row>
    <row r="228" spans="1:21" ht="15.75">
      <c r="A228" s="173">
        <v>4</v>
      </c>
      <c r="B228" s="174" t="s">
        <v>27</v>
      </c>
      <c r="C228" s="173" t="s">
        <v>195</v>
      </c>
      <c r="D228" s="175">
        <v>15</v>
      </c>
      <c r="E228" s="173">
        <v>33510</v>
      </c>
      <c r="F228" s="173">
        <v>4.25</v>
      </c>
      <c r="G228" s="176">
        <f t="shared" si="74"/>
        <v>142417.5</v>
      </c>
      <c r="H228" s="10"/>
      <c r="I228" s="176">
        <f t="shared" si="66"/>
        <v>142417.5</v>
      </c>
      <c r="J228" s="176">
        <f t="shared" si="67"/>
        <v>0</v>
      </c>
      <c r="K228" s="176">
        <f t="shared" si="68"/>
        <v>33510</v>
      </c>
      <c r="L228" s="10"/>
      <c r="M228" s="176">
        <f t="shared" si="69"/>
        <v>33510</v>
      </c>
      <c r="N228" s="176">
        <f>'Secandary-7'!G12</f>
        <v>0</v>
      </c>
      <c r="O228" s="176">
        <f t="shared" si="70"/>
        <v>33510</v>
      </c>
      <c r="P228" s="176">
        <f t="shared" si="75"/>
        <v>0</v>
      </c>
      <c r="Q228" s="176">
        <f t="shared" si="71"/>
        <v>0</v>
      </c>
      <c r="R228" s="176">
        <f t="shared" si="72"/>
        <v>502.65</v>
      </c>
      <c r="S228" s="176">
        <f t="shared" si="76"/>
        <v>6.702</v>
      </c>
      <c r="T228" s="176">
        <f t="shared" si="73"/>
        <v>0</v>
      </c>
      <c r="U228" s="176">
        <f t="shared" si="77"/>
        <v>6.702</v>
      </c>
    </row>
    <row r="229" spans="1:21" ht="15.75">
      <c r="A229" s="173">
        <v>5</v>
      </c>
      <c r="B229" s="174" t="s">
        <v>150</v>
      </c>
      <c r="C229" s="173" t="s">
        <v>195</v>
      </c>
      <c r="D229" s="175">
        <v>26</v>
      </c>
      <c r="E229" s="173">
        <v>33510</v>
      </c>
      <c r="F229" s="173">
        <v>7</v>
      </c>
      <c r="G229" s="176">
        <f t="shared" si="74"/>
        <v>234570</v>
      </c>
      <c r="H229" s="10"/>
      <c r="I229" s="176">
        <f t="shared" si="66"/>
        <v>234570</v>
      </c>
      <c r="J229" s="176">
        <f t="shared" si="67"/>
        <v>0</v>
      </c>
      <c r="K229" s="176">
        <f t="shared" si="68"/>
        <v>33510</v>
      </c>
      <c r="L229" s="10"/>
      <c r="M229" s="176">
        <f t="shared" si="69"/>
        <v>33510</v>
      </c>
      <c r="N229" s="176">
        <f>'Secandary-7'!H12</f>
        <v>0</v>
      </c>
      <c r="O229" s="176">
        <f t="shared" si="70"/>
        <v>33510</v>
      </c>
      <c r="P229" s="176">
        <f t="shared" si="75"/>
        <v>0</v>
      </c>
      <c r="Q229" s="176">
        <f t="shared" si="71"/>
        <v>0</v>
      </c>
      <c r="R229" s="176">
        <f t="shared" si="72"/>
        <v>871.26</v>
      </c>
      <c r="S229" s="176">
        <f t="shared" si="76"/>
        <v>11.6168</v>
      </c>
      <c r="T229" s="176">
        <f t="shared" si="73"/>
        <v>0</v>
      </c>
      <c r="U229" s="176">
        <f t="shared" si="77"/>
        <v>11.6168</v>
      </c>
    </row>
    <row r="230" spans="1:21" ht="15.75">
      <c r="A230" s="173">
        <v>6</v>
      </c>
      <c r="B230" s="174" t="s">
        <v>31</v>
      </c>
      <c r="C230" s="173" t="s">
        <v>195</v>
      </c>
      <c r="D230" s="175">
        <v>22.5</v>
      </c>
      <c r="E230" s="173">
        <v>33510</v>
      </c>
      <c r="F230" s="173">
        <v>6.25</v>
      </c>
      <c r="G230" s="176">
        <f t="shared" si="74"/>
        <v>209437.5</v>
      </c>
      <c r="H230" s="10"/>
      <c r="I230" s="176">
        <f t="shared" si="66"/>
        <v>209437.5</v>
      </c>
      <c r="J230" s="176">
        <f t="shared" si="67"/>
        <v>0</v>
      </c>
      <c r="K230" s="176">
        <f t="shared" si="68"/>
        <v>33510</v>
      </c>
      <c r="L230" s="10"/>
      <c r="M230" s="176">
        <f t="shared" si="69"/>
        <v>33510</v>
      </c>
      <c r="N230" s="176">
        <f>'Secandary-7'!I12</f>
        <v>0</v>
      </c>
      <c r="O230" s="176">
        <f t="shared" si="70"/>
        <v>33510</v>
      </c>
      <c r="P230" s="176">
        <f t="shared" si="75"/>
        <v>0</v>
      </c>
      <c r="Q230" s="176">
        <f t="shared" si="71"/>
        <v>0</v>
      </c>
      <c r="R230" s="176">
        <f t="shared" si="72"/>
        <v>753.97500000000002</v>
      </c>
      <c r="S230" s="176">
        <f t="shared" si="76"/>
        <v>10.053000000000001</v>
      </c>
      <c r="T230" s="176">
        <f t="shared" si="73"/>
        <v>0</v>
      </c>
      <c r="U230" s="176">
        <f t="shared" si="77"/>
        <v>10.053000000000001</v>
      </c>
    </row>
    <row r="231" spans="1:21" ht="15.75">
      <c r="A231" s="173">
        <v>7</v>
      </c>
      <c r="B231" s="174" t="s">
        <v>72</v>
      </c>
      <c r="C231" s="173" t="s">
        <v>195</v>
      </c>
      <c r="D231" s="175">
        <v>14.5</v>
      </c>
      <c r="E231" s="173">
        <v>33510</v>
      </c>
      <c r="F231" s="173">
        <v>4.25</v>
      </c>
      <c r="G231" s="176">
        <f t="shared" si="74"/>
        <v>142417.5</v>
      </c>
      <c r="H231" s="10"/>
      <c r="I231" s="176">
        <f t="shared" si="66"/>
        <v>142417.5</v>
      </c>
      <c r="J231" s="176">
        <f t="shared" si="67"/>
        <v>0</v>
      </c>
      <c r="K231" s="176">
        <f t="shared" si="68"/>
        <v>33510</v>
      </c>
      <c r="L231" s="10"/>
      <c r="M231" s="176">
        <f t="shared" si="69"/>
        <v>33510</v>
      </c>
      <c r="N231" s="176">
        <f>'Secandary-7'!J12</f>
        <v>0</v>
      </c>
      <c r="O231" s="176">
        <f t="shared" si="70"/>
        <v>33510</v>
      </c>
      <c r="P231" s="176">
        <f t="shared" si="75"/>
        <v>0</v>
      </c>
      <c r="Q231" s="176">
        <f t="shared" si="71"/>
        <v>0</v>
      </c>
      <c r="R231" s="176">
        <f t="shared" si="72"/>
        <v>485.89499999999998</v>
      </c>
      <c r="S231" s="176">
        <f t="shared" si="76"/>
        <v>6.4786000000000001</v>
      </c>
      <c r="T231" s="176">
        <f t="shared" si="73"/>
        <v>0</v>
      </c>
      <c r="U231" s="176">
        <f t="shared" si="77"/>
        <v>6.4786000000000001</v>
      </c>
    </row>
    <row r="232" spans="1:21" ht="15.75">
      <c r="A232" s="173">
        <v>8</v>
      </c>
      <c r="B232" s="174" t="s">
        <v>32</v>
      </c>
      <c r="C232" s="173" t="s">
        <v>195</v>
      </c>
      <c r="D232" s="175">
        <v>20.5</v>
      </c>
      <c r="E232" s="173">
        <v>33510</v>
      </c>
      <c r="F232" s="173">
        <v>5.25</v>
      </c>
      <c r="G232" s="176">
        <f t="shared" si="74"/>
        <v>175927.5</v>
      </c>
      <c r="H232" s="10"/>
      <c r="I232" s="176">
        <f t="shared" si="66"/>
        <v>175927.5</v>
      </c>
      <c r="J232" s="176">
        <f t="shared" si="67"/>
        <v>0</v>
      </c>
      <c r="K232" s="176">
        <f t="shared" si="68"/>
        <v>33510</v>
      </c>
      <c r="L232" s="10"/>
      <c r="M232" s="176">
        <f t="shared" si="69"/>
        <v>33510</v>
      </c>
      <c r="N232" s="176">
        <f>'Secandary-7'!K12</f>
        <v>0</v>
      </c>
      <c r="O232" s="176">
        <f t="shared" si="70"/>
        <v>33510</v>
      </c>
      <c r="P232" s="176">
        <f t="shared" si="75"/>
        <v>0</v>
      </c>
      <c r="Q232" s="176">
        <f t="shared" si="71"/>
        <v>0</v>
      </c>
      <c r="R232" s="176">
        <f t="shared" si="72"/>
        <v>686.95500000000004</v>
      </c>
      <c r="S232" s="176">
        <f t="shared" si="76"/>
        <v>9.1593999999999998</v>
      </c>
      <c r="T232" s="176">
        <f t="shared" si="73"/>
        <v>0</v>
      </c>
      <c r="U232" s="176">
        <f t="shared" si="77"/>
        <v>9.1593999999999998</v>
      </c>
    </row>
    <row r="233" spans="1:21" ht="21" customHeight="1">
      <c r="A233" s="173">
        <v>9</v>
      </c>
      <c r="B233" s="174" t="s">
        <v>43</v>
      </c>
      <c r="C233" s="173" t="s">
        <v>195</v>
      </c>
      <c r="D233" s="175">
        <v>7.5</v>
      </c>
      <c r="E233" s="173">
        <v>1570</v>
      </c>
      <c r="F233" s="173">
        <v>2.75</v>
      </c>
      <c r="G233" s="176">
        <f t="shared" si="74"/>
        <v>4317.5</v>
      </c>
      <c r="H233" s="10"/>
      <c r="I233" s="176">
        <f t="shared" si="66"/>
        <v>4317.5</v>
      </c>
      <c r="J233" s="176">
        <f t="shared" si="67"/>
        <v>0</v>
      </c>
      <c r="K233" s="176">
        <f t="shared" si="68"/>
        <v>1570</v>
      </c>
      <c r="L233" s="10"/>
      <c r="M233" s="176">
        <f t="shared" si="69"/>
        <v>1570</v>
      </c>
      <c r="N233" s="176">
        <f>'Secandary-7'!L12</f>
        <v>0</v>
      </c>
      <c r="O233" s="176">
        <f t="shared" si="70"/>
        <v>1570</v>
      </c>
      <c r="P233" s="176">
        <f t="shared" si="75"/>
        <v>0</v>
      </c>
      <c r="Q233" s="176">
        <f t="shared" si="71"/>
        <v>0</v>
      </c>
      <c r="R233" s="176">
        <f t="shared" si="72"/>
        <v>11.775</v>
      </c>
      <c r="S233" s="176">
        <f t="shared" si="76"/>
        <v>0.157</v>
      </c>
      <c r="T233" s="176">
        <f t="shared" si="73"/>
        <v>0</v>
      </c>
      <c r="U233" s="176">
        <f t="shared" si="77"/>
        <v>0.157</v>
      </c>
    </row>
    <row r="234" spans="1:21" ht="18.600000000000001" customHeight="1">
      <c r="A234" s="173">
        <v>10</v>
      </c>
      <c r="B234" s="174" t="s">
        <v>73</v>
      </c>
      <c r="C234" s="173" t="s">
        <v>195</v>
      </c>
      <c r="D234" s="175">
        <v>9.5</v>
      </c>
      <c r="E234" s="173">
        <v>33510</v>
      </c>
      <c r="F234" s="173">
        <v>4.75</v>
      </c>
      <c r="G234" s="176">
        <f t="shared" si="74"/>
        <v>159172.5</v>
      </c>
      <c r="H234" s="10"/>
      <c r="I234" s="176">
        <f t="shared" si="66"/>
        <v>159172.5</v>
      </c>
      <c r="J234" s="176">
        <f t="shared" si="67"/>
        <v>0</v>
      </c>
      <c r="K234" s="176">
        <f t="shared" si="68"/>
        <v>33510</v>
      </c>
      <c r="L234" s="10"/>
      <c r="M234" s="176">
        <f t="shared" si="69"/>
        <v>33510</v>
      </c>
      <c r="N234" s="176">
        <f>'Secandary-7'!M12</f>
        <v>0</v>
      </c>
      <c r="O234" s="176">
        <f t="shared" si="70"/>
        <v>33510</v>
      </c>
      <c r="P234" s="176">
        <f t="shared" si="75"/>
        <v>0</v>
      </c>
      <c r="Q234" s="176">
        <f t="shared" si="71"/>
        <v>0</v>
      </c>
      <c r="R234" s="176">
        <f t="shared" si="72"/>
        <v>318.34500000000003</v>
      </c>
      <c r="S234" s="176">
        <f t="shared" si="76"/>
        <v>4.2446000000000002</v>
      </c>
      <c r="T234" s="176">
        <f t="shared" si="73"/>
        <v>0</v>
      </c>
      <c r="U234" s="176">
        <f t="shared" si="77"/>
        <v>4.2446000000000002</v>
      </c>
    </row>
    <row r="235" spans="1:21" ht="18.600000000000001" customHeight="1">
      <c r="A235" s="173">
        <v>11</v>
      </c>
      <c r="B235" s="174" t="s">
        <v>74</v>
      </c>
      <c r="C235" s="173" t="s">
        <v>195</v>
      </c>
      <c r="D235" s="175">
        <v>9</v>
      </c>
      <c r="E235" s="173">
        <v>1500</v>
      </c>
      <c r="F235" s="173">
        <v>2.5</v>
      </c>
      <c r="G235" s="176">
        <f t="shared" si="74"/>
        <v>3750</v>
      </c>
      <c r="H235" s="10"/>
      <c r="I235" s="176">
        <f t="shared" si="66"/>
        <v>3750</v>
      </c>
      <c r="J235" s="176">
        <f t="shared" si="67"/>
        <v>0</v>
      </c>
      <c r="K235" s="176">
        <f t="shared" si="68"/>
        <v>1500</v>
      </c>
      <c r="L235" s="10"/>
      <c r="M235" s="176">
        <f t="shared" si="69"/>
        <v>1500</v>
      </c>
      <c r="N235" s="176">
        <f>'Secandary-7'!N12</f>
        <v>0</v>
      </c>
      <c r="O235" s="176">
        <f t="shared" si="70"/>
        <v>1500</v>
      </c>
      <c r="P235" s="176">
        <f t="shared" si="75"/>
        <v>0</v>
      </c>
      <c r="Q235" s="176">
        <f t="shared" si="71"/>
        <v>0</v>
      </c>
      <c r="R235" s="176">
        <f t="shared" si="72"/>
        <v>13.5</v>
      </c>
      <c r="S235" s="176">
        <f t="shared" si="76"/>
        <v>0.18</v>
      </c>
      <c r="T235" s="176">
        <f t="shared" si="73"/>
        <v>0</v>
      </c>
      <c r="U235" s="176">
        <f t="shared" si="77"/>
        <v>0.18</v>
      </c>
    </row>
    <row r="236" spans="1:21" ht="15.75">
      <c r="A236" s="173">
        <v>12</v>
      </c>
      <c r="B236" s="174" t="s">
        <v>192</v>
      </c>
      <c r="C236" s="173" t="s">
        <v>195</v>
      </c>
      <c r="D236" s="175">
        <v>7</v>
      </c>
      <c r="E236" s="173">
        <v>1760</v>
      </c>
      <c r="F236" s="173">
        <v>2.5</v>
      </c>
      <c r="G236" s="176">
        <f t="shared" si="74"/>
        <v>4400</v>
      </c>
      <c r="H236" s="10"/>
      <c r="I236" s="176">
        <f t="shared" si="66"/>
        <v>4400</v>
      </c>
      <c r="J236" s="176">
        <f t="shared" si="67"/>
        <v>0</v>
      </c>
      <c r="K236" s="176">
        <f t="shared" si="68"/>
        <v>1760</v>
      </c>
      <c r="L236" s="10"/>
      <c r="M236" s="176">
        <f t="shared" si="69"/>
        <v>1760</v>
      </c>
      <c r="N236" s="176">
        <f>'Secandary-7'!O12</f>
        <v>0</v>
      </c>
      <c r="O236" s="176">
        <f t="shared" si="70"/>
        <v>1760</v>
      </c>
      <c r="P236" s="176">
        <f t="shared" si="75"/>
        <v>0</v>
      </c>
      <c r="Q236" s="176">
        <f t="shared" si="71"/>
        <v>0</v>
      </c>
      <c r="R236" s="176">
        <f t="shared" si="72"/>
        <v>12.32</v>
      </c>
      <c r="S236" s="176">
        <f t="shared" si="76"/>
        <v>0.16426666666666667</v>
      </c>
      <c r="T236" s="176">
        <f t="shared" si="73"/>
        <v>0</v>
      </c>
      <c r="U236" s="176">
        <f t="shared" si="77"/>
        <v>0.16426666666666667</v>
      </c>
    </row>
    <row r="237" spans="1:21" ht="15.75">
      <c r="A237" s="173">
        <v>13</v>
      </c>
      <c r="B237" s="174" t="s">
        <v>47</v>
      </c>
      <c r="C237" s="173" t="s">
        <v>195</v>
      </c>
      <c r="D237" s="175">
        <v>16</v>
      </c>
      <c r="E237" s="173">
        <v>20650</v>
      </c>
      <c r="F237" s="173">
        <v>4</v>
      </c>
      <c r="G237" s="176">
        <f t="shared" si="74"/>
        <v>82600</v>
      </c>
      <c r="H237" s="10"/>
      <c r="I237" s="176">
        <f t="shared" si="66"/>
        <v>82600</v>
      </c>
      <c r="J237" s="176">
        <f t="shared" si="67"/>
        <v>0</v>
      </c>
      <c r="K237" s="176">
        <f t="shared" si="68"/>
        <v>20650</v>
      </c>
      <c r="L237" s="10"/>
      <c r="M237" s="176">
        <f t="shared" si="69"/>
        <v>20650</v>
      </c>
      <c r="N237" s="176">
        <f>'Secandary-7'!P12</f>
        <v>0</v>
      </c>
      <c r="O237" s="176">
        <f t="shared" si="70"/>
        <v>20650</v>
      </c>
      <c r="P237" s="176">
        <f t="shared" si="75"/>
        <v>0</v>
      </c>
      <c r="Q237" s="176">
        <f t="shared" si="71"/>
        <v>0</v>
      </c>
      <c r="R237" s="176">
        <f t="shared" si="72"/>
        <v>330.4</v>
      </c>
      <c r="S237" s="176">
        <f t="shared" si="76"/>
        <v>4.4053333333333331</v>
      </c>
      <c r="T237" s="176">
        <f t="shared" si="73"/>
        <v>0</v>
      </c>
      <c r="U237" s="176">
        <f t="shared" si="77"/>
        <v>4.4053333333333331</v>
      </c>
    </row>
    <row r="238" spans="1:21" ht="15.75">
      <c r="A238" s="173">
        <v>14</v>
      </c>
      <c r="B238" s="174" t="s">
        <v>193</v>
      </c>
      <c r="C238" s="173" t="s">
        <v>195</v>
      </c>
      <c r="D238" s="175">
        <v>18.5</v>
      </c>
      <c r="E238" s="173">
        <v>14030</v>
      </c>
      <c r="F238" s="173">
        <v>5.25</v>
      </c>
      <c r="G238" s="176">
        <f t="shared" si="74"/>
        <v>73657.5</v>
      </c>
      <c r="H238" s="10"/>
      <c r="I238" s="176">
        <f t="shared" si="66"/>
        <v>73657.5</v>
      </c>
      <c r="J238" s="176">
        <f t="shared" si="67"/>
        <v>0</v>
      </c>
      <c r="K238" s="176">
        <f t="shared" si="68"/>
        <v>14030</v>
      </c>
      <c r="L238" s="10"/>
      <c r="M238" s="176">
        <f t="shared" si="69"/>
        <v>14030</v>
      </c>
      <c r="N238" s="176">
        <f>'Secandary-7'!Q12</f>
        <v>0</v>
      </c>
      <c r="O238" s="176">
        <f t="shared" si="70"/>
        <v>14030</v>
      </c>
      <c r="P238" s="176">
        <f t="shared" si="75"/>
        <v>0</v>
      </c>
      <c r="Q238" s="176">
        <f t="shared" si="71"/>
        <v>0</v>
      </c>
      <c r="R238" s="176">
        <f t="shared" si="72"/>
        <v>259.55500000000001</v>
      </c>
      <c r="S238" s="176">
        <f t="shared" si="76"/>
        <v>3.4607333333333332</v>
      </c>
      <c r="T238" s="176">
        <f t="shared" si="73"/>
        <v>0</v>
      </c>
      <c r="U238" s="176">
        <f t="shared" si="77"/>
        <v>3.4607333333333332</v>
      </c>
    </row>
    <row r="239" spans="1:21" ht="15.75">
      <c r="A239" s="173">
        <v>15</v>
      </c>
      <c r="B239" s="174" t="s">
        <v>48</v>
      </c>
      <c r="C239" s="173" t="s">
        <v>195</v>
      </c>
      <c r="D239" s="175">
        <v>15.5</v>
      </c>
      <c r="E239" s="173">
        <v>28490</v>
      </c>
      <c r="F239" s="173">
        <v>4.75</v>
      </c>
      <c r="G239" s="176">
        <f t="shared" si="74"/>
        <v>135327.5</v>
      </c>
      <c r="H239" s="10"/>
      <c r="I239" s="176">
        <f t="shared" si="66"/>
        <v>135327.5</v>
      </c>
      <c r="J239" s="176">
        <f t="shared" si="67"/>
        <v>0</v>
      </c>
      <c r="K239" s="176">
        <f t="shared" si="68"/>
        <v>28490</v>
      </c>
      <c r="L239" s="10"/>
      <c r="M239" s="176">
        <f t="shared" si="69"/>
        <v>28490</v>
      </c>
      <c r="N239" s="176">
        <f>'Secandary-7'!R12</f>
        <v>0</v>
      </c>
      <c r="O239" s="176">
        <f t="shared" si="70"/>
        <v>28490</v>
      </c>
      <c r="P239" s="176">
        <f t="shared" si="75"/>
        <v>0</v>
      </c>
      <c r="Q239" s="176">
        <f t="shared" si="71"/>
        <v>0</v>
      </c>
      <c r="R239" s="176">
        <f t="shared" si="72"/>
        <v>441.59500000000003</v>
      </c>
      <c r="S239" s="176">
        <f t="shared" si="76"/>
        <v>5.8879333333333337</v>
      </c>
      <c r="T239" s="176">
        <f t="shared" si="73"/>
        <v>0</v>
      </c>
      <c r="U239" s="176">
        <f t="shared" si="77"/>
        <v>5.8879333333333337</v>
      </c>
    </row>
    <row r="240" spans="1:21" ht="15.75">
      <c r="A240" s="173">
        <v>16</v>
      </c>
      <c r="B240" s="174" t="s">
        <v>75</v>
      </c>
      <c r="C240" s="173" t="s">
        <v>195</v>
      </c>
      <c r="D240" s="175">
        <v>10.5</v>
      </c>
      <c r="E240" s="173">
        <v>6142</v>
      </c>
      <c r="F240" s="173">
        <v>3.25</v>
      </c>
      <c r="G240" s="176">
        <f t="shared" si="74"/>
        <v>19961.5</v>
      </c>
      <c r="H240" s="10"/>
      <c r="I240" s="176">
        <f t="shared" si="66"/>
        <v>19961.5</v>
      </c>
      <c r="J240" s="176">
        <f t="shared" si="67"/>
        <v>0</v>
      </c>
      <c r="K240" s="176">
        <f t="shared" si="68"/>
        <v>6142</v>
      </c>
      <c r="L240" s="10"/>
      <c r="M240" s="176">
        <f t="shared" si="69"/>
        <v>6142</v>
      </c>
      <c r="N240" s="176">
        <f>'Secandary-7'!S12</f>
        <v>0</v>
      </c>
      <c r="O240" s="176">
        <f t="shared" si="70"/>
        <v>6142</v>
      </c>
      <c r="P240" s="176">
        <f t="shared" si="75"/>
        <v>0</v>
      </c>
      <c r="Q240" s="176">
        <f t="shared" si="71"/>
        <v>0</v>
      </c>
      <c r="R240" s="176">
        <f t="shared" si="72"/>
        <v>64.491</v>
      </c>
      <c r="S240" s="176">
        <f t="shared" si="76"/>
        <v>0.85987999999999998</v>
      </c>
      <c r="T240" s="176">
        <f t="shared" si="73"/>
        <v>0</v>
      </c>
      <c r="U240" s="176">
        <f t="shared" si="77"/>
        <v>0.85987999999999998</v>
      </c>
    </row>
    <row r="241" spans="1:21" ht="15.75">
      <c r="A241" s="173">
        <v>17</v>
      </c>
      <c r="B241" s="174" t="s">
        <v>76</v>
      </c>
      <c r="C241" s="173" t="s">
        <v>195</v>
      </c>
      <c r="D241" s="175">
        <v>11.5</v>
      </c>
      <c r="E241" s="173">
        <v>1853</v>
      </c>
      <c r="F241" s="173">
        <v>3.75</v>
      </c>
      <c r="G241" s="176">
        <f t="shared" si="74"/>
        <v>6948.75</v>
      </c>
      <c r="H241" s="10"/>
      <c r="I241" s="176">
        <f t="shared" si="66"/>
        <v>6948.75</v>
      </c>
      <c r="J241" s="176">
        <f t="shared" si="67"/>
        <v>0</v>
      </c>
      <c r="K241" s="176">
        <f t="shared" si="68"/>
        <v>1853</v>
      </c>
      <c r="L241" s="10"/>
      <c r="M241" s="176">
        <f t="shared" si="69"/>
        <v>1853</v>
      </c>
      <c r="N241" s="176">
        <f>'Secandary-7'!T12</f>
        <v>0</v>
      </c>
      <c r="O241" s="176">
        <f t="shared" si="70"/>
        <v>1853</v>
      </c>
      <c r="P241" s="176">
        <f t="shared" si="75"/>
        <v>0</v>
      </c>
      <c r="Q241" s="176">
        <f t="shared" si="71"/>
        <v>0</v>
      </c>
      <c r="R241" s="176">
        <f t="shared" si="72"/>
        <v>21.3095</v>
      </c>
      <c r="S241" s="176">
        <f t="shared" si="76"/>
        <v>0.28412666666666664</v>
      </c>
      <c r="T241" s="176">
        <f t="shared" si="73"/>
        <v>0</v>
      </c>
      <c r="U241" s="176">
        <f t="shared" si="77"/>
        <v>0.28412666666666664</v>
      </c>
    </row>
    <row r="242" spans="1:21" ht="15.75">
      <c r="A242" s="173">
        <v>18</v>
      </c>
      <c r="B242" s="174" t="s">
        <v>51</v>
      </c>
      <c r="C242" s="173" t="s">
        <v>195</v>
      </c>
      <c r="D242" s="175">
        <v>14</v>
      </c>
      <c r="E242" s="173">
        <v>1525</v>
      </c>
      <c r="F242" s="173">
        <v>4</v>
      </c>
      <c r="G242" s="176">
        <f t="shared" si="74"/>
        <v>6100</v>
      </c>
      <c r="H242" s="10"/>
      <c r="I242" s="176">
        <f t="shared" si="66"/>
        <v>6100</v>
      </c>
      <c r="J242" s="176">
        <f t="shared" si="67"/>
        <v>0</v>
      </c>
      <c r="K242" s="176">
        <f t="shared" si="68"/>
        <v>1525</v>
      </c>
      <c r="L242" s="10"/>
      <c r="M242" s="176">
        <f t="shared" si="69"/>
        <v>1525</v>
      </c>
      <c r="N242" s="176">
        <f>'Secandary-7'!U12</f>
        <v>0</v>
      </c>
      <c r="O242" s="176">
        <f t="shared" si="70"/>
        <v>1525</v>
      </c>
      <c r="P242" s="176">
        <f t="shared" si="75"/>
        <v>0</v>
      </c>
      <c r="Q242" s="176">
        <f t="shared" si="71"/>
        <v>0</v>
      </c>
      <c r="R242" s="176">
        <f t="shared" si="72"/>
        <v>21.35</v>
      </c>
      <c r="S242" s="176">
        <f t="shared" si="76"/>
        <v>0.28466666666666668</v>
      </c>
      <c r="T242" s="176">
        <f t="shared" si="73"/>
        <v>0</v>
      </c>
      <c r="U242" s="176">
        <f t="shared" si="77"/>
        <v>0.28466666666666668</v>
      </c>
    </row>
    <row r="243" spans="1:21" ht="15.75">
      <c r="A243" s="176">
        <v>19</v>
      </c>
      <c r="B243" s="177" t="s">
        <v>112</v>
      </c>
      <c r="C243" s="173" t="s">
        <v>195</v>
      </c>
      <c r="D243" s="175">
        <v>8.5</v>
      </c>
      <c r="E243" s="173">
        <v>1500</v>
      </c>
      <c r="F243" s="173">
        <v>2.25</v>
      </c>
      <c r="G243" s="176">
        <f t="shared" si="74"/>
        <v>3375</v>
      </c>
      <c r="H243" s="10"/>
      <c r="I243" s="176">
        <f t="shared" si="66"/>
        <v>3375</v>
      </c>
      <c r="J243" s="176">
        <f t="shared" si="67"/>
        <v>0</v>
      </c>
      <c r="K243" s="176">
        <f t="shared" si="68"/>
        <v>1500</v>
      </c>
      <c r="L243" s="10"/>
      <c r="M243" s="176">
        <f t="shared" si="69"/>
        <v>1500</v>
      </c>
      <c r="N243" s="176">
        <f>'Secandary-7'!V12</f>
        <v>0</v>
      </c>
      <c r="O243" s="176">
        <f t="shared" si="70"/>
        <v>1500</v>
      </c>
      <c r="P243" s="176">
        <f t="shared" si="75"/>
        <v>0</v>
      </c>
      <c r="Q243" s="176">
        <f t="shared" si="71"/>
        <v>0</v>
      </c>
      <c r="R243" s="176">
        <f t="shared" si="72"/>
        <v>12.75</v>
      </c>
      <c r="S243" s="176">
        <f t="shared" si="76"/>
        <v>0.17</v>
      </c>
      <c r="T243" s="176">
        <f t="shared" si="73"/>
        <v>0</v>
      </c>
      <c r="U243" s="176">
        <f t="shared" si="77"/>
        <v>0.17</v>
      </c>
    </row>
    <row r="244" spans="1:21" ht="15.75">
      <c r="A244" s="176">
        <v>20</v>
      </c>
      <c r="B244" s="177" t="s">
        <v>137</v>
      </c>
      <c r="C244" s="173" t="s">
        <v>195</v>
      </c>
      <c r="D244" s="175">
        <v>9.5</v>
      </c>
      <c r="E244" s="173">
        <v>1500</v>
      </c>
      <c r="F244" s="173">
        <v>2.75</v>
      </c>
      <c r="G244" s="176">
        <f t="shared" si="74"/>
        <v>4125</v>
      </c>
      <c r="H244" s="10"/>
      <c r="I244" s="176">
        <f t="shared" si="66"/>
        <v>4125</v>
      </c>
      <c r="J244" s="176">
        <f t="shared" si="67"/>
        <v>0</v>
      </c>
      <c r="K244" s="176">
        <f t="shared" si="68"/>
        <v>1500</v>
      </c>
      <c r="L244" s="10"/>
      <c r="M244" s="176">
        <f t="shared" si="69"/>
        <v>1500</v>
      </c>
      <c r="N244" s="176">
        <f>'Secandary-7'!W12</f>
        <v>0</v>
      </c>
      <c r="O244" s="176">
        <f t="shared" si="70"/>
        <v>1500</v>
      </c>
      <c r="P244" s="176">
        <f t="shared" si="75"/>
        <v>0</v>
      </c>
      <c r="Q244" s="176">
        <f t="shared" si="71"/>
        <v>0</v>
      </c>
      <c r="R244" s="176">
        <f t="shared" si="72"/>
        <v>14.25</v>
      </c>
      <c r="S244" s="176">
        <f t="shared" si="76"/>
        <v>0.19</v>
      </c>
      <c r="T244" s="176">
        <f t="shared" si="73"/>
        <v>0</v>
      </c>
      <c r="U244" s="176">
        <f t="shared" si="77"/>
        <v>0.19</v>
      </c>
    </row>
    <row r="245" spans="1:21" ht="15.75">
      <c r="A245" s="176">
        <v>21</v>
      </c>
      <c r="B245" s="177" t="s">
        <v>149</v>
      </c>
      <c r="C245" s="173" t="s">
        <v>195</v>
      </c>
      <c r="D245" s="175">
        <v>14</v>
      </c>
      <c r="E245" s="173">
        <v>1500</v>
      </c>
      <c r="F245" s="173">
        <v>4</v>
      </c>
      <c r="G245" s="176">
        <f t="shared" si="74"/>
        <v>6000</v>
      </c>
      <c r="H245" s="10"/>
      <c r="I245" s="176">
        <f t="shared" si="66"/>
        <v>6000</v>
      </c>
      <c r="J245" s="176">
        <f t="shared" si="67"/>
        <v>0</v>
      </c>
      <c r="K245" s="176">
        <f t="shared" si="68"/>
        <v>1500</v>
      </c>
      <c r="L245" s="10"/>
      <c r="M245" s="176">
        <f t="shared" si="69"/>
        <v>1500</v>
      </c>
      <c r="N245" s="176">
        <f>'Secandary-7'!X12</f>
        <v>0</v>
      </c>
      <c r="O245" s="176">
        <f t="shared" si="70"/>
        <v>1500</v>
      </c>
      <c r="P245" s="176">
        <f t="shared" si="75"/>
        <v>0</v>
      </c>
      <c r="Q245" s="176">
        <f t="shared" si="71"/>
        <v>0</v>
      </c>
      <c r="R245" s="176">
        <f t="shared" si="72"/>
        <v>21</v>
      </c>
      <c r="S245" s="176">
        <f t="shared" si="76"/>
        <v>0.28000000000000003</v>
      </c>
      <c r="T245" s="176">
        <f t="shared" si="73"/>
        <v>0</v>
      </c>
      <c r="U245" s="176">
        <f t="shared" si="77"/>
        <v>0.28000000000000003</v>
      </c>
    </row>
    <row r="246" spans="1:21" ht="21" customHeight="1">
      <c r="A246" s="176">
        <v>22</v>
      </c>
      <c r="B246" s="177" t="s">
        <v>99</v>
      </c>
      <c r="C246" s="173" t="s">
        <v>195</v>
      </c>
      <c r="D246" s="175">
        <v>11.5</v>
      </c>
      <c r="E246" s="173">
        <v>1700</v>
      </c>
      <c r="F246" s="173">
        <v>3.75</v>
      </c>
      <c r="G246" s="176">
        <f t="shared" si="74"/>
        <v>6375</v>
      </c>
      <c r="H246" s="10"/>
      <c r="I246" s="176">
        <f t="shared" si="66"/>
        <v>6375</v>
      </c>
      <c r="J246" s="176">
        <f t="shared" si="67"/>
        <v>0</v>
      </c>
      <c r="K246" s="176">
        <f t="shared" si="68"/>
        <v>1700</v>
      </c>
      <c r="L246" s="10"/>
      <c r="M246" s="176">
        <f t="shared" si="69"/>
        <v>1700</v>
      </c>
      <c r="N246" s="176">
        <f>'Secandary-7'!Y12</f>
        <v>0</v>
      </c>
      <c r="O246" s="176">
        <f t="shared" si="70"/>
        <v>1700</v>
      </c>
      <c r="P246" s="176">
        <f t="shared" si="75"/>
        <v>0</v>
      </c>
      <c r="Q246" s="176">
        <f t="shared" si="71"/>
        <v>0</v>
      </c>
      <c r="R246" s="176">
        <f t="shared" si="72"/>
        <v>19.55</v>
      </c>
      <c r="S246" s="176">
        <f t="shared" si="76"/>
        <v>0.26066666666666666</v>
      </c>
      <c r="T246" s="176">
        <f t="shared" si="73"/>
        <v>0</v>
      </c>
      <c r="U246" s="176">
        <f t="shared" si="77"/>
        <v>0.26066666666666666</v>
      </c>
    </row>
    <row r="247" spans="1:21" ht="18.600000000000001" customHeight="1">
      <c r="A247" s="383" t="s">
        <v>67</v>
      </c>
      <c r="B247" s="383"/>
      <c r="C247" s="383"/>
      <c r="D247" s="383"/>
      <c r="E247" s="143">
        <f t="shared" ref="E247:U247" si="78">SUM(E225:E246)</f>
        <v>385310</v>
      </c>
      <c r="F247" s="143">
        <f t="shared" si="78"/>
        <v>87</v>
      </c>
      <c r="G247" s="143">
        <f t="shared" si="78"/>
        <v>1747602.75</v>
      </c>
      <c r="H247" s="143">
        <f t="shared" si="78"/>
        <v>0</v>
      </c>
      <c r="I247" s="143">
        <f t="shared" si="78"/>
        <v>1747602.75</v>
      </c>
      <c r="J247" s="143">
        <f t="shared" si="78"/>
        <v>0</v>
      </c>
      <c r="K247" s="143">
        <f t="shared" si="78"/>
        <v>385310</v>
      </c>
      <c r="L247" s="143">
        <f t="shared" si="78"/>
        <v>0</v>
      </c>
      <c r="M247" s="143">
        <f t="shared" si="78"/>
        <v>385310</v>
      </c>
      <c r="N247" s="143">
        <f t="shared" si="78"/>
        <v>0</v>
      </c>
      <c r="O247" s="143">
        <f t="shared" si="78"/>
        <v>385310</v>
      </c>
      <c r="P247" s="143">
        <f t="shared" si="78"/>
        <v>0</v>
      </c>
      <c r="Q247" s="143">
        <f t="shared" si="78"/>
        <v>0</v>
      </c>
      <c r="R247" s="143">
        <f t="shared" si="78"/>
        <v>6119.5505000000003</v>
      </c>
      <c r="S247" s="143">
        <f t="shared" si="78"/>
        <v>81.594006666666672</v>
      </c>
      <c r="T247" s="143">
        <f t="shared" si="78"/>
        <v>0</v>
      </c>
      <c r="U247" s="143">
        <f t="shared" si="78"/>
        <v>81.594006666666672</v>
      </c>
    </row>
    <row r="248" spans="1:21" ht="18.600000000000001" customHeight="1">
      <c r="A248" s="30"/>
      <c r="B248" s="28"/>
      <c r="C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</row>
    <row r="249" spans="1:21">
      <c r="A249" s="30"/>
      <c r="B249" s="28"/>
      <c r="C249" s="30"/>
      <c r="E249" s="30"/>
      <c r="F249" s="30"/>
      <c r="G249" s="30"/>
      <c r="H249" s="30"/>
      <c r="I249" s="30"/>
      <c r="J249" s="30"/>
      <c r="K249" s="30"/>
      <c r="L249" s="30"/>
      <c r="M249" s="122"/>
      <c r="N249" s="122"/>
      <c r="O249" s="122"/>
      <c r="P249" s="122"/>
      <c r="Q249" s="67"/>
      <c r="R249" s="67"/>
      <c r="S249" s="67"/>
      <c r="T249" s="67"/>
      <c r="U249" s="67"/>
    </row>
    <row r="250" spans="1:21" ht="15.75">
      <c r="A250" s="61"/>
      <c r="B250" s="61"/>
      <c r="C250" s="61"/>
      <c r="D250" s="61"/>
      <c r="E250" s="62"/>
      <c r="F250" s="62"/>
      <c r="G250" s="62"/>
      <c r="H250" s="62"/>
      <c r="I250" s="62"/>
      <c r="J250" s="62"/>
      <c r="K250" s="62"/>
      <c r="L250" s="62"/>
      <c r="M250" s="63"/>
      <c r="N250" s="63"/>
      <c r="O250" s="63"/>
      <c r="P250" s="63"/>
      <c r="Q250" s="387" t="s">
        <v>254</v>
      </c>
      <c r="R250" s="387"/>
      <c r="S250" s="387"/>
      <c r="T250" s="387"/>
      <c r="U250" s="387"/>
    </row>
    <row r="251" spans="1:21" s="43" customFormat="1" ht="41.25">
      <c r="A251" s="388" t="s">
        <v>178</v>
      </c>
      <c r="B251" s="388"/>
      <c r="C251" s="388"/>
      <c r="D251" s="388"/>
      <c r="E251" s="388"/>
      <c r="F251" s="388"/>
      <c r="G251" s="388"/>
      <c r="H251" s="388"/>
      <c r="I251" s="388"/>
      <c r="J251" s="388"/>
      <c r="K251" s="388"/>
      <c r="L251" s="388"/>
      <c r="M251" s="388"/>
      <c r="N251" s="388"/>
      <c r="O251" s="388"/>
      <c r="P251" s="388"/>
      <c r="Q251" s="388"/>
      <c r="R251" s="388"/>
      <c r="S251" s="388"/>
      <c r="T251" s="388"/>
      <c r="U251" s="388"/>
    </row>
    <row r="252" spans="1:21" s="43" customFormat="1" ht="20.25">
      <c r="A252" s="379" t="s">
        <v>253</v>
      </c>
      <c r="B252" s="379"/>
      <c r="C252" s="379"/>
      <c r="D252" s="379"/>
      <c r="E252" s="379"/>
      <c r="F252" s="379"/>
      <c r="G252" s="379"/>
      <c r="H252" s="379"/>
      <c r="I252" s="379"/>
      <c r="J252" s="379"/>
      <c r="K252" s="379"/>
      <c r="L252" s="379"/>
      <c r="M252" s="379"/>
      <c r="N252" s="379"/>
      <c r="O252" s="379"/>
      <c r="P252" s="379"/>
      <c r="Q252" s="379"/>
      <c r="R252" s="379"/>
      <c r="S252" s="379"/>
      <c r="T252" s="379"/>
      <c r="U252" s="379"/>
    </row>
    <row r="253" spans="1:21" s="43" customFormat="1" ht="17.25">
      <c r="A253" s="313" t="s">
        <v>274</v>
      </c>
      <c r="B253" s="313"/>
      <c r="C253" s="313"/>
      <c r="D253" s="313"/>
      <c r="E253" s="313"/>
      <c r="F253" s="313"/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  <c r="T253" s="313"/>
      <c r="U253" s="313"/>
    </row>
    <row r="254" spans="1:21" s="43" customFormat="1" ht="20.25">
      <c r="A254" s="386" t="s">
        <v>452</v>
      </c>
      <c r="B254" s="386"/>
      <c r="C254" s="386"/>
      <c r="D254" s="386"/>
      <c r="E254" s="386"/>
      <c r="F254" s="386"/>
      <c r="G254" s="386"/>
      <c r="H254" s="386"/>
      <c r="I254" s="386"/>
      <c r="J254" s="386"/>
      <c r="K254" s="386"/>
      <c r="L254" s="386"/>
      <c r="M254" s="386"/>
      <c r="N254" s="386"/>
      <c r="O254" s="386"/>
      <c r="P254" s="386"/>
      <c r="Q254" s="386"/>
      <c r="R254" s="378"/>
      <c r="S254" s="378"/>
      <c r="T254" s="378"/>
      <c r="U254" s="378"/>
    </row>
    <row r="255" spans="1:21" s="43" customFormat="1">
      <c r="A255" s="389" t="s">
        <v>15</v>
      </c>
      <c r="B255" s="389" t="s">
        <v>64</v>
      </c>
      <c r="C255" s="389" t="s">
        <v>65</v>
      </c>
      <c r="D255" s="380" t="s">
        <v>66</v>
      </c>
      <c r="E255" s="161" t="s">
        <v>88</v>
      </c>
      <c r="F255" s="145" t="s">
        <v>157</v>
      </c>
      <c r="G255" s="374" t="s">
        <v>138</v>
      </c>
      <c r="H255" s="375"/>
      <c r="I255" s="376"/>
      <c r="J255" s="377" t="s">
        <v>139</v>
      </c>
      <c r="K255" s="377"/>
      <c r="L255" s="377" t="s">
        <v>86</v>
      </c>
      <c r="M255" s="377"/>
      <c r="N255" s="377" t="s">
        <v>25</v>
      </c>
      <c r="O255" s="377"/>
      <c r="P255" s="377" t="s">
        <v>87</v>
      </c>
      <c r="Q255" s="382" t="s">
        <v>199</v>
      </c>
      <c r="R255" s="377" t="s">
        <v>140</v>
      </c>
      <c r="S255" s="377"/>
      <c r="T255" s="377"/>
      <c r="U255" s="377"/>
    </row>
    <row r="256" spans="1:21" s="43" customFormat="1" ht="21" customHeight="1">
      <c r="A256" s="390"/>
      <c r="B256" s="390"/>
      <c r="C256" s="390"/>
      <c r="D256" s="381"/>
      <c r="E256" s="145" t="s">
        <v>263</v>
      </c>
      <c r="F256" s="145"/>
      <c r="G256" s="139" t="s">
        <v>189</v>
      </c>
      <c r="H256" s="145" t="s">
        <v>85</v>
      </c>
      <c r="I256" s="145" t="s">
        <v>70</v>
      </c>
      <c r="J256" s="148" t="s">
        <v>85</v>
      </c>
      <c r="K256" s="148" t="s">
        <v>70</v>
      </c>
      <c r="L256" s="145" t="s">
        <v>86</v>
      </c>
      <c r="M256" s="148" t="s">
        <v>70</v>
      </c>
      <c r="N256" s="148" t="s">
        <v>25</v>
      </c>
      <c r="O256" s="148" t="s">
        <v>70</v>
      </c>
      <c r="P256" s="377"/>
      <c r="Q256" s="382"/>
      <c r="R256" s="148" t="s">
        <v>155</v>
      </c>
      <c r="S256" s="148" t="s">
        <v>156</v>
      </c>
      <c r="T256" s="148" t="s">
        <v>141</v>
      </c>
      <c r="U256" s="148" t="s">
        <v>70</v>
      </c>
    </row>
    <row r="257" spans="1:21" s="43" customFormat="1" ht="15.75">
      <c r="A257" s="173">
        <v>1</v>
      </c>
      <c r="B257" s="174" t="s">
        <v>194</v>
      </c>
      <c r="C257" s="173" t="s">
        <v>195</v>
      </c>
      <c r="D257" s="175">
        <v>12.5</v>
      </c>
      <c r="E257" s="173">
        <v>44370</v>
      </c>
      <c r="F257" s="173">
        <v>3.25</v>
      </c>
      <c r="G257" s="176">
        <f>F257*E257</f>
        <v>144202.5</v>
      </c>
      <c r="H257" s="10"/>
      <c r="I257" s="176">
        <f t="shared" ref="I257:I278" si="79">G257-H257</f>
        <v>144202.5</v>
      </c>
      <c r="J257" s="176">
        <f t="shared" ref="J257:J278" si="80">H257/F257</f>
        <v>0</v>
      </c>
      <c r="K257" s="176">
        <f t="shared" ref="K257:K278" si="81">E257-J257</f>
        <v>44370</v>
      </c>
      <c r="L257" s="10"/>
      <c r="M257" s="176">
        <f t="shared" ref="M257:M278" si="82">E257-L257</f>
        <v>44370</v>
      </c>
      <c r="N257" s="176">
        <f>'Secandary-7'!D30</f>
        <v>0</v>
      </c>
      <c r="O257" s="176">
        <f t="shared" ref="O257:O278" si="83">E257-N257</f>
        <v>44370</v>
      </c>
      <c r="P257" s="176">
        <f>L257-N257</f>
        <v>0</v>
      </c>
      <c r="Q257" s="176">
        <f t="shared" ref="Q257:Q278" si="84">D257*L257/1000</f>
        <v>0</v>
      </c>
      <c r="R257" s="176">
        <f t="shared" ref="R257:R278" si="85">D257*E257/1000</f>
        <v>554.625</v>
      </c>
      <c r="S257" s="176">
        <f>R257/75</f>
        <v>7.3949999999999996</v>
      </c>
      <c r="T257" s="176">
        <f t="shared" ref="T257:T278" si="86">D257*J257/1000/75</f>
        <v>0</v>
      </c>
      <c r="U257" s="176">
        <f>S257-T257</f>
        <v>7.3949999999999996</v>
      </c>
    </row>
    <row r="258" spans="1:21" s="43" customFormat="1" ht="15.75">
      <c r="A258" s="173">
        <v>2</v>
      </c>
      <c r="B258" s="174" t="s">
        <v>191</v>
      </c>
      <c r="C258" s="173" t="s">
        <v>195</v>
      </c>
      <c r="D258" s="175">
        <v>8.5</v>
      </c>
      <c r="E258" s="173">
        <v>44370</v>
      </c>
      <c r="F258" s="173">
        <v>2.25</v>
      </c>
      <c r="G258" s="176">
        <f t="shared" ref="G258:G278" si="87">F258*E258</f>
        <v>99832.5</v>
      </c>
      <c r="H258" s="10"/>
      <c r="I258" s="176">
        <f t="shared" si="79"/>
        <v>99832.5</v>
      </c>
      <c r="J258" s="176">
        <f t="shared" si="80"/>
        <v>0</v>
      </c>
      <c r="K258" s="176">
        <f t="shared" si="81"/>
        <v>44370</v>
      </c>
      <c r="L258" s="10"/>
      <c r="M258" s="176">
        <f t="shared" si="82"/>
        <v>44370</v>
      </c>
      <c r="N258" s="176">
        <f>'Secandary-7'!E30</f>
        <v>0</v>
      </c>
      <c r="O258" s="176">
        <f t="shared" si="83"/>
        <v>44370</v>
      </c>
      <c r="P258" s="176">
        <f t="shared" ref="P258:P278" si="88">L258-N258</f>
        <v>0</v>
      </c>
      <c r="Q258" s="176">
        <f t="shared" si="84"/>
        <v>0</v>
      </c>
      <c r="R258" s="176">
        <f t="shared" si="85"/>
        <v>377.14499999999998</v>
      </c>
      <c r="S258" s="176">
        <f t="shared" ref="S258:S278" si="89">R258/75</f>
        <v>5.0286</v>
      </c>
      <c r="T258" s="176">
        <f t="shared" si="86"/>
        <v>0</v>
      </c>
      <c r="U258" s="176">
        <f t="shared" ref="U258:U278" si="90">S258-T258</f>
        <v>5.0286</v>
      </c>
    </row>
    <row r="259" spans="1:21" s="43" customFormat="1" ht="15.75">
      <c r="A259" s="173">
        <v>3</v>
      </c>
      <c r="B259" s="174" t="s">
        <v>56</v>
      </c>
      <c r="C259" s="173" t="s">
        <v>195</v>
      </c>
      <c r="D259" s="175">
        <v>16.5</v>
      </c>
      <c r="E259" s="173">
        <v>44370</v>
      </c>
      <c r="F259" s="173">
        <v>4.25</v>
      </c>
      <c r="G259" s="176">
        <f t="shared" si="87"/>
        <v>188572.5</v>
      </c>
      <c r="H259" s="10"/>
      <c r="I259" s="176">
        <f t="shared" si="79"/>
        <v>188572.5</v>
      </c>
      <c r="J259" s="176">
        <f t="shared" si="80"/>
        <v>0</v>
      </c>
      <c r="K259" s="176">
        <f t="shared" si="81"/>
        <v>44370</v>
      </c>
      <c r="L259" s="10"/>
      <c r="M259" s="176">
        <f t="shared" si="82"/>
        <v>44370</v>
      </c>
      <c r="N259" s="176">
        <f>'Secandary-7'!F30</f>
        <v>0</v>
      </c>
      <c r="O259" s="176">
        <f t="shared" si="83"/>
        <v>44370</v>
      </c>
      <c r="P259" s="176">
        <f t="shared" si="88"/>
        <v>0</v>
      </c>
      <c r="Q259" s="176">
        <f t="shared" si="84"/>
        <v>0</v>
      </c>
      <c r="R259" s="176">
        <f t="shared" si="85"/>
        <v>732.10500000000002</v>
      </c>
      <c r="S259" s="176">
        <f t="shared" si="89"/>
        <v>9.7614000000000001</v>
      </c>
      <c r="T259" s="176">
        <f t="shared" si="86"/>
        <v>0</v>
      </c>
      <c r="U259" s="176">
        <f t="shared" si="90"/>
        <v>9.7614000000000001</v>
      </c>
    </row>
    <row r="260" spans="1:21" s="43" customFormat="1" ht="15.75">
      <c r="A260" s="173">
        <v>4</v>
      </c>
      <c r="B260" s="174" t="s">
        <v>27</v>
      </c>
      <c r="C260" s="173" t="s">
        <v>195</v>
      </c>
      <c r="D260" s="175">
        <v>15</v>
      </c>
      <c r="E260" s="173">
        <v>44370</v>
      </c>
      <c r="F260" s="173">
        <v>4.25</v>
      </c>
      <c r="G260" s="176">
        <f t="shared" si="87"/>
        <v>188572.5</v>
      </c>
      <c r="H260" s="10"/>
      <c r="I260" s="176">
        <f t="shared" si="79"/>
        <v>188572.5</v>
      </c>
      <c r="J260" s="176">
        <f t="shared" si="80"/>
        <v>0</v>
      </c>
      <c r="K260" s="176">
        <f t="shared" si="81"/>
        <v>44370</v>
      </c>
      <c r="L260" s="10"/>
      <c r="M260" s="176">
        <f t="shared" si="82"/>
        <v>44370</v>
      </c>
      <c r="N260" s="176">
        <f>'Secandary-7'!G30</f>
        <v>0</v>
      </c>
      <c r="O260" s="176">
        <f t="shared" si="83"/>
        <v>44370</v>
      </c>
      <c r="P260" s="176">
        <f t="shared" si="88"/>
        <v>0</v>
      </c>
      <c r="Q260" s="176">
        <f t="shared" si="84"/>
        <v>0</v>
      </c>
      <c r="R260" s="176">
        <f t="shared" si="85"/>
        <v>665.55</v>
      </c>
      <c r="S260" s="176">
        <f t="shared" si="89"/>
        <v>8.8739999999999988</v>
      </c>
      <c r="T260" s="176">
        <f t="shared" si="86"/>
        <v>0</v>
      </c>
      <c r="U260" s="176">
        <f t="shared" si="90"/>
        <v>8.8739999999999988</v>
      </c>
    </row>
    <row r="261" spans="1:21" s="43" customFormat="1" ht="15.75">
      <c r="A261" s="173">
        <v>5</v>
      </c>
      <c r="B261" s="174" t="s">
        <v>150</v>
      </c>
      <c r="C261" s="173" t="s">
        <v>195</v>
      </c>
      <c r="D261" s="175">
        <v>26</v>
      </c>
      <c r="E261" s="173">
        <v>44370</v>
      </c>
      <c r="F261" s="173">
        <v>7</v>
      </c>
      <c r="G261" s="176">
        <f t="shared" si="87"/>
        <v>310590</v>
      </c>
      <c r="H261" s="10"/>
      <c r="I261" s="176">
        <f t="shared" si="79"/>
        <v>310590</v>
      </c>
      <c r="J261" s="176">
        <f t="shared" si="80"/>
        <v>0</v>
      </c>
      <c r="K261" s="176">
        <f t="shared" si="81"/>
        <v>44370</v>
      </c>
      <c r="L261" s="10"/>
      <c r="M261" s="176">
        <f t="shared" si="82"/>
        <v>44370</v>
      </c>
      <c r="N261" s="176">
        <f>'Secandary-7'!H30</f>
        <v>0</v>
      </c>
      <c r="O261" s="176">
        <f t="shared" si="83"/>
        <v>44370</v>
      </c>
      <c r="P261" s="176">
        <f t="shared" si="88"/>
        <v>0</v>
      </c>
      <c r="Q261" s="176">
        <f t="shared" si="84"/>
        <v>0</v>
      </c>
      <c r="R261" s="176">
        <f t="shared" si="85"/>
        <v>1153.6199999999999</v>
      </c>
      <c r="S261" s="176">
        <f t="shared" si="89"/>
        <v>15.381599999999999</v>
      </c>
      <c r="T261" s="176">
        <f t="shared" si="86"/>
        <v>0</v>
      </c>
      <c r="U261" s="176">
        <f t="shared" si="90"/>
        <v>15.381599999999999</v>
      </c>
    </row>
    <row r="262" spans="1:21" s="43" customFormat="1" ht="15.75">
      <c r="A262" s="173">
        <v>6</v>
      </c>
      <c r="B262" s="174" t="s">
        <v>31</v>
      </c>
      <c r="C262" s="173" t="s">
        <v>195</v>
      </c>
      <c r="D262" s="175">
        <v>22.5</v>
      </c>
      <c r="E262" s="173">
        <v>44370</v>
      </c>
      <c r="F262" s="173">
        <v>6.25</v>
      </c>
      <c r="G262" s="176">
        <f t="shared" si="87"/>
        <v>277312.5</v>
      </c>
      <c r="H262" s="10"/>
      <c r="I262" s="176">
        <f t="shared" si="79"/>
        <v>277312.5</v>
      </c>
      <c r="J262" s="176">
        <f t="shared" si="80"/>
        <v>0</v>
      </c>
      <c r="K262" s="176">
        <f t="shared" si="81"/>
        <v>44370</v>
      </c>
      <c r="L262" s="10"/>
      <c r="M262" s="176">
        <f t="shared" si="82"/>
        <v>44370</v>
      </c>
      <c r="N262" s="176">
        <f>'Secandary-7'!I30</f>
        <v>0</v>
      </c>
      <c r="O262" s="176">
        <f t="shared" si="83"/>
        <v>44370</v>
      </c>
      <c r="P262" s="176">
        <f t="shared" si="88"/>
        <v>0</v>
      </c>
      <c r="Q262" s="176">
        <f t="shared" si="84"/>
        <v>0</v>
      </c>
      <c r="R262" s="176">
        <f t="shared" si="85"/>
        <v>998.32500000000005</v>
      </c>
      <c r="S262" s="176">
        <f t="shared" si="89"/>
        <v>13.311</v>
      </c>
      <c r="T262" s="176">
        <f t="shared" si="86"/>
        <v>0</v>
      </c>
      <c r="U262" s="176">
        <f t="shared" si="90"/>
        <v>13.311</v>
      </c>
    </row>
    <row r="263" spans="1:21" s="43" customFormat="1" ht="15.75">
      <c r="A263" s="173">
        <v>7</v>
      </c>
      <c r="B263" s="174" t="s">
        <v>72</v>
      </c>
      <c r="C263" s="173" t="s">
        <v>195</v>
      </c>
      <c r="D263" s="175">
        <v>14.5</v>
      </c>
      <c r="E263" s="173">
        <v>44370</v>
      </c>
      <c r="F263" s="173">
        <v>4.25</v>
      </c>
      <c r="G263" s="176">
        <f t="shared" si="87"/>
        <v>188572.5</v>
      </c>
      <c r="H263" s="10"/>
      <c r="I263" s="176">
        <f t="shared" si="79"/>
        <v>188572.5</v>
      </c>
      <c r="J263" s="176">
        <f t="shared" si="80"/>
        <v>0</v>
      </c>
      <c r="K263" s="176">
        <f t="shared" si="81"/>
        <v>44370</v>
      </c>
      <c r="L263" s="10"/>
      <c r="M263" s="176">
        <f t="shared" si="82"/>
        <v>44370</v>
      </c>
      <c r="N263" s="176">
        <f>'Secandary-7'!J30</f>
        <v>0</v>
      </c>
      <c r="O263" s="176">
        <f t="shared" si="83"/>
        <v>44370</v>
      </c>
      <c r="P263" s="176">
        <f t="shared" si="88"/>
        <v>0</v>
      </c>
      <c r="Q263" s="176">
        <f t="shared" si="84"/>
        <v>0</v>
      </c>
      <c r="R263" s="176">
        <f t="shared" si="85"/>
        <v>643.36500000000001</v>
      </c>
      <c r="S263" s="176">
        <f t="shared" si="89"/>
        <v>8.5782000000000007</v>
      </c>
      <c r="T263" s="176">
        <f t="shared" si="86"/>
        <v>0</v>
      </c>
      <c r="U263" s="176">
        <f t="shared" si="90"/>
        <v>8.5782000000000007</v>
      </c>
    </row>
    <row r="264" spans="1:21" s="43" customFormat="1" ht="15.75">
      <c r="A264" s="173">
        <v>8</v>
      </c>
      <c r="B264" s="174" t="s">
        <v>32</v>
      </c>
      <c r="C264" s="173" t="s">
        <v>195</v>
      </c>
      <c r="D264" s="175">
        <v>20.5</v>
      </c>
      <c r="E264" s="173">
        <v>44460</v>
      </c>
      <c r="F264" s="173">
        <v>5.25</v>
      </c>
      <c r="G264" s="176">
        <f t="shared" si="87"/>
        <v>233415</v>
      </c>
      <c r="H264" s="10"/>
      <c r="I264" s="176">
        <f t="shared" si="79"/>
        <v>233415</v>
      </c>
      <c r="J264" s="176">
        <f t="shared" si="80"/>
        <v>0</v>
      </c>
      <c r="K264" s="176">
        <f t="shared" si="81"/>
        <v>44460</v>
      </c>
      <c r="L264" s="10"/>
      <c r="M264" s="176">
        <f t="shared" si="82"/>
        <v>44460</v>
      </c>
      <c r="N264" s="176">
        <f>'Secandary-7'!K30</f>
        <v>0</v>
      </c>
      <c r="O264" s="176">
        <f t="shared" si="83"/>
        <v>44460</v>
      </c>
      <c r="P264" s="176">
        <f t="shared" si="88"/>
        <v>0</v>
      </c>
      <c r="Q264" s="176">
        <f t="shared" si="84"/>
        <v>0</v>
      </c>
      <c r="R264" s="176">
        <f t="shared" si="85"/>
        <v>911.43</v>
      </c>
      <c r="S264" s="176">
        <f t="shared" si="89"/>
        <v>12.1524</v>
      </c>
      <c r="T264" s="176">
        <f t="shared" si="86"/>
        <v>0</v>
      </c>
      <c r="U264" s="176">
        <f t="shared" si="90"/>
        <v>12.1524</v>
      </c>
    </row>
    <row r="265" spans="1:21" s="43" customFormat="1" ht="21" customHeight="1">
      <c r="A265" s="173">
        <v>9</v>
      </c>
      <c r="B265" s="174" t="s">
        <v>43</v>
      </c>
      <c r="C265" s="173" t="s">
        <v>195</v>
      </c>
      <c r="D265" s="175">
        <v>7.5</v>
      </c>
      <c r="E265" s="173">
        <v>1750</v>
      </c>
      <c r="F265" s="173">
        <v>2.75</v>
      </c>
      <c r="G265" s="176">
        <f t="shared" si="87"/>
        <v>4812.5</v>
      </c>
      <c r="H265" s="10"/>
      <c r="I265" s="176">
        <f t="shared" si="79"/>
        <v>4812.5</v>
      </c>
      <c r="J265" s="176">
        <f t="shared" si="80"/>
        <v>0</v>
      </c>
      <c r="K265" s="176">
        <f t="shared" si="81"/>
        <v>1750</v>
      </c>
      <c r="L265" s="10"/>
      <c r="M265" s="176">
        <f t="shared" si="82"/>
        <v>1750</v>
      </c>
      <c r="N265" s="176">
        <f>'Secandary-7'!L30</f>
        <v>0</v>
      </c>
      <c r="O265" s="176">
        <f t="shared" si="83"/>
        <v>1750</v>
      </c>
      <c r="P265" s="176">
        <f t="shared" si="88"/>
        <v>0</v>
      </c>
      <c r="Q265" s="176">
        <f t="shared" si="84"/>
        <v>0</v>
      </c>
      <c r="R265" s="176">
        <f t="shared" si="85"/>
        <v>13.125</v>
      </c>
      <c r="S265" s="176">
        <f t="shared" si="89"/>
        <v>0.17499999999999999</v>
      </c>
      <c r="T265" s="176">
        <f t="shared" si="86"/>
        <v>0</v>
      </c>
      <c r="U265" s="176">
        <f t="shared" si="90"/>
        <v>0.17499999999999999</v>
      </c>
    </row>
    <row r="266" spans="1:21" s="43" customFormat="1" ht="18.600000000000001" customHeight="1">
      <c r="A266" s="173">
        <v>10</v>
      </c>
      <c r="B266" s="174" t="s">
        <v>73</v>
      </c>
      <c r="C266" s="173" t="s">
        <v>195</v>
      </c>
      <c r="D266" s="175">
        <v>9.5</v>
      </c>
      <c r="E266" s="173">
        <v>44370</v>
      </c>
      <c r="F266" s="173">
        <v>4.75</v>
      </c>
      <c r="G266" s="176">
        <f t="shared" si="87"/>
        <v>210757.5</v>
      </c>
      <c r="H266" s="10"/>
      <c r="I266" s="176">
        <f t="shared" si="79"/>
        <v>210757.5</v>
      </c>
      <c r="J266" s="176">
        <f t="shared" si="80"/>
        <v>0</v>
      </c>
      <c r="K266" s="176">
        <f t="shared" si="81"/>
        <v>44370</v>
      </c>
      <c r="L266" s="10"/>
      <c r="M266" s="176">
        <f t="shared" si="82"/>
        <v>44370</v>
      </c>
      <c r="N266" s="176">
        <f>'Secandary-7'!M30</f>
        <v>0</v>
      </c>
      <c r="O266" s="176">
        <f t="shared" si="83"/>
        <v>44370</v>
      </c>
      <c r="P266" s="176">
        <f t="shared" si="88"/>
        <v>0</v>
      </c>
      <c r="Q266" s="176">
        <f t="shared" si="84"/>
        <v>0</v>
      </c>
      <c r="R266" s="176">
        <f t="shared" si="85"/>
        <v>421.51499999999999</v>
      </c>
      <c r="S266" s="176">
        <f t="shared" si="89"/>
        <v>5.6201999999999996</v>
      </c>
      <c r="T266" s="176">
        <f t="shared" si="86"/>
        <v>0</v>
      </c>
      <c r="U266" s="176">
        <f t="shared" si="90"/>
        <v>5.6201999999999996</v>
      </c>
    </row>
    <row r="267" spans="1:21" s="43" customFormat="1" ht="18.600000000000001" customHeight="1">
      <c r="A267" s="173">
        <v>11</v>
      </c>
      <c r="B267" s="174" t="s">
        <v>74</v>
      </c>
      <c r="C267" s="173" t="s">
        <v>195</v>
      </c>
      <c r="D267" s="175">
        <v>9</v>
      </c>
      <c r="E267" s="173">
        <v>1000</v>
      </c>
      <c r="F267" s="173">
        <v>2.5</v>
      </c>
      <c r="G267" s="176">
        <f t="shared" si="87"/>
        <v>2500</v>
      </c>
      <c r="H267" s="10"/>
      <c r="I267" s="176">
        <f t="shared" si="79"/>
        <v>2500</v>
      </c>
      <c r="J267" s="176">
        <f t="shared" si="80"/>
        <v>0</v>
      </c>
      <c r="K267" s="176">
        <f t="shared" si="81"/>
        <v>1000</v>
      </c>
      <c r="L267" s="10"/>
      <c r="M267" s="176">
        <f t="shared" si="82"/>
        <v>1000</v>
      </c>
      <c r="N267" s="176">
        <f>'Secandary-7'!N30</f>
        <v>0</v>
      </c>
      <c r="O267" s="176">
        <f t="shared" si="83"/>
        <v>1000</v>
      </c>
      <c r="P267" s="176">
        <f t="shared" si="88"/>
        <v>0</v>
      </c>
      <c r="Q267" s="176">
        <f t="shared" si="84"/>
        <v>0</v>
      </c>
      <c r="R267" s="176">
        <f t="shared" si="85"/>
        <v>9</v>
      </c>
      <c r="S267" s="176">
        <f t="shared" si="89"/>
        <v>0.12</v>
      </c>
      <c r="T267" s="176">
        <f t="shared" si="86"/>
        <v>0</v>
      </c>
      <c r="U267" s="176">
        <f t="shared" si="90"/>
        <v>0.12</v>
      </c>
    </row>
    <row r="268" spans="1:21" s="43" customFormat="1" ht="15.75">
      <c r="A268" s="173">
        <v>12</v>
      </c>
      <c r="B268" s="174" t="s">
        <v>192</v>
      </c>
      <c r="C268" s="173" t="s">
        <v>195</v>
      </c>
      <c r="D268" s="175">
        <v>7</v>
      </c>
      <c r="E268" s="173"/>
      <c r="F268" s="173">
        <v>2.5</v>
      </c>
      <c r="G268" s="176">
        <f t="shared" si="87"/>
        <v>0</v>
      </c>
      <c r="H268" s="10"/>
      <c r="I268" s="176">
        <f t="shared" si="79"/>
        <v>0</v>
      </c>
      <c r="J268" s="176">
        <f t="shared" si="80"/>
        <v>0</v>
      </c>
      <c r="K268" s="176">
        <f t="shared" si="81"/>
        <v>0</v>
      </c>
      <c r="L268" s="10"/>
      <c r="M268" s="176">
        <f t="shared" si="82"/>
        <v>0</v>
      </c>
      <c r="N268" s="176">
        <f>'Secandary-7'!O30</f>
        <v>0</v>
      </c>
      <c r="O268" s="176">
        <f t="shared" si="83"/>
        <v>0</v>
      </c>
      <c r="P268" s="176">
        <f t="shared" si="88"/>
        <v>0</v>
      </c>
      <c r="Q268" s="176">
        <f t="shared" si="84"/>
        <v>0</v>
      </c>
      <c r="R268" s="176">
        <f t="shared" si="85"/>
        <v>0</v>
      </c>
      <c r="S268" s="176">
        <f t="shared" si="89"/>
        <v>0</v>
      </c>
      <c r="T268" s="176">
        <f t="shared" si="86"/>
        <v>0</v>
      </c>
      <c r="U268" s="176">
        <f t="shared" si="90"/>
        <v>0</v>
      </c>
    </row>
    <row r="269" spans="1:21" s="43" customFormat="1" ht="15.75">
      <c r="A269" s="173">
        <v>13</v>
      </c>
      <c r="B269" s="174" t="s">
        <v>47</v>
      </c>
      <c r="C269" s="173" t="s">
        <v>195</v>
      </c>
      <c r="D269" s="175">
        <v>16</v>
      </c>
      <c r="E269" s="173">
        <v>34660</v>
      </c>
      <c r="F269" s="173">
        <v>4</v>
      </c>
      <c r="G269" s="176">
        <f t="shared" si="87"/>
        <v>138640</v>
      </c>
      <c r="H269" s="10"/>
      <c r="I269" s="176">
        <f t="shared" si="79"/>
        <v>138640</v>
      </c>
      <c r="J269" s="176">
        <f t="shared" si="80"/>
        <v>0</v>
      </c>
      <c r="K269" s="176">
        <f t="shared" si="81"/>
        <v>34660</v>
      </c>
      <c r="L269" s="10"/>
      <c r="M269" s="176">
        <f t="shared" si="82"/>
        <v>34660</v>
      </c>
      <c r="N269" s="176">
        <f>'Secandary-7'!P30</f>
        <v>0</v>
      </c>
      <c r="O269" s="176">
        <f t="shared" si="83"/>
        <v>34660</v>
      </c>
      <c r="P269" s="176">
        <f t="shared" si="88"/>
        <v>0</v>
      </c>
      <c r="Q269" s="176">
        <f t="shared" si="84"/>
        <v>0</v>
      </c>
      <c r="R269" s="176">
        <f t="shared" si="85"/>
        <v>554.55999999999995</v>
      </c>
      <c r="S269" s="176">
        <f t="shared" si="89"/>
        <v>7.3941333333333326</v>
      </c>
      <c r="T269" s="176">
        <f t="shared" si="86"/>
        <v>0</v>
      </c>
      <c r="U269" s="176">
        <f t="shared" si="90"/>
        <v>7.3941333333333326</v>
      </c>
    </row>
    <row r="270" spans="1:21" s="43" customFormat="1" ht="15.75">
      <c r="A270" s="173">
        <v>14</v>
      </c>
      <c r="B270" s="174" t="s">
        <v>193</v>
      </c>
      <c r="C270" s="173" t="s">
        <v>195</v>
      </c>
      <c r="D270" s="175">
        <v>18.5</v>
      </c>
      <c r="E270" s="173">
        <v>8960</v>
      </c>
      <c r="F270" s="173">
        <v>5.25</v>
      </c>
      <c r="G270" s="176">
        <f t="shared" si="87"/>
        <v>47040</v>
      </c>
      <c r="H270" s="10"/>
      <c r="I270" s="176">
        <f t="shared" si="79"/>
        <v>47040</v>
      </c>
      <c r="J270" s="176">
        <f t="shared" si="80"/>
        <v>0</v>
      </c>
      <c r="K270" s="176">
        <f t="shared" si="81"/>
        <v>8960</v>
      </c>
      <c r="L270" s="10"/>
      <c r="M270" s="176">
        <f t="shared" si="82"/>
        <v>8960</v>
      </c>
      <c r="N270" s="176">
        <f>'Secandary-7'!Q30</f>
        <v>0</v>
      </c>
      <c r="O270" s="176">
        <f t="shared" si="83"/>
        <v>8960</v>
      </c>
      <c r="P270" s="176">
        <f t="shared" si="88"/>
        <v>0</v>
      </c>
      <c r="Q270" s="176">
        <f t="shared" si="84"/>
        <v>0</v>
      </c>
      <c r="R270" s="176">
        <f t="shared" si="85"/>
        <v>165.76</v>
      </c>
      <c r="S270" s="176">
        <f t="shared" si="89"/>
        <v>2.2101333333333333</v>
      </c>
      <c r="T270" s="176">
        <f t="shared" si="86"/>
        <v>0</v>
      </c>
      <c r="U270" s="176">
        <f t="shared" si="90"/>
        <v>2.2101333333333333</v>
      </c>
    </row>
    <row r="271" spans="1:21" s="43" customFormat="1" ht="15.75">
      <c r="A271" s="173">
        <v>15</v>
      </c>
      <c r="B271" s="174" t="s">
        <v>48</v>
      </c>
      <c r="C271" s="173" t="s">
        <v>195</v>
      </c>
      <c r="D271" s="175">
        <v>15.5</v>
      </c>
      <c r="E271" s="173">
        <v>40200</v>
      </c>
      <c r="F271" s="173">
        <v>4.75</v>
      </c>
      <c r="G271" s="176">
        <f t="shared" si="87"/>
        <v>190950</v>
      </c>
      <c r="H271" s="10"/>
      <c r="I271" s="176">
        <f t="shared" si="79"/>
        <v>190950</v>
      </c>
      <c r="J271" s="176">
        <f t="shared" si="80"/>
        <v>0</v>
      </c>
      <c r="K271" s="176">
        <f t="shared" si="81"/>
        <v>40200</v>
      </c>
      <c r="L271" s="10"/>
      <c r="M271" s="176">
        <f t="shared" si="82"/>
        <v>40200</v>
      </c>
      <c r="N271" s="176">
        <f>'Secandary-7'!R30</f>
        <v>0</v>
      </c>
      <c r="O271" s="176">
        <f t="shared" si="83"/>
        <v>40200</v>
      </c>
      <c r="P271" s="176">
        <f t="shared" si="88"/>
        <v>0</v>
      </c>
      <c r="Q271" s="176">
        <f t="shared" si="84"/>
        <v>0</v>
      </c>
      <c r="R271" s="176">
        <f t="shared" si="85"/>
        <v>623.1</v>
      </c>
      <c r="S271" s="176">
        <f t="shared" si="89"/>
        <v>8.3079999999999998</v>
      </c>
      <c r="T271" s="176">
        <f t="shared" si="86"/>
        <v>0</v>
      </c>
      <c r="U271" s="176">
        <f t="shared" si="90"/>
        <v>8.3079999999999998</v>
      </c>
    </row>
    <row r="272" spans="1:21" s="43" customFormat="1" ht="15.75">
      <c r="A272" s="173">
        <v>16</v>
      </c>
      <c r="B272" s="174" t="s">
        <v>75</v>
      </c>
      <c r="C272" s="173" t="s">
        <v>195</v>
      </c>
      <c r="D272" s="175">
        <v>10.5</v>
      </c>
      <c r="E272" s="173">
        <v>4170</v>
      </c>
      <c r="F272" s="173">
        <v>3.25</v>
      </c>
      <c r="G272" s="176">
        <f t="shared" si="87"/>
        <v>13552.5</v>
      </c>
      <c r="H272" s="10"/>
      <c r="I272" s="176">
        <f t="shared" si="79"/>
        <v>13552.5</v>
      </c>
      <c r="J272" s="176">
        <f t="shared" si="80"/>
        <v>0</v>
      </c>
      <c r="K272" s="176">
        <f t="shared" si="81"/>
        <v>4170</v>
      </c>
      <c r="L272" s="10"/>
      <c r="M272" s="176">
        <f t="shared" si="82"/>
        <v>4170</v>
      </c>
      <c r="N272" s="176">
        <f>'Secandary-7'!S30</f>
        <v>0</v>
      </c>
      <c r="O272" s="176">
        <f t="shared" si="83"/>
        <v>4170</v>
      </c>
      <c r="P272" s="176">
        <f t="shared" si="88"/>
        <v>0</v>
      </c>
      <c r="Q272" s="176">
        <f t="shared" si="84"/>
        <v>0</v>
      </c>
      <c r="R272" s="176">
        <f t="shared" si="85"/>
        <v>43.784999999999997</v>
      </c>
      <c r="S272" s="176">
        <f t="shared" si="89"/>
        <v>0.58379999999999999</v>
      </c>
      <c r="T272" s="176">
        <f t="shared" si="86"/>
        <v>0</v>
      </c>
      <c r="U272" s="176">
        <f t="shared" si="90"/>
        <v>0.58379999999999999</v>
      </c>
    </row>
    <row r="273" spans="1:21" s="43" customFormat="1" ht="15.75">
      <c r="A273" s="173">
        <v>17</v>
      </c>
      <c r="B273" s="174" t="s">
        <v>76</v>
      </c>
      <c r="C273" s="173" t="s">
        <v>195</v>
      </c>
      <c r="D273" s="175">
        <v>11.5</v>
      </c>
      <c r="E273" s="173">
        <v>5</v>
      </c>
      <c r="F273" s="173">
        <v>3.75</v>
      </c>
      <c r="G273" s="176">
        <f t="shared" si="87"/>
        <v>18.75</v>
      </c>
      <c r="H273" s="10"/>
      <c r="I273" s="176">
        <f t="shared" si="79"/>
        <v>18.75</v>
      </c>
      <c r="J273" s="176">
        <f t="shared" si="80"/>
        <v>0</v>
      </c>
      <c r="K273" s="176">
        <f t="shared" si="81"/>
        <v>5</v>
      </c>
      <c r="L273" s="10"/>
      <c r="M273" s="176">
        <f t="shared" si="82"/>
        <v>5</v>
      </c>
      <c r="N273" s="176">
        <f>'Secandary-7'!T30</f>
        <v>0</v>
      </c>
      <c r="O273" s="176">
        <f t="shared" si="83"/>
        <v>5</v>
      </c>
      <c r="P273" s="176">
        <f t="shared" si="88"/>
        <v>0</v>
      </c>
      <c r="Q273" s="176">
        <f t="shared" si="84"/>
        <v>0</v>
      </c>
      <c r="R273" s="176">
        <f t="shared" si="85"/>
        <v>5.7500000000000002E-2</v>
      </c>
      <c r="S273" s="176">
        <f t="shared" si="89"/>
        <v>7.6666666666666669E-4</v>
      </c>
      <c r="T273" s="176">
        <f t="shared" si="86"/>
        <v>0</v>
      </c>
      <c r="U273" s="176">
        <f t="shared" si="90"/>
        <v>7.6666666666666669E-4</v>
      </c>
    </row>
    <row r="274" spans="1:21" s="43" customFormat="1" ht="15.75">
      <c r="A274" s="173">
        <v>18</v>
      </c>
      <c r="B274" s="174" t="s">
        <v>51</v>
      </c>
      <c r="C274" s="173" t="s">
        <v>195</v>
      </c>
      <c r="D274" s="175">
        <v>14</v>
      </c>
      <c r="E274" s="173">
        <v>5</v>
      </c>
      <c r="F274" s="173">
        <v>4</v>
      </c>
      <c r="G274" s="176">
        <f t="shared" si="87"/>
        <v>20</v>
      </c>
      <c r="H274" s="10"/>
      <c r="I274" s="176">
        <f t="shared" si="79"/>
        <v>20</v>
      </c>
      <c r="J274" s="176">
        <f t="shared" si="80"/>
        <v>0</v>
      </c>
      <c r="K274" s="176">
        <f t="shared" si="81"/>
        <v>5</v>
      </c>
      <c r="L274" s="10"/>
      <c r="M274" s="176">
        <f t="shared" si="82"/>
        <v>5</v>
      </c>
      <c r="N274" s="176">
        <f>'Secandary-7'!U30</f>
        <v>0</v>
      </c>
      <c r="O274" s="176">
        <f t="shared" si="83"/>
        <v>5</v>
      </c>
      <c r="P274" s="176">
        <f t="shared" si="88"/>
        <v>0</v>
      </c>
      <c r="Q274" s="176">
        <f t="shared" si="84"/>
        <v>0</v>
      </c>
      <c r="R274" s="176">
        <f t="shared" si="85"/>
        <v>7.0000000000000007E-2</v>
      </c>
      <c r="S274" s="176">
        <f t="shared" si="89"/>
        <v>9.3333333333333343E-4</v>
      </c>
      <c r="T274" s="176">
        <f t="shared" si="86"/>
        <v>0</v>
      </c>
      <c r="U274" s="176">
        <f t="shared" si="90"/>
        <v>9.3333333333333343E-4</v>
      </c>
    </row>
    <row r="275" spans="1:21" s="43" customFormat="1" ht="15.75">
      <c r="A275" s="176">
        <v>19</v>
      </c>
      <c r="B275" s="177" t="s">
        <v>112</v>
      </c>
      <c r="C275" s="173" t="s">
        <v>195</v>
      </c>
      <c r="D275" s="175">
        <v>8.5</v>
      </c>
      <c r="E275" s="173"/>
      <c r="F275" s="173">
        <v>2.25</v>
      </c>
      <c r="G275" s="176">
        <f t="shared" si="87"/>
        <v>0</v>
      </c>
      <c r="H275" s="10"/>
      <c r="I275" s="176">
        <f t="shared" si="79"/>
        <v>0</v>
      </c>
      <c r="J275" s="176">
        <f t="shared" si="80"/>
        <v>0</v>
      </c>
      <c r="K275" s="176">
        <f t="shared" si="81"/>
        <v>0</v>
      </c>
      <c r="L275" s="10"/>
      <c r="M275" s="176">
        <f t="shared" si="82"/>
        <v>0</v>
      </c>
      <c r="N275" s="176">
        <f>'Secandary-7'!V30</f>
        <v>0</v>
      </c>
      <c r="O275" s="176">
        <f t="shared" si="83"/>
        <v>0</v>
      </c>
      <c r="P275" s="176">
        <f t="shared" si="88"/>
        <v>0</v>
      </c>
      <c r="Q275" s="176">
        <f t="shared" si="84"/>
        <v>0</v>
      </c>
      <c r="R275" s="176">
        <f t="shared" si="85"/>
        <v>0</v>
      </c>
      <c r="S275" s="176">
        <f t="shared" si="89"/>
        <v>0</v>
      </c>
      <c r="T275" s="176">
        <f t="shared" si="86"/>
        <v>0</v>
      </c>
      <c r="U275" s="176">
        <f t="shared" si="90"/>
        <v>0</v>
      </c>
    </row>
    <row r="276" spans="1:21" s="43" customFormat="1" ht="15.75">
      <c r="A276" s="176">
        <v>20</v>
      </c>
      <c r="B276" s="177" t="s">
        <v>137</v>
      </c>
      <c r="C276" s="173" t="s">
        <v>195</v>
      </c>
      <c r="D276" s="175">
        <v>9.5</v>
      </c>
      <c r="E276" s="173"/>
      <c r="F276" s="173">
        <v>2.75</v>
      </c>
      <c r="G276" s="176">
        <f t="shared" si="87"/>
        <v>0</v>
      </c>
      <c r="H276" s="10"/>
      <c r="I276" s="176">
        <f t="shared" si="79"/>
        <v>0</v>
      </c>
      <c r="J276" s="176">
        <f t="shared" si="80"/>
        <v>0</v>
      </c>
      <c r="K276" s="176">
        <f t="shared" si="81"/>
        <v>0</v>
      </c>
      <c r="L276" s="10"/>
      <c r="M276" s="176">
        <f t="shared" si="82"/>
        <v>0</v>
      </c>
      <c r="N276" s="176">
        <f>'Secandary-7'!W30</f>
        <v>0</v>
      </c>
      <c r="O276" s="176">
        <f t="shared" si="83"/>
        <v>0</v>
      </c>
      <c r="P276" s="176">
        <f t="shared" si="88"/>
        <v>0</v>
      </c>
      <c r="Q276" s="176">
        <f t="shared" si="84"/>
        <v>0</v>
      </c>
      <c r="R276" s="176">
        <f t="shared" si="85"/>
        <v>0</v>
      </c>
      <c r="S276" s="176">
        <f t="shared" si="89"/>
        <v>0</v>
      </c>
      <c r="T276" s="176">
        <f t="shared" si="86"/>
        <v>0</v>
      </c>
      <c r="U276" s="176">
        <f t="shared" si="90"/>
        <v>0</v>
      </c>
    </row>
    <row r="277" spans="1:21" s="43" customFormat="1" ht="15.75">
      <c r="A277" s="176">
        <v>21</v>
      </c>
      <c r="B277" s="177" t="s">
        <v>149</v>
      </c>
      <c r="C277" s="173" t="s">
        <v>195</v>
      </c>
      <c r="D277" s="175">
        <v>14</v>
      </c>
      <c r="E277" s="173"/>
      <c r="F277" s="173">
        <v>4</v>
      </c>
      <c r="G277" s="176">
        <f t="shared" si="87"/>
        <v>0</v>
      </c>
      <c r="H277" s="10"/>
      <c r="I277" s="176">
        <f t="shared" si="79"/>
        <v>0</v>
      </c>
      <c r="J277" s="176">
        <f t="shared" si="80"/>
        <v>0</v>
      </c>
      <c r="K277" s="176">
        <f t="shared" si="81"/>
        <v>0</v>
      </c>
      <c r="L277" s="10"/>
      <c r="M277" s="176">
        <f t="shared" si="82"/>
        <v>0</v>
      </c>
      <c r="N277" s="176">
        <f>'Secandary-7'!X30</f>
        <v>0</v>
      </c>
      <c r="O277" s="176">
        <f t="shared" si="83"/>
        <v>0</v>
      </c>
      <c r="P277" s="176">
        <f t="shared" si="88"/>
        <v>0</v>
      </c>
      <c r="Q277" s="176">
        <f t="shared" si="84"/>
        <v>0</v>
      </c>
      <c r="R277" s="176">
        <f t="shared" si="85"/>
        <v>0</v>
      </c>
      <c r="S277" s="176">
        <f t="shared" si="89"/>
        <v>0</v>
      </c>
      <c r="T277" s="176">
        <f t="shared" si="86"/>
        <v>0</v>
      </c>
      <c r="U277" s="176">
        <f t="shared" si="90"/>
        <v>0</v>
      </c>
    </row>
    <row r="278" spans="1:21" s="43" customFormat="1" ht="21" customHeight="1">
      <c r="A278" s="176">
        <v>22</v>
      </c>
      <c r="B278" s="177" t="s">
        <v>99</v>
      </c>
      <c r="C278" s="173" t="s">
        <v>195</v>
      </c>
      <c r="D278" s="175">
        <v>11.5</v>
      </c>
      <c r="E278" s="173"/>
      <c r="F278" s="173">
        <v>3.75</v>
      </c>
      <c r="G278" s="176">
        <f t="shared" si="87"/>
        <v>0</v>
      </c>
      <c r="H278" s="10"/>
      <c r="I278" s="176">
        <f t="shared" si="79"/>
        <v>0</v>
      </c>
      <c r="J278" s="176">
        <f t="shared" si="80"/>
        <v>0</v>
      </c>
      <c r="K278" s="176">
        <f t="shared" si="81"/>
        <v>0</v>
      </c>
      <c r="L278" s="10"/>
      <c r="M278" s="176">
        <f t="shared" si="82"/>
        <v>0</v>
      </c>
      <c r="N278" s="176">
        <f>'Secandary-7'!Y30</f>
        <v>0</v>
      </c>
      <c r="O278" s="176">
        <f t="shared" si="83"/>
        <v>0</v>
      </c>
      <c r="P278" s="176">
        <f t="shared" si="88"/>
        <v>0</v>
      </c>
      <c r="Q278" s="176">
        <f t="shared" si="84"/>
        <v>0</v>
      </c>
      <c r="R278" s="176">
        <f t="shared" si="85"/>
        <v>0</v>
      </c>
      <c r="S278" s="176">
        <f t="shared" si="89"/>
        <v>0</v>
      </c>
      <c r="T278" s="176">
        <f t="shared" si="86"/>
        <v>0</v>
      </c>
      <c r="U278" s="176">
        <f t="shared" si="90"/>
        <v>0</v>
      </c>
    </row>
    <row r="279" spans="1:21" s="43" customFormat="1" ht="18.600000000000001" customHeight="1">
      <c r="A279" s="383" t="s">
        <v>67</v>
      </c>
      <c r="B279" s="383"/>
      <c r="C279" s="383"/>
      <c r="D279" s="383"/>
      <c r="E279" s="143">
        <f t="shared" ref="E279:U279" si="91">SUM(E257:E278)</f>
        <v>490170</v>
      </c>
      <c r="F279" s="143">
        <f t="shared" si="91"/>
        <v>87</v>
      </c>
      <c r="G279" s="143">
        <f t="shared" si="91"/>
        <v>2239361.25</v>
      </c>
      <c r="H279" s="143">
        <f t="shared" si="91"/>
        <v>0</v>
      </c>
      <c r="I279" s="143">
        <f t="shared" si="91"/>
        <v>2239361.25</v>
      </c>
      <c r="J279" s="143">
        <f t="shared" si="91"/>
        <v>0</v>
      </c>
      <c r="K279" s="143">
        <f t="shared" si="91"/>
        <v>490170</v>
      </c>
      <c r="L279" s="143">
        <f t="shared" si="91"/>
        <v>0</v>
      </c>
      <c r="M279" s="143">
        <f t="shared" si="91"/>
        <v>490170</v>
      </c>
      <c r="N279" s="143">
        <f t="shared" si="91"/>
        <v>0</v>
      </c>
      <c r="O279" s="143">
        <f t="shared" si="91"/>
        <v>490170</v>
      </c>
      <c r="P279" s="143">
        <f t="shared" si="91"/>
        <v>0</v>
      </c>
      <c r="Q279" s="143">
        <f t="shared" si="91"/>
        <v>0</v>
      </c>
      <c r="R279" s="143">
        <f t="shared" si="91"/>
        <v>7867.1374999999998</v>
      </c>
      <c r="S279" s="143">
        <f t="shared" si="91"/>
        <v>104.89516666666665</v>
      </c>
      <c r="T279" s="143">
        <f t="shared" si="91"/>
        <v>0</v>
      </c>
      <c r="U279" s="143">
        <f t="shared" si="91"/>
        <v>104.89516666666665</v>
      </c>
    </row>
    <row r="280" spans="1:21" s="43" customFormat="1" ht="18.600000000000001" customHeight="1">
      <c r="A280" s="30"/>
      <c r="B280" s="28"/>
      <c r="C280" s="30"/>
      <c r="D280" s="31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</row>
    <row r="281" spans="1:21" s="43" customFormat="1">
      <c r="A281" s="30"/>
      <c r="B281" s="28"/>
      <c r="C281" s="30"/>
      <c r="D281" s="31"/>
      <c r="E281" s="30"/>
      <c r="F281" s="30"/>
      <c r="G281" s="30"/>
      <c r="H281" s="30"/>
      <c r="I281" s="30"/>
      <c r="J281" s="30"/>
      <c r="K281" s="30"/>
      <c r="L281" s="30"/>
      <c r="M281" s="122"/>
      <c r="N281" s="122"/>
      <c r="O281" s="122"/>
      <c r="P281" s="122"/>
      <c r="Q281" s="67"/>
      <c r="R281" s="67"/>
      <c r="S281" s="67"/>
      <c r="T281" s="67"/>
      <c r="U281" s="67"/>
    </row>
    <row r="282" spans="1:21" s="43" customFormat="1" ht="15.75">
      <c r="A282" s="61"/>
      <c r="B282" s="61"/>
      <c r="C282" s="61"/>
      <c r="D282" s="61"/>
      <c r="E282" s="62"/>
      <c r="F282" s="62"/>
      <c r="G282" s="62"/>
      <c r="H282" s="62"/>
      <c r="I282" s="62"/>
      <c r="J282" s="62"/>
      <c r="K282" s="62"/>
      <c r="L282" s="62"/>
      <c r="M282" s="63"/>
      <c r="N282" s="63"/>
      <c r="O282" s="63"/>
      <c r="P282" s="63"/>
      <c r="Q282" s="387" t="s">
        <v>254</v>
      </c>
      <c r="R282" s="387"/>
      <c r="S282" s="387"/>
      <c r="T282" s="387"/>
      <c r="U282" s="387"/>
    </row>
    <row r="283" spans="1:21" s="43" customFormat="1" ht="41.25">
      <c r="A283" s="388" t="s">
        <v>178</v>
      </c>
      <c r="B283" s="388"/>
      <c r="C283" s="388"/>
      <c r="D283" s="388"/>
      <c r="E283" s="388"/>
      <c r="F283" s="388"/>
      <c r="G283" s="388"/>
      <c r="H283" s="388"/>
      <c r="I283" s="388"/>
      <c r="J283" s="388"/>
      <c r="K283" s="388"/>
      <c r="L283" s="388"/>
      <c r="M283" s="388"/>
      <c r="N283" s="388"/>
      <c r="O283" s="388"/>
      <c r="P283" s="388"/>
      <c r="Q283" s="388"/>
      <c r="R283" s="388"/>
      <c r="S283" s="388"/>
      <c r="T283" s="388"/>
      <c r="U283" s="388"/>
    </row>
    <row r="284" spans="1:21" s="43" customFormat="1" ht="20.25">
      <c r="A284" s="379" t="s">
        <v>253</v>
      </c>
      <c r="B284" s="379"/>
      <c r="C284" s="379"/>
      <c r="D284" s="379"/>
      <c r="E284" s="379"/>
      <c r="F284" s="379"/>
      <c r="G284" s="379"/>
      <c r="H284" s="379"/>
      <c r="I284" s="379"/>
      <c r="J284" s="379"/>
      <c r="K284" s="379"/>
      <c r="L284" s="379"/>
      <c r="M284" s="379"/>
      <c r="N284" s="379"/>
      <c r="O284" s="379"/>
      <c r="P284" s="379"/>
      <c r="Q284" s="379"/>
      <c r="R284" s="379"/>
      <c r="S284" s="379"/>
      <c r="T284" s="379"/>
      <c r="U284" s="379"/>
    </row>
    <row r="285" spans="1:21" s="43" customFormat="1" ht="17.25">
      <c r="A285" s="313" t="s">
        <v>274</v>
      </c>
      <c r="B285" s="313"/>
      <c r="C285" s="313"/>
      <c r="D285" s="313"/>
      <c r="E285" s="313"/>
      <c r="F285" s="313"/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  <c r="T285" s="313"/>
      <c r="U285" s="313"/>
    </row>
    <row r="286" spans="1:21" s="43" customFormat="1" ht="20.25">
      <c r="A286" s="386" t="s">
        <v>452</v>
      </c>
      <c r="B286" s="386"/>
      <c r="C286" s="386"/>
      <c r="D286" s="386"/>
      <c r="E286" s="386"/>
      <c r="F286" s="386"/>
      <c r="G286" s="386"/>
      <c r="H286" s="386"/>
      <c r="I286" s="386"/>
      <c r="J286" s="386"/>
      <c r="K286" s="386"/>
      <c r="L286" s="386"/>
      <c r="M286" s="386"/>
      <c r="N286" s="386"/>
      <c r="O286" s="386"/>
      <c r="P286" s="386"/>
      <c r="Q286" s="386"/>
      <c r="R286" s="378"/>
      <c r="S286" s="378"/>
      <c r="T286" s="378"/>
      <c r="U286" s="378"/>
    </row>
    <row r="287" spans="1:21" s="43" customFormat="1">
      <c r="A287" s="389" t="s">
        <v>15</v>
      </c>
      <c r="B287" s="389" t="s">
        <v>64</v>
      </c>
      <c r="C287" s="389" t="s">
        <v>65</v>
      </c>
      <c r="D287" s="380" t="s">
        <v>66</v>
      </c>
      <c r="E287" s="161" t="s">
        <v>88</v>
      </c>
      <c r="F287" s="145" t="s">
        <v>157</v>
      </c>
      <c r="G287" s="374" t="s">
        <v>138</v>
      </c>
      <c r="H287" s="375"/>
      <c r="I287" s="376"/>
      <c r="J287" s="377" t="s">
        <v>139</v>
      </c>
      <c r="K287" s="377"/>
      <c r="L287" s="377" t="s">
        <v>86</v>
      </c>
      <c r="M287" s="377"/>
      <c r="N287" s="377" t="s">
        <v>25</v>
      </c>
      <c r="O287" s="377"/>
      <c r="P287" s="377" t="s">
        <v>87</v>
      </c>
      <c r="Q287" s="382" t="s">
        <v>199</v>
      </c>
      <c r="R287" s="377" t="s">
        <v>140</v>
      </c>
      <c r="S287" s="377"/>
      <c r="T287" s="377"/>
      <c r="U287" s="377"/>
    </row>
    <row r="288" spans="1:21" s="43" customFormat="1" ht="21" customHeight="1">
      <c r="A288" s="390"/>
      <c r="B288" s="390"/>
      <c r="C288" s="390"/>
      <c r="D288" s="381"/>
      <c r="E288" s="145" t="s">
        <v>264</v>
      </c>
      <c r="F288" s="145"/>
      <c r="G288" s="139" t="s">
        <v>189</v>
      </c>
      <c r="H288" s="145" t="s">
        <v>85</v>
      </c>
      <c r="I288" s="145" t="s">
        <v>70</v>
      </c>
      <c r="J288" s="148" t="s">
        <v>85</v>
      </c>
      <c r="K288" s="148" t="s">
        <v>70</v>
      </c>
      <c r="L288" s="145" t="s">
        <v>86</v>
      </c>
      <c r="M288" s="148" t="s">
        <v>70</v>
      </c>
      <c r="N288" s="148" t="s">
        <v>25</v>
      </c>
      <c r="O288" s="148" t="s">
        <v>70</v>
      </c>
      <c r="P288" s="377"/>
      <c r="Q288" s="382"/>
      <c r="R288" s="148" t="s">
        <v>155</v>
      </c>
      <c r="S288" s="148" t="s">
        <v>156</v>
      </c>
      <c r="T288" s="148" t="s">
        <v>141</v>
      </c>
      <c r="U288" s="148" t="s">
        <v>70</v>
      </c>
    </row>
    <row r="289" spans="1:21" s="43" customFormat="1" ht="15.75">
      <c r="A289" s="173">
        <v>1</v>
      </c>
      <c r="B289" s="174" t="s">
        <v>194</v>
      </c>
      <c r="C289" s="173" t="s">
        <v>195</v>
      </c>
      <c r="D289" s="175">
        <v>12.5</v>
      </c>
      <c r="E289" s="173">
        <v>38150</v>
      </c>
      <c r="F289" s="173">
        <v>3.25</v>
      </c>
      <c r="G289" s="176">
        <f>F289*E289</f>
        <v>123987.5</v>
      </c>
      <c r="H289" s="10"/>
      <c r="I289" s="176">
        <f t="shared" ref="I289:I310" si="92">G289-H289</f>
        <v>123987.5</v>
      </c>
      <c r="J289" s="176">
        <f t="shared" ref="J289:J310" si="93">H289/F289</f>
        <v>0</v>
      </c>
      <c r="K289" s="176">
        <f t="shared" ref="K289:K310" si="94">E289-J289</f>
        <v>38150</v>
      </c>
      <c r="L289" s="10"/>
      <c r="M289" s="176">
        <f t="shared" ref="M289:M310" si="95">E289-L289</f>
        <v>38150</v>
      </c>
      <c r="N289" s="176">
        <f>'Secandary-7'!D48</f>
        <v>0</v>
      </c>
      <c r="O289" s="176">
        <f t="shared" ref="O289:O310" si="96">E289-N289</f>
        <v>38150</v>
      </c>
      <c r="P289" s="176">
        <f>L289-N289</f>
        <v>0</v>
      </c>
      <c r="Q289" s="176">
        <f t="shared" ref="Q289:Q310" si="97">D289*L289/1000</f>
        <v>0</v>
      </c>
      <c r="R289" s="176">
        <f t="shared" ref="R289:R310" si="98">D289*E289/1000</f>
        <v>476.875</v>
      </c>
      <c r="S289" s="176">
        <f>R289/75</f>
        <v>6.3583333333333334</v>
      </c>
      <c r="T289" s="176">
        <f t="shared" ref="T289:T310" si="99">D289*J289/1000/75</f>
        <v>0</v>
      </c>
      <c r="U289" s="176">
        <f>S289-T289</f>
        <v>6.3583333333333334</v>
      </c>
    </row>
    <row r="290" spans="1:21" s="43" customFormat="1" ht="15.75">
      <c r="A290" s="173">
        <v>2</v>
      </c>
      <c r="B290" s="174" t="s">
        <v>191</v>
      </c>
      <c r="C290" s="173" t="s">
        <v>195</v>
      </c>
      <c r="D290" s="175">
        <v>8.5</v>
      </c>
      <c r="E290" s="173">
        <v>38150</v>
      </c>
      <c r="F290" s="173">
        <v>2.25</v>
      </c>
      <c r="G290" s="176">
        <f t="shared" ref="G290:G310" si="100">F290*E290</f>
        <v>85837.5</v>
      </c>
      <c r="H290" s="10"/>
      <c r="I290" s="176">
        <f t="shared" si="92"/>
        <v>85837.5</v>
      </c>
      <c r="J290" s="176">
        <f t="shared" si="93"/>
        <v>0</v>
      </c>
      <c r="K290" s="176">
        <f t="shared" si="94"/>
        <v>38150</v>
      </c>
      <c r="L290" s="10"/>
      <c r="M290" s="176">
        <f t="shared" si="95"/>
        <v>38150</v>
      </c>
      <c r="N290" s="176">
        <f>'Secandary-7'!E48</f>
        <v>0</v>
      </c>
      <c r="O290" s="176">
        <f t="shared" si="96"/>
        <v>38150</v>
      </c>
      <c r="P290" s="176">
        <f t="shared" ref="P290:P310" si="101">L290-N290</f>
        <v>0</v>
      </c>
      <c r="Q290" s="176">
        <f t="shared" si="97"/>
        <v>0</v>
      </c>
      <c r="R290" s="176">
        <f t="shared" si="98"/>
        <v>324.27499999999998</v>
      </c>
      <c r="S290" s="176">
        <f t="shared" ref="S290:S310" si="102">R290/75</f>
        <v>4.3236666666666661</v>
      </c>
      <c r="T290" s="176">
        <f t="shared" si="99"/>
        <v>0</v>
      </c>
      <c r="U290" s="176">
        <f t="shared" ref="U290:U310" si="103">S290-T290</f>
        <v>4.3236666666666661</v>
      </c>
    </row>
    <row r="291" spans="1:21" s="43" customFormat="1" ht="15.75">
      <c r="A291" s="173">
        <v>3</v>
      </c>
      <c r="B291" s="174" t="s">
        <v>56</v>
      </c>
      <c r="C291" s="173" t="s">
        <v>195</v>
      </c>
      <c r="D291" s="175">
        <v>16.5</v>
      </c>
      <c r="E291" s="173">
        <v>38150</v>
      </c>
      <c r="F291" s="173">
        <v>4.25</v>
      </c>
      <c r="G291" s="176">
        <f t="shared" si="100"/>
        <v>162137.5</v>
      </c>
      <c r="H291" s="10"/>
      <c r="I291" s="176">
        <f t="shared" si="92"/>
        <v>162137.5</v>
      </c>
      <c r="J291" s="176">
        <f t="shared" si="93"/>
        <v>0</v>
      </c>
      <c r="K291" s="176">
        <f t="shared" si="94"/>
        <v>38150</v>
      </c>
      <c r="L291" s="10"/>
      <c r="M291" s="176">
        <f t="shared" si="95"/>
        <v>38150</v>
      </c>
      <c r="N291" s="176">
        <f>'Secandary-7'!F48</f>
        <v>0</v>
      </c>
      <c r="O291" s="176">
        <f t="shared" si="96"/>
        <v>38150</v>
      </c>
      <c r="P291" s="176">
        <f t="shared" si="101"/>
        <v>0</v>
      </c>
      <c r="Q291" s="176">
        <f t="shared" si="97"/>
        <v>0</v>
      </c>
      <c r="R291" s="176">
        <f t="shared" si="98"/>
        <v>629.47500000000002</v>
      </c>
      <c r="S291" s="176">
        <f t="shared" si="102"/>
        <v>8.3930000000000007</v>
      </c>
      <c r="T291" s="176">
        <f t="shared" si="99"/>
        <v>0</v>
      </c>
      <c r="U291" s="176">
        <f t="shared" si="103"/>
        <v>8.3930000000000007</v>
      </c>
    </row>
    <row r="292" spans="1:21" s="43" customFormat="1" ht="15.75">
      <c r="A292" s="173">
        <v>4</v>
      </c>
      <c r="B292" s="174" t="s">
        <v>27</v>
      </c>
      <c r="C292" s="173" t="s">
        <v>195</v>
      </c>
      <c r="D292" s="175">
        <v>15</v>
      </c>
      <c r="E292" s="173">
        <v>38150</v>
      </c>
      <c r="F292" s="173">
        <v>4.25</v>
      </c>
      <c r="G292" s="176">
        <f t="shared" si="100"/>
        <v>162137.5</v>
      </c>
      <c r="H292" s="10"/>
      <c r="I292" s="176">
        <f t="shared" si="92"/>
        <v>162137.5</v>
      </c>
      <c r="J292" s="176">
        <f t="shared" si="93"/>
        <v>0</v>
      </c>
      <c r="K292" s="176">
        <f t="shared" si="94"/>
        <v>38150</v>
      </c>
      <c r="L292" s="10"/>
      <c r="M292" s="176">
        <f t="shared" si="95"/>
        <v>38150</v>
      </c>
      <c r="N292" s="176">
        <f>'Secandary-7'!G48</f>
        <v>0</v>
      </c>
      <c r="O292" s="176">
        <f t="shared" si="96"/>
        <v>38150</v>
      </c>
      <c r="P292" s="176">
        <f t="shared" si="101"/>
        <v>0</v>
      </c>
      <c r="Q292" s="176">
        <f t="shared" si="97"/>
        <v>0</v>
      </c>
      <c r="R292" s="176">
        <f t="shared" si="98"/>
        <v>572.25</v>
      </c>
      <c r="S292" s="176">
        <f t="shared" si="102"/>
        <v>7.63</v>
      </c>
      <c r="T292" s="176">
        <f t="shared" si="99"/>
        <v>0</v>
      </c>
      <c r="U292" s="176">
        <f t="shared" si="103"/>
        <v>7.63</v>
      </c>
    </row>
    <row r="293" spans="1:21" s="43" customFormat="1" ht="15.75">
      <c r="A293" s="173">
        <v>5</v>
      </c>
      <c r="B293" s="174" t="s">
        <v>150</v>
      </c>
      <c r="C293" s="173" t="s">
        <v>195</v>
      </c>
      <c r="D293" s="175">
        <v>26</v>
      </c>
      <c r="E293" s="173">
        <v>38150</v>
      </c>
      <c r="F293" s="173">
        <v>7</v>
      </c>
      <c r="G293" s="176">
        <f t="shared" si="100"/>
        <v>267050</v>
      </c>
      <c r="H293" s="10"/>
      <c r="I293" s="176">
        <f t="shared" si="92"/>
        <v>267050</v>
      </c>
      <c r="J293" s="176">
        <f t="shared" si="93"/>
        <v>0</v>
      </c>
      <c r="K293" s="176">
        <f t="shared" si="94"/>
        <v>38150</v>
      </c>
      <c r="L293" s="10"/>
      <c r="M293" s="176">
        <f t="shared" si="95"/>
        <v>38150</v>
      </c>
      <c r="N293" s="176">
        <f>'Secandary-7'!H48</f>
        <v>0</v>
      </c>
      <c r="O293" s="176">
        <f t="shared" si="96"/>
        <v>38150</v>
      </c>
      <c r="P293" s="176">
        <f t="shared" si="101"/>
        <v>0</v>
      </c>
      <c r="Q293" s="176">
        <f t="shared" si="97"/>
        <v>0</v>
      </c>
      <c r="R293" s="176">
        <f t="shared" si="98"/>
        <v>991.9</v>
      </c>
      <c r="S293" s="176">
        <f t="shared" si="102"/>
        <v>13.225333333333333</v>
      </c>
      <c r="T293" s="176">
        <f t="shared" si="99"/>
        <v>0</v>
      </c>
      <c r="U293" s="176">
        <f t="shared" si="103"/>
        <v>13.225333333333333</v>
      </c>
    </row>
    <row r="294" spans="1:21" s="43" customFormat="1" ht="15.75">
      <c r="A294" s="173">
        <v>6</v>
      </c>
      <c r="B294" s="174" t="s">
        <v>31</v>
      </c>
      <c r="C294" s="173" t="s">
        <v>195</v>
      </c>
      <c r="D294" s="175">
        <v>22.5</v>
      </c>
      <c r="E294" s="173">
        <v>38150</v>
      </c>
      <c r="F294" s="173">
        <v>6.25</v>
      </c>
      <c r="G294" s="176">
        <f t="shared" si="100"/>
        <v>238437.5</v>
      </c>
      <c r="H294" s="10"/>
      <c r="I294" s="176">
        <f t="shared" si="92"/>
        <v>238437.5</v>
      </c>
      <c r="J294" s="176">
        <f t="shared" si="93"/>
        <v>0</v>
      </c>
      <c r="K294" s="176">
        <f t="shared" si="94"/>
        <v>38150</v>
      </c>
      <c r="L294" s="10"/>
      <c r="M294" s="176">
        <f t="shared" si="95"/>
        <v>38150</v>
      </c>
      <c r="N294" s="176">
        <f>'Secandary-7'!I48</f>
        <v>0</v>
      </c>
      <c r="O294" s="176">
        <f t="shared" si="96"/>
        <v>38150</v>
      </c>
      <c r="P294" s="176">
        <f t="shared" si="101"/>
        <v>0</v>
      </c>
      <c r="Q294" s="176">
        <f t="shared" si="97"/>
        <v>0</v>
      </c>
      <c r="R294" s="176">
        <f t="shared" si="98"/>
        <v>858.375</v>
      </c>
      <c r="S294" s="176">
        <f t="shared" si="102"/>
        <v>11.445</v>
      </c>
      <c r="T294" s="176">
        <f t="shared" si="99"/>
        <v>0</v>
      </c>
      <c r="U294" s="176">
        <f t="shared" si="103"/>
        <v>11.445</v>
      </c>
    </row>
    <row r="295" spans="1:21" s="43" customFormat="1" ht="15.75">
      <c r="A295" s="173">
        <v>7</v>
      </c>
      <c r="B295" s="174" t="s">
        <v>72</v>
      </c>
      <c r="C295" s="173" t="s">
        <v>195</v>
      </c>
      <c r="D295" s="175">
        <v>14.5</v>
      </c>
      <c r="E295" s="173">
        <v>38150</v>
      </c>
      <c r="F295" s="173">
        <v>4.25</v>
      </c>
      <c r="G295" s="176">
        <f t="shared" si="100"/>
        <v>162137.5</v>
      </c>
      <c r="H295" s="10"/>
      <c r="I295" s="176">
        <f t="shared" si="92"/>
        <v>162137.5</v>
      </c>
      <c r="J295" s="176">
        <f t="shared" si="93"/>
        <v>0</v>
      </c>
      <c r="K295" s="176">
        <f t="shared" si="94"/>
        <v>38150</v>
      </c>
      <c r="L295" s="10"/>
      <c r="M295" s="176">
        <f t="shared" si="95"/>
        <v>38150</v>
      </c>
      <c r="N295" s="176">
        <f>'Secandary-7'!J48</f>
        <v>0</v>
      </c>
      <c r="O295" s="176">
        <f t="shared" si="96"/>
        <v>38150</v>
      </c>
      <c r="P295" s="176">
        <f t="shared" si="101"/>
        <v>0</v>
      </c>
      <c r="Q295" s="176">
        <f t="shared" si="97"/>
        <v>0</v>
      </c>
      <c r="R295" s="176">
        <f t="shared" si="98"/>
        <v>553.17499999999995</v>
      </c>
      <c r="S295" s="176">
        <f t="shared" si="102"/>
        <v>7.3756666666666657</v>
      </c>
      <c r="T295" s="176">
        <f t="shared" si="99"/>
        <v>0</v>
      </c>
      <c r="U295" s="176">
        <f t="shared" si="103"/>
        <v>7.3756666666666657</v>
      </c>
    </row>
    <row r="296" spans="1:21" s="43" customFormat="1" ht="15.75">
      <c r="A296" s="173">
        <v>8</v>
      </c>
      <c r="B296" s="174" t="s">
        <v>32</v>
      </c>
      <c r="C296" s="173" t="s">
        <v>195</v>
      </c>
      <c r="D296" s="175">
        <v>20.5</v>
      </c>
      <c r="E296" s="173">
        <v>38150</v>
      </c>
      <c r="F296" s="173">
        <v>5.25</v>
      </c>
      <c r="G296" s="176">
        <f t="shared" si="100"/>
        <v>200287.5</v>
      </c>
      <c r="H296" s="10"/>
      <c r="I296" s="176">
        <f t="shared" si="92"/>
        <v>200287.5</v>
      </c>
      <c r="J296" s="176">
        <f t="shared" si="93"/>
        <v>0</v>
      </c>
      <c r="K296" s="176">
        <f t="shared" si="94"/>
        <v>38150</v>
      </c>
      <c r="L296" s="10"/>
      <c r="M296" s="176">
        <f t="shared" si="95"/>
        <v>38150</v>
      </c>
      <c r="N296" s="176">
        <f>'Secandary-7'!K48</f>
        <v>0</v>
      </c>
      <c r="O296" s="176">
        <f t="shared" si="96"/>
        <v>38150</v>
      </c>
      <c r="P296" s="176">
        <f t="shared" si="101"/>
        <v>0</v>
      </c>
      <c r="Q296" s="176">
        <f t="shared" si="97"/>
        <v>0</v>
      </c>
      <c r="R296" s="176">
        <f t="shared" si="98"/>
        <v>782.07500000000005</v>
      </c>
      <c r="S296" s="176">
        <f t="shared" si="102"/>
        <v>10.427666666666667</v>
      </c>
      <c r="T296" s="176">
        <f t="shared" si="99"/>
        <v>0</v>
      </c>
      <c r="U296" s="176">
        <f t="shared" si="103"/>
        <v>10.427666666666667</v>
      </c>
    </row>
    <row r="297" spans="1:21" s="43" customFormat="1" ht="21" customHeight="1">
      <c r="A297" s="173">
        <v>9</v>
      </c>
      <c r="B297" s="174" t="s">
        <v>43</v>
      </c>
      <c r="C297" s="173" t="s">
        <v>195</v>
      </c>
      <c r="D297" s="175">
        <v>7.5</v>
      </c>
      <c r="E297" s="173">
        <v>7580</v>
      </c>
      <c r="F297" s="173">
        <v>2.75</v>
      </c>
      <c r="G297" s="176">
        <f t="shared" si="100"/>
        <v>20845</v>
      </c>
      <c r="H297" s="10"/>
      <c r="I297" s="176">
        <f t="shared" si="92"/>
        <v>20845</v>
      </c>
      <c r="J297" s="176">
        <f t="shared" si="93"/>
        <v>0</v>
      </c>
      <c r="K297" s="176">
        <f t="shared" si="94"/>
        <v>7580</v>
      </c>
      <c r="L297" s="10"/>
      <c r="M297" s="176">
        <f t="shared" si="95"/>
        <v>7580</v>
      </c>
      <c r="N297" s="176">
        <f>'Secandary-7'!L48</f>
        <v>0</v>
      </c>
      <c r="O297" s="176">
        <f t="shared" si="96"/>
        <v>7580</v>
      </c>
      <c r="P297" s="176">
        <f t="shared" si="101"/>
        <v>0</v>
      </c>
      <c r="Q297" s="176">
        <f t="shared" si="97"/>
        <v>0</v>
      </c>
      <c r="R297" s="176">
        <f t="shared" si="98"/>
        <v>56.85</v>
      </c>
      <c r="S297" s="176">
        <f t="shared" si="102"/>
        <v>0.75800000000000001</v>
      </c>
      <c r="T297" s="176">
        <f t="shared" si="99"/>
        <v>0</v>
      </c>
      <c r="U297" s="176">
        <f t="shared" si="103"/>
        <v>0.75800000000000001</v>
      </c>
    </row>
    <row r="298" spans="1:21" s="43" customFormat="1" ht="18.600000000000001" customHeight="1">
      <c r="A298" s="173">
        <v>10</v>
      </c>
      <c r="B298" s="174" t="s">
        <v>73</v>
      </c>
      <c r="C298" s="173" t="s">
        <v>195</v>
      </c>
      <c r="D298" s="175">
        <v>9.5</v>
      </c>
      <c r="E298" s="173">
        <v>38150</v>
      </c>
      <c r="F298" s="173">
        <v>4.75</v>
      </c>
      <c r="G298" s="176">
        <f t="shared" si="100"/>
        <v>181212.5</v>
      </c>
      <c r="H298" s="10"/>
      <c r="I298" s="176">
        <f t="shared" si="92"/>
        <v>181212.5</v>
      </c>
      <c r="J298" s="176">
        <f t="shared" si="93"/>
        <v>0</v>
      </c>
      <c r="K298" s="176">
        <f t="shared" si="94"/>
        <v>38150</v>
      </c>
      <c r="L298" s="10"/>
      <c r="M298" s="176">
        <f t="shared" si="95"/>
        <v>38150</v>
      </c>
      <c r="N298" s="176">
        <f>'Secandary-7'!M48</f>
        <v>0</v>
      </c>
      <c r="O298" s="176">
        <f t="shared" si="96"/>
        <v>38150</v>
      </c>
      <c r="P298" s="176">
        <f t="shared" si="101"/>
        <v>0</v>
      </c>
      <c r="Q298" s="176">
        <f t="shared" si="97"/>
        <v>0</v>
      </c>
      <c r="R298" s="176">
        <f t="shared" si="98"/>
        <v>362.42500000000001</v>
      </c>
      <c r="S298" s="176">
        <f t="shared" si="102"/>
        <v>4.8323333333333336</v>
      </c>
      <c r="T298" s="176">
        <f t="shared" si="99"/>
        <v>0</v>
      </c>
      <c r="U298" s="176">
        <f t="shared" si="103"/>
        <v>4.8323333333333336</v>
      </c>
    </row>
    <row r="299" spans="1:21" s="43" customFormat="1" ht="18.600000000000001" customHeight="1">
      <c r="A299" s="173">
        <v>11</v>
      </c>
      <c r="B299" s="174" t="s">
        <v>74</v>
      </c>
      <c r="C299" s="173" t="s">
        <v>195</v>
      </c>
      <c r="D299" s="175">
        <v>9</v>
      </c>
      <c r="E299" s="173">
        <v>450</v>
      </c>
      <c r="F299" s="173">
        <v>2.5</v>
      </c>
      <c r="G299" s="176">
        <f t="shared" si="100"/>
        <v>1125</v>
      </c>
      <c r="H299" s="10"/>
      <c r="I299" s="176">
        <f t="shared" si="92"/>
        <v>1125</v>
      </c>
      <c r="J299" s="176">
        <f t="shared" si="93"/>
        <v>0</v>
      </c>
      <c r="K299" s="176">
        <f t="shared" si="94"/>
        <v>450</v>
      </c>
      <c r="L299" s="10"/>
      <c r="M299" s="176">
        <f t="shared" si="95"/>
        <v>450</v>
      </c>
      <c r="N299" s="176">
        <f>'Secandary-7'!N48</f>
        <v>0</v>
      </c>
      <c r="O299" s="176">
        <f t="shared" si="96"/>
        <v>450</v>
      </c>
      <c r="P299" s="176">
        <f t="shared" si="101"/>
        <v>0</v>
      </c>
      <c r="Q299" s="176">
        <f t="shared" si="97"/>
        <v>0</v>
      </c>
      <c r="R299" s="176">
        <f t="shared" si="98"/>
        <v>4.05</v>
      </c>
      <c r="S299" s="176">
        <f t="shared" si="102"/>
        <v>5.3999999999999999E-2</v>
      </c>
      <c r="T299" s="176">
        <f t="shared" si="99"/>
        <v>0</v>
      </c>
      <c r="U299" s="176">
        <f t="shared" si="103"/>
        <v>5.3999999999999999E-2</v>
      </c>
    </row>
    <row r="300" spans="1:21" s="43" customFormat="1" ht="15.75">
      <c r="A300" s="173">
        <v>12</v>
      </c>
      <c r="B300" s="174" t="s">
        <v>192</v>
      </c>
      <c r="C300" s="173" t="s">
        <v>195</v>
      </c>
      <c r="D300" s="175">
        <v>7</v>
      </c>
      <c r="E300" s="173">
        <v>800</v>
      </c>
      <c r="F300" s="173">
        <v>2.5</v>
      </c>
      <c r="G300" s="176">
        <f t="shared" si="100"/>
        <v>2000</v>
      </c>
      <c r="H300" s="10"/>
      <c r="I300" s="176">
        <f t="shared" si="92"/>
        <v>2000</v>
      </c>
      <c r="J300" s="176">
        <f t="shared" si="93"/>
        <v>0</v>
      </c>
      <c r="K300" s="176">
        <f t="shared" si="94"/>
        <v>800</v>
      </c>
      <c r="L300" s="10"/>
      <c r="M300" s="176">
        <f t="shared" si="95"/>
        <v>800</v>
      </c>
      <c r="N300" s="176">
        <f>'Secandary-7'!O48</f>
        <v>0</v>
      </c>
      <c r="O300" s="176">
        <f t="shared" si="96"/>
        <v>800</v>
      </c>
      <c r="P300" s="176">
        <f t="shared" si="101"/>
        <v>0</v>
      </c>
      <c r="Q300" s="176">
        <f t="shared" si="97"/>
        <v>0</v>
      </c>
      <c r="R300" s="176">
        <f t="shared" si="98"/>
        <v>5.6</v>
      </c>
      <c r="S300" s="176">
        <f t="shared" si="102"/>
        <v>7.4666666666666659E-2</v>
      </c>
      <c r="T300" s="176">
        <f t="shared" si="99"/>
        <v>0</v>
      </c>
      <c r="U300" s="176">
        <f t="shared" si="103"/>
        <v>7.4666666666666659E-2</v>
      </c>
    </row>
    <row r="301" spans="1:21" s="43" customFormat="1" ht="15.75">
      <c r="A301" s="173">
        <v>13</v>
      </c>
      <c r="B301" s="174" t="s">
        <v>47</v>
      </c>
      <c r="C301" s="173" t="s">
        <v>195</v>
      </c>
      <c r="D301" s="175">
        <v>16</v>
      </c>
      <c r="E301" s="173">
        <v>27780</v>
      </c>
      <c r="F301" s="173">
        <v>4</v>
      </c>
      <c r="G301" s="176">
        <f t="shared" si="100"/>
        <v>111120</v>
      </c>
      <c r="H301" s="10"/>
      <c r="I301" s="176">
        <f t="shared" si="92"/>
        <v>111120</v>
      </c>
      <c r="J301" s="176">
        <f t="shared" si="93"/>
        <v>0</v>
      </c>
      <c r="K301" s="176">
        <f t="shared" si="94"/>
        <v>27780</v>
      </c>
      <c r="L301" s="10"/>
      <c r="M301" s="176">
        <f t="shared" si="95"/>
        <v>27780</v>
      </c>
      <c r="N301" s="176">
        <f>'Secandary-7'!P48</f>
        <v>0</v>
      </c>
      <c r="O301" s="176">
        <f t="shared" si="96"/>
        <v>27780</v>
      </c>
      <c r="P301" s="176">
        <f t="shared" si="101"/>
        <v>0</v>
      </c>
      <c r="Q301" s="176">
        <f t="shared" si="97"/>
        <v>0</v>
      </c>
      <c r="R301" s="176">
        <f t="shared" si="98"/>
        <v>444.48</v>
      </c>
      <c r="S301" s="176">
        <f t="shared" si="102"/>
        <v>5.9264000000000001</v>
      </c>
      <c r="T301" s="176">
        <f t="shared" si="99"/>
        <v>0</v>
      </c>
      <c r="U301" s="176">
        <f t="shared" si="103"/>
        <v>5.9264000000000001</v>
      </c>
    </row>
    <row r="302" spans="1:21" s="43" customFormat="1" ht="15.75">
      <c r="A302" s="173">
        <v>14</v>
      </c>
      <c r="B302" s="174" t="s">
        <v>193</v>
      </c>
      <c r="C302" s="173" t="s">
        <v>195</v>
      </c>
      <c r="D302" s="175">
        <v>18.5</v>
      </c>
      <c r="E302" s="173">
        <v>1575</v>
      </c>
      <c r="F302" s="173">
        <v>5.25</v>
      </c>
      <c r="G302" s="176">
        <f t="shared" si="100"/>
        <v>8268.75</v>
      </c>
      <c r="H302" s="10"/>
      <c r="I302" s="176">
        <f t="shared" si="92"/>
        <v>8268.75</v>
      </c>
      <c r="J302" s="176">
        <f t="shared" si="93"/>
        <v>0</v>
      </c>
      <c r="K302" s="176">
        <f t="shared" si="94"/>
        <v>1575</v>
      </c>
      <c r="L302" s="10"/>
      <c r="M302" s="176">
        <f t="shared" si="95"/>
        <v>1575</v>
      </c>
      <c r="N302" s="176">
        <f>'Secandary-7'!Q48</f>
        <v>0</v>
      </c>
      <c r="O302" s="176">
        <f t="shared" si="96"/>
        <v>1575</v>
      </c>
      <c r="P302" s="176">
        <f t="shared" si="101"/>
        <v>0</v>
      </c>
      <c r="Q302" s="176">
        <f t="shared" si="97"/>
        <v>0</v>
      </c>
      <c r="R302" s="176">
        <f t="shared" si="98"/>
        <v>29.137499999999999</v>
      </c>
      <c r="S302" s="176">
        <f t="shared" si="102"/>
        <v>0.38850000000000001</v>
      </c>
      <c r="T302" s="176">
        <f t="shared" si="99"/>
        <v>0</v>
      </c>
      <c r="U302" s="176">
        <f t="shared" si="103"/>
        <v>0.38850000000000001</v>
      </c>
    </row>
    <row r="303" spans="1:21" s="43" customFormat="1" ht="15.75">
      <c r="A303" s="173">
        <v>15</v>
      </c>
      <c r="B303" s="174" t="s">
        <v>48</v>
      </c>
      <c r="C303" s="173" t="s">
        <v>195</v>
      </c>
      <c r="D303" s="175">
        <v>15.5</v>
      </c>
      <c r="E303" s="173">
        <v>29420</v>
      </c>
      <c r="F303" s="173">
        <v>4.75</v>
      </c>
      <c r="G303" s="176">
        <f t="shared" si="100"/>
        <v>139745</v>
      </c>
      <c r="H303" s="10"/>
      <c r="I303" s="176">
        <f t="shared" si="92"/>
        <v>139745</v>
      </c>
      <c r="J303" s="176">
        <f t="shared" si="93"/>
        <v>0</v>
      </c>
      <c r="K303" s="176">
        <f t="shared" si="94"/>
        <v>29420</v>
      </c>
      <c r="L303" s="10"/>
      <c r="M303" s="176">
        <f t="shared" si="95"/>
        <v>29420</v>
      </c>
      <c r="N303" s="176">
        <f>'Secandary-7'!R48</f>
        <v>0</v>
      </c>
      <c r="O303" s="176">
        <f t="shared" si="96"/>
        <v>29420</v>
      </c>
      <c r="P303" s="176">
        <f t="shared" si="101"/>
        <v>0</v>
      </c>
      <c r="Q303" s="176">
        <f t="shared" si="97"/>
        <v>0</v>
      </c>
      <c r="R303" s="176">
        <f t="shared" si="98"/>
        <v>456.01</v>
      </c>
      <c r="S303" s="176">
        <f t="shared" si="102"/>
        <v>6.0801333333333334</v>
      </c>
      <c r="T303" s="176">
        <f t="shared" si="99"/>
        <v>0</v>
      </c>
      <c r="U303" s="176">
        <f t="shared" si="103"/>
        <v>6.0801333333333334</v>
      </c>
    </row>
    <row r="304" spans="1:21" s="43" customFormat="1" ht="15.75">
      <c r="A304" s="173">
        <v>16</v>
      </c>
      <c r="B304" s="174" t="s">
        <v>75</v>
      </c>
      <c r="C304" s="173" t="s">
        <v>195</v>
      </c>
      <c r="D304" s="175">
        <v>10.5</v>
      </c>
      <c r="E304" s="173">
        <v>8540</v>
      </c>
      <c r="F304" s="173">
        <v>3.25</v>
      </c>
      <c r="G304" s="176">
        <f t="shared" si="100"/>
        <v>27755</v>
      </c>
      <c r="H304" s="10"/>
      <c r="I304" s="176">
        <f t="shared" si="92"/>
        <v>27755</v>
      </c>
      <c r="J304" s="176">
        <f t="shared" si="93"/>
        <v>0</v>
      </c>
      <c r="K304" s="176">
        <f t="shared" si="94"/>
        <v>8540</v>
      </c>
      <c r="L304" s="10"/>
      <c r="M304" s="176">
        <f t="shared" si="95"/>
        <v>8540</v>
      </c>
      <c r="N304" s="176">
        <f>'Secandary-7'!S48</f>
        <v>0</v>
      </c>
      <c r="O304" s="176">
        <f t="shared" si="96"/>
        <v>8540</v>
      </c>
      <c r="P304" s="176">
        <f t="shared" si="101"/>
        <v>0</v>
      </c>
      <c r="Q304" s="176">
        <f t="shared" si="97"/>
        <v>0</v>
      </c>
      <c r="R304" s="176">
        <f t="shared" si="98"/>
        <v>89.67</v>
      </c>
      <c r="S304" s="176">
        <f t="shared" si="102"/>
        <v>1.1956</v>
      </c>
      <c r="T304" s="176">
        <f t="shared" si="99"/>
        <v>0</v>
      </c>
      <c r="U304" s="176">
        <f t="shared" si="103"/>
        <v>1.1956</v>
      </c>
    </row>
    <row r="305" spans="1:21" s="43" customFormat="1" ht="15.75">
      <c r="A305" s="173">
        <v>17</v>
      </c>
      <c r="B305" s="174" t="s">
        <v>76</v>
      </c>
      <c r="C305" s="173" t="s">
        <v>195</v>
      </c>
      <c r="D305" s="175">
        <v>11.5</v>
      </c>
      <c r="E305" s="173">
        <v>175</v>
      </c>
      <c r="F305" s="173">
        <v>3.75</v>
      </c>
      <c r="G305" s="176">
        <f t="shared" si="100"/>
        <v>656.25</v>
      </c>
      <c r="H305" s="10"/>
      <c r="I305" s="176">
        <f t="shared" si="92"/>
        <v>656.25</v>
      </c>
      <c r="J305" s="176">
        <f t="shared" si="93"/>
        <v>0</v>
      </c>
      <c r="K305" s="176">
        <f t="shared" si="94"/>
        <v>175</v>
      </c>
      <c r="L305" s="10"/>
      <c r="M305" s="176">
        <f t="shared" si="95"/>
        <v>175</v>
      </c>
      <c r="N305" s="176">
        <f>'Secandary-7'!T48</f>
        <v>0</v>
      </c>
      <c r="O305" s="176">
        <f t="shared" si="96"/>
        <v>175</v>
      </c>
      <c r="P305" s="176">
        <f t="shared" si="101"/>
        <v>0</v>
      </c>
      <c r="Q305" s="176">
        <f t="shared" si="97"/>
        <v>0</v>
      </c>
      <c r="R305" s="176">
        <f t="shared" si="98"/>
        <v>2.0125000000000002</v>
      </c>
      <c r="S305" s="176">
        <f t="shared" si="102"/>
        <v>2.6833333333333334E-2</v>
      </c>
      <c r="T305" s="176">
        <f t="shared" si="99"/>
        <v>0</v>
      </c>
      <c r="U305" s="176">
        <f t="shared" si="103"/>
        <v>2.6833333333333334E-2</v>
      </c>
    </row>
    <row r="306" spans="1:21" s="43" customFormat="1" ht="15.75">
      <c r="A306" s="173">
        <v>18</v>
      </c>
      <c r="B306" s="174" t="s">
        <v>51</v>
      </c>
      <c r="C306" s="173" t="s">
        <v>195</v>
      </c>
      <c r="D306" s="175">
        <v>14</v>
      </c>
      <c r="E306" s="173">
        <v>15</v>
      </c>
      <c r="F306" s="173">
        <v>4</v>
      </c>
      <c r="G306" s="176">
        <f t="shared" si="100"/>
        <v>60</v>
      </c>
      <c r="H306" s="10"/>
      <c r="I306" s="176">
        <f t="shared" si="92"/>
        <v>60</v>
      </c>
      <c r="J306" s="176">
        <f t="shared" si="93"/>
        <v>0</v>
      </c>
      <c r="K306" s="176">
        <f t="shared" si="94"/>
        <v>15</v>
      </c>
      <c r="L306" s="10"/>
      <c r="M306" s="176">
        <f t="shared" si="95"/>
        <v>15</v>
      </c>
      <c r="N306" s="176">
        <f>'Secandary-7'!U48</f>
        <v>0</v>
      </c>
      <c r="O306" s="176">
        <f t="shared" si="96"/>
        <v>15</v>
      </c>
      <c r="P306" s="176">
        <f t="shared" si="101"/>
        <v>0</v>
      </c>
      <c r="Q306" s="176">
        <f t="shared" si="97"/>
        <v>0</v>
      </c>
      <c r="R306" s="176">
        <f t="shared" si="98"/>
        <v>0.21</v>
      </c>
      <c r="S306" s="176">
        <f t="shared" si="102"/>
        <v>2.8E-3</v>
      </c>
      <c r="T306" s="176">
        <f t="shared" si="99"/>
        <v>0</v>
      </c>
      <c r="U306" s="176">
        <f t="shared" si="103"/>
        <v>2.8E-3</v>
      </c>
    </row>
    <row r="307" spans="1:21" s="43" customFormat="1" ht="15.75">
      <c r="A307" s="176">
        <v>19</v>
      </c>
      <c r="B307" s="177" t="s">
        <v>112</v>
      </c>
      <c r="C307" s="173" t="s">
        <v>195</v>
      </c>
      <c r="D307" s="175">
        <v>8.5</v>
      </c>
      <c r="E307" s="173"/>
      <c r="F307" s="173">
        <v>2.25</v>
      </c>
      <c r="G307" s="176">
        <f t="shared" si="100"/>
        <v>0</v>
      </c>
      <c r="H307" s="10"/>
      <c r="I307" s="176">
        <f t="shared" si="92"/>
        <v>0</v>
      </c>
      <c r="J307" s="176">
        <f t="shared" si="93"/>
        <v>0</v>
      </c>
      <c r="K307" s="176">
        <f t="shared" si="94"/>
        <v>0</v>
      </c>
      <c r="L307" s="10"/>
      <c r="M307" s="176">
        <f t="shared" si="95"/>
        <v>0</v>
      </c>
      <c r="N307" s="176">
        <f>'Secandary-7'!V48</f>
        <v>0</v>
      </c>
      <c r="O307" s="176">
        <f t="shared" si="96"/>
        <v>0</v>
      </c>
      <c r="P307" s="176">
        <f t="shared" si="101"/>
        <v>0</v>
      </c>
      <c r="Q307" s="176">
        <f t="shared" si="97"/>
        <v>0</v>
      </c>
      <c r="R307" s="176">
        <f t="shared" si="98"/>
        <v>0</v>
      </c>
      <c r="S307" s="176">
        <f t="shared" si="102"/>
        <v>0</v>
      </c>
      <c r="T307" s="176">
        <f t="shared" si="99"/>
        <v>0</v>
      </c>
      <c r="U307" s="176">
        <f t="shared" si="103"/>
        <v>0</v>
      </c>
    </row>
    <row r="308" spans="1:21" s="43" customFormat="1" ht="15.75">
      <c r="A308" s="176">
        <v>20</v>
      </c>
      <c r="B308" s="177" t="s">
        <v>137</v>
      </c>
      <c r="C308" s="173" t="s">
        <v>195</v>
      </c>
      <c r="D308" s="175">
        <v>9.5</v>
      </c>
      <c r="E308" s="173"/>
      <c r="F308" s="173">
        <v>2.75</v>
      </c>
      <c r="G308" s="176">
        <f t="shared" si="100"/>
        <v>0</v>
      </c>
      <c r="H308" s="10"/>
      <c r="I308" s="176">
        <f t="shared" si="92"/>
        <v>0</v>
      </c>
      <c r="J308" s="176">
        <f t="shared" si="93"/>
        <v>0</v>
      </c>
      <c r="K308" s="176">
        <f t="shared" si="94"/>
        <v>0</v>
      </c>
      <c r="L308" s="10"/>
      <c r="M308" s="176">
        <f t="shared" si="95"/>
        <v>0</v>
      </c>
      <c r="N308" s="176">
        <f>'Secandary-7'!W48</f>
        <v>0</v>
      </c>
      <c r="O308" s="176">
        <f t="shared" si="96"/>
        <v>0</v>
      </c>
      <c r="P308" s="176">
        <f t="shared" si="101"/>
        <v>0</v>
      </c>
      <c r="Q308" s="176">
        <f t="shared" si="97"/>
        <v>0</v>
      </c>
      <c r="R308" s="176">
        <f t="shared" si="98"/>
        <v>0</v>
      </c>
      <c r="S308" s="176">
        <f t="shared" si="102"/>
        <v>0</v>
      </c>
      <c r="T308" s="176">
        <f t="shared" si="99"/>
        <v>0</v>
      </c>
      <c r="U308" s="176">
        <f t="shared" si="103"/>
        <v>0</v>
      </c>
    </row>
    <row r="309" spans="1:21" s="43" customFormat="1" ht="15.75">
      <c r="A309" s="176">
        <v>21</v>
      </c>
      <c r="B309" s="177" t="s">
        <v>149</v>
      </c>
      <c r="C309" s="173" t="s">
        <v>195</v>
      </c>
      <c r="D309" s="175">
        <v>14</v>
      </c>
      <c r="E309" s="173"/>
      <c r="F309" s="173">
        <v>4</v>
      </c>
      <c r="G309" s="176">
        <f t="shared" si="100"/>
        <v>0</v>
      </c>
      <c r="H309" s="10"/>
      <c r="I309" s="176">
        <f t="shared" si="92"/>
        <v>0</v>
      </c>
      <c r="J309" s="176">
        <f t="shared" si="93"/>
        <v>0</v>
      </c>
      <c r="K309" s="176">
        <f t="shared" si="94"/>
        <v>0</v>
      </c>
      <c r="L309" s="10"/>
      <c r="M309" s="176">
        <f t="shared" si="95"/>
        <v>0</v>
      </c>
      <c r="N309" s="176">
        <f>'Secandary-7'!X48</f>
        <v>0</v>
      </c>
      <c r="O309" s="176">
        <f t="shared" si="96"/>
        <v>0</v>
      </c>
      <c r="P309" s="176">
        <f t="shared" si="101"/>
        <v>0</v>
      </c>
      <c r="Q309" s="176">
        <f t="shared" si="97"/>
        <v>0</v>
      </c>
      <c r="R309" s="176">
        <f t="shared" si="98"/>
        <v>0</v>
      </c>
      <c r="S309" s="176">
        <f t="shared" si="102"/>
        <v>0</v>
      </c>
      <c r="T309" s="176">
        <f t="shared" si="99"/>
        <v>0</v>
      </c>
      <c r="U309" s="176">
        <f t="shared" si="103"/>
        <v>0</v>
      </c>
    </row>
    <row r="310" spans="1:21" s="43" customFormat="1" ht="21" customHeight="1">
      <c r="A310" s="176">
        <v>22</v>
      </c>
      <c r="B310" s="177" t="s">
        <v>99</v>
      </c>
      <c r="C310" s="173" t="s">
        <v>195</v>
      </c>
      <c r="D310" s="175">
        <v>11.5</v>
      </c>
      <c r="E310" s="173"/>
      <c r="F310" s="173">
        <v>3.75</v>
      </c>
      <c r="G310" s="176">
        <f t="shared" si="100"/>
        <v>0</v>
      </c>
      <c r="H310" s="10"/>
      <c r="I310" s="176">
        <f t="shared" si="92"/>
        <v>0</v>
      </c>
      <c r="J310" s="176">
        <f t="shared" si="93"/>
        <v>0</v>
      </c>
      <c r="K310" s="176">
        <f t="shared" si="94"/>
        <v>0</v>
      </c>
      <c r="L310" s="10"/>
      <c r="M310" s="176">
        <f t="shared" si="95"/>
        <v>0</v>
      </c>
      <c r="N310" s="176">
        <f>'Secandary-7'!Y48</f>
        <v>0</v>
      </c>
      <c r="O310" s="176">
        <f t="shared" si="96"/>
        <v>0</v>
      </c>
      <c r="P310" s="176">
        <f t="shared" si="101"/>
        <v>0</v>
      </c>
      <c r="Q310" s="176">
        <f t="shared" si="97"/>
        <v>0</v>
      </c>
      <c r="R310" s="176">
        <f t="shared" si="98"/>
        <v>0</v>
      </c>
      <c r="S310" s="176">
        <f t="shared" si="102"/>
        <v>0</v>
      </c>
      <c r="T310" s="176">
        <f t="shared" si="99"/>
        <v>0</v>
      </c>
      <c r="U310" s="176">
        <f t="shared" si="103"/>
        <v>0</v>
      </c>
    </row>
    <row r="311" spans="1:21" s="43" customFormat="1" ht="18.600000000000001" customHeight="1">
      <c r="A311" s="383" t="s">
        <v>67</v>
      </c>
      <c r="B311" s="383"/>
      <c r="C311" s="383"/>
      <c r="D311" s="383"/>
      <c r="E311" s="143">
        <f t="shared" ref="E311:U311" si="104">SUM(E289:E310)</f>
        <v>419685</v>
      </c>
      <c r="F311" s="143">
        <f t="shared" si="104"/>
        <v>87</v>
      </c>
      <c r="G311" s="143">
        <f t="shared" si="104"/>
        <v>1894800</v>
      </c>
      <c r="H311" s="143">
        <f t="shared" si="104"/>
        <v>0</v>
      </c>
      <c r="I311" s="143">
        <f t="shared" si="104"/>
        <v>1894800</v>
      </c>
      <c r="J311" s="143">
        <f t="shared" si="104"/>
        <v>0</v>
      </c>
      <c r="K311" s="143">
        <f t="shared" si="104"/>
        <v>419685</v>
      </c>
      <c r="L311" s="143">
        <f t="shared" si="104"/>
        <v>0</v>
      </c>
      <c r="M311" s="143">
        <f t="shared" si="104"/>
        <v>419685</v>
      </c>
      <c r="N311" s="143">
        <f t="shared" si="104"/>
        <v>0</v>
      </c>
      <c r="O311" s="143">
        <f t="shared" si="104"/>
        <v>419685</v>
      </c>
      <c r="P311" s="143">
        <f t="shared" si="104"/>
        <v>0</v>
      </c>
      <c r="Q311" s="143">
        <f t="shared" si="104"/>
        <v>0</v>
      </c>
      <c r="R311" s="143">
        <f t="shared" si="104"/>
        <v>6638.8450000000003</v>
      </c>
      <c r="S311" s="143">
        <f t="shared" si="104"/>
        <v>88.517933333333318</v>
      </c>
      <c r="T311" s="143">
        <f t="shared" si="104"/>
        <v>0</v>
      </c>
      <c r="U311" s="143">
        <f t="shared" si="104"/>
        <v>88.517933333333318</v>
      </c>
    </row>
    <row r="312" spans="1:21" s="43" customFormat="1" ht="18.600000000000001" customHeight="1">
      <c r="A312" s="30"/>
      <c r="B312" s="28"/>
      <c r="C312" s="30"/>
      <c r="D312" s="31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</row>
    <row r="313" spans="1:21" s="43" customFormat="1">
      <c r="A313" s="30"/>
      <c r="B313" s="28"/>
      <c r="C313" s="30"/>
      <c r="D313" s="31"/>
      <c r="E313" s="30"/>
      <c r="F313" s="30"/>
      <c r="G313" s="30"/>
      <c r="H313" s="30"/>
      <c r="I313" s="30"/>
      <c r="J313" s="30"/>
      <c r="K313" s="30"/>
      <c r="L313" s="30"/>
      <c r="M313" s="122"/>
      <c r="N313" s="122"/>
      <c r="O313" s="122"/>
      <c r="P313" s="122"/>
      <c r="Q313" s="67"/>
      <c r="R313" s="67"/>
      <c r="S313" s="67"/>
      <c r="T313" s="67"/>
      <c r="U313" s="67"/>
    </row>
    <row r="314" spans="1:21" s="43" customFormat="1" ht="15.75">
      <c r="A314" s="61"/>
      <c r="B314" s="61"/>
      <c r="C314" s="61"/>
      <c r="D314" s="61"/>
      <c r="E314" s="62"/>
      <c r="F314" s="62"/>
      <c r="G314" s="62"/>
      <c r="H314" s="62"/>
      <c r="I314" s="62"/>
      <c r="J314" s="62"/>
      <c r="K314" s="62"/>
      <c r="L314" s="62"/>
      <c r="M314" s="63"/>
      <c r="N314" s="63"/>
      <c r="O314" s="63"/>
      <c r="P314" s="63"/>
      <c r="Q314" s="387" t="s">
        <v>254</v>
      </c>
      <c r="R314" s="387"/>
      <c r="S314" s="387"/>
      <c r="T314" s="387"/>
      <c r="U314" s="387"/>
    </row>
    <row r="315" spans="1:21" s="43" customFormat="1" ht="41.25">
      <c r="A315" s="388" t="s">
        <v>178</v>
      </c>
      <c r="B315" s="388"/>
      <c r="C315" s="388"/>
      <c r="D315" s="388"/>
      <c r="E315" s="388"/>
      <c r="F315" s="388"/>
      <c r="G315" s="388"/>
      <c r="H315" s="388"/>
      <c r="I315" s="388"/>
      <c r="J315" s="388"/>
      <c r="K315" s="388"/>
      <c r="L315" s="388"/>
      <c r="M315" s="388"/>
      <c r="N315" s="388"/>
      <c r="O315" s="388"/>
      <c r="P315" s="388"/>
      <c r="Q315" s="388"/>
      <c r="R315" s="388"/>
      <c r="S315" s="388"/>
      <c r="T315" s="388"/>
      <c r="U315" s="388"/>
    </row>
    <row r="316" spans="1:21" s="43" customFormat="1" ht="20.25">
      <c r="A316" s="379" t="s">
        <v>253</v>
      </c>
      <c r="B316" s="379"/>
      <c r="C316" s="379"/>
      <c r="D316" s="379"/>
      <c r="E316" s="379"/>
      <c r="F316" s="379"/>
      <c r="G316" s="379"/>
      <c r="H316" s="379"/>
      <c r="I316" s="379"/>
      <c r="J316" s="379"/>
      <c r="K316" s="379"/>
      <c r="L316" s="379"/>
      <c r="M316" s="379"/>
      <c r="N316" s="379"/>
      <c r="O316" s="379"/>
      <c r="P316" s="379"/>
      <c r="Q316" s="379"/>
      <c r="R316" s="379"/>
      <c r="S316" s="379"/>
      <c r="T316" s="379"/>
      <c r="U316" s="379"/>
    </row>
    <row r="317" spans="1:21" s="43" customFormat="1" ht="17.25">
      <c r="A317" s="313" t="s">
        <v>274</v>
      </c>
      <c r="B317" s="313"/>
      <c r="C317" s="313"/>
      <c r="D317" s="313"/>
      <c r="E317" s="313"/>
      <c r="F317" s="313"/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  <c r="T317" s="313"/>
      <c r="U317" s="313"/>
    </row>
    <row r="318" spans="1:21" s="43" customFormat="1" ht="20.25">
      <c r="A318" s="386" t="s">
        <v>452</v>
      </c>
      <c r="B318" s="386"/>
      <c r="C318" s="386"/>
      <c r="D318" s="386"/>
      <c r="E318" s="386"/>
      <c r="F318" s="386"/>
      <c r="G318" s="386"/>
      <c r="H318" s="386"/>
      <c r="I318" s="386"/>
      <c r="J318" s="386"/>
      <c r="K318" s="386"/>
      <c r="L318" s="386"/>
      <c r="M318" s="386"/>
      <c r="N318" s="386"/>
      <c r="O318" s="386"/>
      <c r="P318" s="386"/>
      <c r="Q318" s="386"/>
      <c r="R318" s="378"/>
      <c r="S318" s="378"/>
      <c r="T318" s="378"/>
      <c r="U318" s="378"/>
    </row>
    <row r="319" spans="1:21" s="43" customFormat="1">
      <c r="A319" s="389" t="s">
        <v>15</v>
      </c>
      <c r="B319" s="389" t="s">
        <v>64</v>
      </c>
      <c r="C319" s="389" t="s">
        <v>65</v>
      </c>
      <c r="D319" s="380" t="s">
        <v>66</v>
      </c>
      <c r="E319" s="161" t="s">
        <v>88</v>
      </c>
      <c r="F319" s="145" t="s">
        <v>157</v>
      </c>
      <c r="G319" s="374" t="s">
        <v>138</v>
      </c>
      <c r="H319" s="375"/>
      <c r="I319" s="376"/>
      <c r="J319" s="377" t="s">
        <v>139</v>
      </c>
      <c r="K319" s="377"/>
      <c r="L319" s="377" t="s">
        <v>86</v>
      </c>
      <c r="M319" s="377"/>
      <c r="N319" s="377" t="s">
        <v>25</v>
      </c>
      <c r="O319" s="377"/>
      <c r="P319" s="377" t="s">
        <v>87</v>
      </c>
      <c r="Q319" s="382" t="s">
        <v>199</v>
      </c>
      <c r="R319" s="377" t="s">
        <v>140</v>
      </c>
      <c r="S319" s="377"/>
      <c r="T319" s="377"/>
      <c r="U319" s="377"/>
    </row>
    <row r="320" spans="1:21" s="43" customFormat="1" ht="21" customHeight="1">
      <c r="A320" s="390"/>
      <c r="B320" s="390"/>
      <c r="C320" s="390"/>
      <c r="D320" s="381"/>
      <c r="E320" s="145" t="s">
        <v>265</v>
      </c>
      <c r="F320" s="145"/>
      <c r="G320" s="139" t="s">
        <v>189</v>
      </c>
      <c r="H320" s="145" t="s">
        <v>85</v>
      </c>
      <c r="I320" s="145" t="s">
        <v>70</v>
      </c>
      <c r="J320" s="148" t="s">
        <v>85</v>
      </c>
      <c r="K320" s="148" t="s">
        <v>70</v>
      </c>
      <c r="L320" s="145" t="s">
        <v>86</v>
      </c>
      <c r="M320" s="148" t="s">
        <v>70</v>
      </c>
      <c r="N320" s="148" t="s">
        <v>25</v>
      </c>
      <c r="O320" s="148" t="s">
        <v>70</v>
      </c>
      <c r="P320" s="377"/>
      <c r="Q320" s="382"/>
      <c r="R320" s="148" t="s">
        <v>155</v>
      </c>
      <c r="S320" s="148" t="s">
        <v>156</v>
      </c>
      <c r="T320" s="148" t="s">
        <v>141</v>
      </c>
      <c r="U320" s="148" t="s">
        <v>70</v>
      </c>
    </row>
    <row r="321" spans="1:21" s="43" customFormat="1" ht="15.75">
      <c r="A321" s="173">
        <v>1</v>
      </c>
      <c r="B321" s="174" t="s">
        <v>194</v>
      </c>
      <c r="C321" s="173" t="s">
        <v>195</v>
      </c>
      <c r="D321" s="175">
        <v>12.5</v>
      </c>
      <c r="E321" s="173">
        <v>53593</v>
      </c>
      <c r="F321" s="173">
        <v>3.25</v>
      </c>
      <c r="G321" s="176">
        <f>F321*E321</f>
        <v>174177.25</v>
      </c>
      <c r="H321" s="10"/>
      <c r="I321" s="176">
        <f t="shared" ref="I321:I342" si="105">G321-H321</f>
        <v>174177.25</v>
      </c>
      <c r="J321" s="176">
        <f t="shared" ref="J321:J342" si="106">H321/F321</f>
        <v>0</v>
      </c>
      <c r="K321" s="176">
        <f t="shared" ref="K321:K342" si="107">E321-J321</f>
        <v>53593</v>
      </c>
      <c r="L321" s="10"/>
      <c r="M321" s="176">
        <f t="shared" ref="M321:M342" si="108">E321-L321</f>
        <v>53593</v>
      </c>
      <c r="N321" s="176">
        <f>'Secandary-7'!D94</f>
        <v>0</v>
      </c>
      <c r="O321" s="176">
        <f t="shared" ref="O321:O342" si="109">E321-N321</f>
        <v>53593</v>
      </c>
      <c r="P321" s="176">
        <f>L321-N321</f>
        <v>0</v>
      </c>
      <c r="Q321" s="176">
        <f t="shared" ref="Q321:Q342" si="110">D321*L321/1000</f>
        <v>0</v>
      </c>
      <c r="R321" s="176">
        <f t="shared" ref="R321:R342" si="111">D321*E321/1000</f>
        <v>669.91250000000002</v>
      </c>
      <c r="S321" s="176">
        <f>R321/75</f>
        <v>8.9321666666666673</v>
      </c>
      <c r="T321" s="176">
        <f t="shared" ref="T321:T342" si="112">D321*J321/1000/75</f>
        <v>0</v>
      </c>
      <c r="U321" s="176">
        <f>S321-T321</f>
        <v>8.9321666666666673</v>
      </c>
    </row>
    <row r="322" spans="1:21" s="43" customFormat="1" ht="15.75">
      <c r="A322" s="173">
        <v>2</v>
      </c>
      <c r="B322" s="174" t="s">
        <v>191</v>
      </c>
      <c r="C322" s="173" t="s">
        <v>195</v>
      </c>
      <c r="D322" s="175">
        <v>8.5</v>
      </c>
      <c r="E322" s="173">
        <v>53593</v>
      </c>
      <c r="F322" s="173">
        <v>2.25</v>
      </c>
      <c r="G322" s="176">
        <f t="shared" ref="G322:G342" si="113">F322*E322</f>
        <v>120584.25</v>
      </c>
      <c r="H322" s="10"/>
      <c r="I322" s="176">
        <f t="shared" si="105"/>
        <v>120584.25</v>
      </c>
      <c r="J322" s="176">
        <f t="shared" si="106"/>
        <v>0</v>
      </c>
      <c r="K322" s="176">
        <f t="shared" si="107"/>
        <v>53593</v>
      </c>
      <c r="L322" s="10"/>
      <c r="M322" s="176">
        <f t="shared" si="108"/>
        <v>53593</v>
      </c>
      <c r="N322" s="176">
        <f>'Secandary-7'!E94</f>
        <v>0</v>
      </c>
      <c r="O322" s="176">
        <f t="shared" si="109"/>
        <v>53593</v>
      </c>
      <c r="P322" s="176">
        <f t="shared" ref="P322:P342" si="114">L322-N322</f>
        <v>0</v>
      </c>
      <c r="Q322" s="176">
        <f t="shared" si="110"/>
        <v>0</v>
      </c>
      <c r="R322" s="176">
        <f t="shared" si="111"/>
        <v>455.54050000000001</v>
      </c>
      <c r="S322" s="176">
        <f t="shared" ref="S322:S342" si="115">R322/75</f>
        <v>6.0738733333333332</v>
      </c>
      <c r="T322" s="176">
        <f t="shared" si="112"/>
        <v>0</v>
      </c>
      <c r="U322" s="176">
        <f t="shared" ref="U322:U342" si="116">S322-T322</f>
        <v>6.0738733333333332</v>
      </c>
    </row>
    <row r="323" spans="1:21" s="43" customFormat="1" ht="15.75">
      <c r="A323" s="173">
        <v>3</v>
      </c>
      <c r="B323" s="174" t="s">
        <v>56</v>
      </c>
      <c r="C323" s="173" t="s">
        <v>195</v>
      </c>
      <c r="D323" s="175">
        <v>16.5</v>
      </c>
      <c r="E323" s="173">
        <v>53593</v>
      </c>
      <c r="F323" s="173">
        <v>4.25</v>
      </c>
      <c r="G323" s="176">
        <f t="shared" si="113"/>
        <v>227770.25</v>
      </c>
      <c r="H323" s="10"/>
      <c r="I323" s="176">
        <f t="shared" si="105"/>
        <v>227770.25</v>
      </c>
      <c r="J323" s="176">
        <f t="shared" si="106"/>
        <v>0</v>
      </c>
      <c r="K323" s="176">
        <f t="shared" si="107"/>
        <v>53593</v>
      </c>
      <c r="L323" s="10"/>
      <c r="M323" s="176">
        <f t="shared" si="108"/>
        <v>53593</v>
      </c>
      <c r="N323" s="176">
        <f>'Secandary-7'!F94</f>
        <v>0</v>
      </c>
      <c r="O323" s="176">
        <f t="shared" si="109"/>
        <v>53593</v>
      </c>
      <c r="P323" s="176">
        <f t="shared" si="114"/>
        <v>0</v>
      </c>
      <c r="Q323" s="176">
        <f t="shared" si="110"/>
        <v>0</v>
      </c>
      <c r="R323" s="176">
        <f t="shared" si="111"/>
        <v>884.28449999999998</v>
      </c>
      <c r="S323" s="176">
        <f t="shared" si="115"/>
        <v>11.790459999999999</v>
      </c>
      <c r="T323" s="176">
        <f t="shared" si="112"/>
        <v>0</v>
      </c>
      <c r="U323" s="176">
        <f t="shared" si="116"/>
        <v>11.790459999999999</v>
      </c>
    </row>
    <row r="324" spans="1:21" s="43" customFormat="1" ht="15.75">
      <c r="A324" s="173">
        <v>4</v>
      </c>
      <c r="B324" s="174" t="s">
        <v>27</v>
      </c>
      <c r="C324" s="173" t="s">
        <v>195</v>
      </c>
      <c r="D324" s="175">
        <v>15</v>
      </c>
      <c r="E324" s="173">
        <v>53593</v>
      </c>
      <c r="F324" s="173">
        <v>4.25</v>
      </c>
      <c r="G324" s="176">
        <f t="shared" si="113"/>
        <v>227770.25</v>
      </c>
      <c r="H324" s="10"/>
      <c r="I324" s="176">
        <f t="shared" si="105"/>
        <v>227770.25</v>
      </c>
      <c r="J324" s="176">
        <f t="shared" si="106"/>
        <v>0</v>
      </c>
      <c r="K324" s="176">
        <f t="shared" si="107"/>
        <v>53593</v>
      </c>
      <c r="L324" s="10"/>
      <c r="M324" s="176">
        <f t="shared" si="108"/>
        <v>53593</v>
      </c>
      <c r="N324" s="176">
        <f>'Secandary-7'!G94</f>
        <v>0</v>
      </c>
      <c r="O324" s="176">
        <f t="shared" si="109"/>
        <v>53593</v>
      </c>
      <c r="P324" s="176">
        <f t="shared" si="114"/>
        <v>0</v>
      </c>
      <c r="Q324" s="176">
        <f t="shared" si="110"/>
        <v>0</v>
      </c>
      <c r="R324" s="176">
        <f t="shared" si="111"/>
        <v>803.89499999999998</v>
      </c>
      <c r="S324" s="176">
        <f t="shared" si="115"/>
        <v>10.7186</v>
      </c>
      <c r="T324" s="176">
        <f t="shared" si="112"/>
        <v>0</v>
      </c>
      <c r="U324" s="176">
        <f t="shared" si="116"/>
        <v>10.7186</v>
      </c>
    </row>
    <row r="325" spans="1:21" s="43" customFormat="1" ht="15.75">
      <c r="A325" s="173">
        <v>5</v>
      </c>
      <c r="B325" s="174" t="s">
        <v>150</v>
      </c>
      <c r="C325" s="173" t="s">
        <v>195</v>
      </c>
      <c r="D325" s="175">
        <v>26</v>
      </c>
      <c r="E325" s="173">
        <v>53593</v>
      </c>
      <c r="F325" s="173">
        <v>7</v>
      </c>
      <c r="G325" s="176">
        <f t="shared" si="113"/>
        <v>375151</v>
      </c>
      <c r="H325" s="10"/>
      <c r="I325" s="176">
        <f t="shared" si="105"/>
        <v>375151</v>
      </c>
      <c r="J325" s="176">
        <f t="shared" si="106"/>
        <v>0</v>
      </c>
      <c r="K325" s="176">
        <f t="shared" si="107"/>
        <v>53593</v>
      </c>
      <c r="L325" s="10"/>
      <c r="M325" s="176">
        <f t="shared" si="108"/>
        <v>53593</v>
      </c>
      <c r="N325" s="176">
        <f>'Secandary-7'!H94</f>
        <v>0</v>
      </c>
      <c r="O325" s="176">
        <f t="shared" si="109"/>
        <v>53593</v>
      </c>
      <c r="P325" s="176">
        <f t="shared" si="114"/>
        <v>0</v>
      </c>
      <c r="Q325" s="176">
        <f t="shared" si="110"/>
        <v>0</v>
      </c>
      <c r="R325" s="176">
        <f t="shared" si="111"/>
        <v>1393.4179999999999</v>
      </c>
      <c r="S325" s="176">
        <f t="shared" si="115"/>
        <v>18.578906666666665</v>
      </c>
      <c r="T325" s="176">
        <f t="shared" si="112"/>
        <v>0</v>
      </c>
      <c r="U325" s="176">
        <f t="shared" si="116"/>
        <v>18.578906666666665</v>
      </c>
    </row>
    <row r="326" spans="1:21" s="43" customFormat="1" ht="15.75">
      <c r="A326" s="173">
        <v>6</v>
      </c>
      <c r="B326" s="174" t="s">
        <v>31</v>
      </c>
      <c r="C326" s="173" t="s">
        <v>195</v>
      </c>
      <c r="D326" s="175">
        <v>22.5</v>
      </c>
      <c r="E326" s="173">
        <v>53593</v>
      </c>
      <c r="F326" s="173">
        <v>6.25</v>
      </c>
      <c r="G326" s="176">
        <f t="shared" si="113"/>
        <v>334956.25</v>
      </c>
      <c r="H326" s="10"/>
      <c r="I326" s="176">
        <f t="shared" si="105"/>
        <v>334956.25</v>
      </c>
      <c r="J326" s="176">
        <f t="shared" si="106"/>
        <v>0</v>
      </c>
      <c r="K326" s="176">
        <f t="shared" si="107"/>
        <v>53593</v>
      </c>
      <c r="L326" s="10"/>
      <c r="M326" s="176">
        <f t="shared" si="108"/>
        <v>53593</v>
      </c>
      <c r="N326" s="176">
        <f>'Secandary-7'!I94</f>
        <v>0</v>
      </c>
      <c r="O326" s="176">
        <f t="shared" si="109"/>
        <v>53593</v>
      </c>
      <c r="P326" s="176">
        <f t="shared" si="114"/>
        <v>0</v>
      </c>
      <c r="Q326" s="176">
        <f t="shared" si="110"/>
        <v>0</v>
      </c>
      <c r="R326" s="176">
        <f t="shared" si="111"/>
        <v>1205.8425</v>
      </c>
      <c r="S326" s="176">
        <f t="shared" si="115"/>
        <v>16.0779</v>
      </c>
      <c r="T326" s="176">
        <f t="shared" si="112"/>
        <v>0</v>
      </c>
      <c r="U326" s="176">
        <f t="shared" si="116"/>
        <v>16.0779</v>
      </c>
    </row>
    <row r="327" spans="1:21" s="43" customFormat="1" ht="15.75">
      <c r="A327" s="173">
        <v>7</v>
      </c>
      <c r="B327" s="174" t="s">
        <v>72</v>
      </c>
      <c r="C327" s="173" t="s">
        <v>195</v>
      </c>
      <c r="D327" s="175">
        <v>14.5</v>
      </c>
      <c r="E327" s="173">
        <v>53593</v>
      </c>
      <c r="F327" s="173">
        <v>4.25</v>
      </c>
      <c r="G327" s="176">
        <f t="shared" si="113"/>
        <v>227770.25</v>
      </c>
      <c r="H327" s="10"/>
      <c r="I327" s="176">
        <f t="shared" si="105"/>
        <v>227770.25</v>
      </c>
      <c r="J327" s="176">
        <f t="shared" si="106"/>
        <v>0</v>
      </c>
      <c r="K327" s="176">
        <f t="shared" si="107"/>
        <v>53593</v>
      </c>
      <c r="L327" s="10"/>
      <c r="M327" s="176">
        <f t="shared" si="108"/>
        <v>53593</v>
      </c>
      <c r="N327" s="176">
        <f>'Secandary-7'!J94</f>
        <v>0</v>
      </c>
      <c r="O327" s="176">
        <f t="shared" si="109"/>
        <v>53593</v>
      </c>
      <c r="P327" s="176">
        <f t="shared" si="114"/>
        <v>0</v>
      </c>
      <c r="Q327" s="176">
        <f t="shared" si="110"/>
        <v>0</v>
      </c>
      <c r="R327" s="176">
        <f t="shared" si="111"/>
        <v>777.09849999999994</v>
      </c>
      <c r="S327" s="176">
        <f t="shared" si="115"/>
        <v>10.361313333333333</v>
      </c>
      <c r="T327" s="176">
        <f t="shared" si="112"/>
        <v>0</v>
      </c>
      <c r="U327" s="176">
        <f t="shared" si="116"/>
        <v>10.361313333333333</v>
      </c>
    </row>
    <row r="328" spans="1:21" s="43" customFormat="1" ht="15.75">
      <c r="A328" s="173">
        <v>8</v>
      </c>
      <c r="B328" s="174" t="s">
        <v>32</v>
      </c>
      <c r="C328" s="173" t="s">
        <v>195</v>
      </c>
      <c r="D328" s="175">
        <v>20.5</v>
      </c>
      <c r="E328" s="173">
        <v>53593</v>
      </c>
      <c r="F328" s="173">
        <v>5.25</v>
      </c>
      <c r="G328" s="176">
        <f t="shared" si="113"/>
        <v>281363.25</v>
      </c>
      <c r="H328" s="10"/>
      <c r="I328" s="176">
        <f t="shared" si="105"/>
        <v>281363.25</v>
      </c>
      <c r="J328" s="176">
        <f t="shared" si="106"/>
        <v>0</v>
      </c>
      <c r="K328" s="176">
        <f t="shared" si="107"/>
        <v>53593</v>
      </c>
      <c r="L328" s="10"/>
      <c r="M328" s="176">
        <f t="shared" si="108"/>
        <v>53593</v>
      </c>
      <c r="N328" s="176">
        <f>'Secandary-7'!K94</f>
        <v>0</v>
      </c>
      <c r="O328" s="176">
        <f t="shared" si="109"/>
        <v>53593</v>
      </c>
      <c r="P328" s="176">
        <f t="shared" si="114"/>
        <v>0</v>
      </c>
      <c r="Q328" s="176">
        <f t="shared" si="110"/>
        <v>0</v>
      </c>
      <c r="R328" s="176">
        <f t="shared" si="111"/>
        <v>1098.6565000000001</v>
      </c>
      <c r="S328" s="176">
        <f t="shared" si="115"/>
        <v>14.648753333333334</v>
      </c>
      <c r="T328" s="176">
        <f t="shared" si="112"/>
        <v>0</v>
      </c>
      <c r="U328" s="176">
        <f t="shared" si="116"/>
        <v>14.648753333333334</v>
      </c>
    </row>
    <row r="329" spans="1:21" s="43" customFormat="1" ht="21" customHeight="1">
      <c r="A329" s="173">
        <v>9</v>
      </c>
      <c r="B329" s="174" t="s">
        <v>43</v>
      </c>
      <c r="C329" s="173" t="s">
        <v>195</v>
      </c>
      <c r="D329" s="175">
        <v>7.5</v>
      </c>
      <c r="E329" s="173">
        <v>6590</v>
      </c>
      <c r="F329" s="173">
        <v>2.75</v>
      </c>
      <c r="G329" s="176">
        <f t="shared" si="113"/>
        <v>18122.5</v>
      </c>
      <c r="H329" s="10"/>
      <c r="I329" s="176">
        <f t="shared" si="105"/>
        <v>18122.5</v>
      </c>
      <c r="J329" s="176">
        <f t="shared" si="106"/>
        <v>0</v>
      </c>
      <c r="K329" s="176">
        <f t="shared" si="107"/>
        <v>6590</v>
      </c>
      <c r="L329" s="10"/>
      <c r="M329" s="176">
        <f t="shared" si="108"/>
        <v>6590</v>
      </c>
      <c r="N329" s="176">
        <f>'Secandary-7'!L94</f>
        <v>0</v>
      </c>
      <c r="O329" s="176">
        <f t="shared" si="109"/>
        <v>6590</v>
      </c>
      <c r="P329" s="176">
        <f t="shared" si="114"/>
        <v>0</v>
      </c>
      <c r="Q329" s="176">
        <f t="shared" si="110"/>
        <v>0</v>
      </c>
      <c r="R329" s="176">
        <f t="shared" si="111"/>
        <v>49.424999999999997</v>
      </c>
      <c r="S329" s="176">
        <f t="shared" si="115"/>
        <v>0.65899999999999992</v>
      </c>
      <c r="T329" s="176">
        <f t="shared" si="112"/>
        <v>0</v>
      </c>
      <c r="U329" s="176">
        <f t="shared" si="116"/>
        <v>0.65899999999999992</v>
      </c>
    </row>
    <row r="330" spans="1:21" s="43" customFormat="1" ht="18.600000000000001" customHeight="1">
      <c r="A330" s="173">
        <v>10</v>
      </c>
      <c r="B330" s="174" t="s">
        <v>73</v>
      </c>
      <c r="C330" s="173" t="s">
        <v>195</v>
      </c>
      <c r="D330" s="175">
        <v>9.5</v>
      </c>
      <c r="E330" s="173">
        <v>53593</v>
      </c>
      <c r="F330" s="173">
        <v>4.75</v>
      </c>
      <c r="G330" s="176">
        <f t="shared" si="113"/>
        <v>254566.75</v>
      </c>
      <c r="H330" s="10"/>
      <c r="I330" s="176">
        <f t="shared" si="105"/>
        <v>254566.75</v>
      </c>
      <c r="J330" s="176">
        <f t="shared" si="106"/>
        <v>0</v>
      </c>
      <c r="K330" s="176">
        <f t="shared" si="107"/>
        <v>53593</v>
      </c>
      <c r="L330" s="10"/>
      <c r="M330" s="176">
        <f t="shared" si="108"/>
        <v>53593</v>
      </c>
      <c r="N330" s="176">
        <f>'Secandary-7'!M94</f>
        <v>0</v>
      </c>
      <c r="O330" s="176">
        <f t="shared" si="109"/>
        <v>53593</v>
      </c>
      <c r="P330" s="176">
        <f t="shared" si="114"/>
        <v>0</v>
      </c>
      <c r="Q330" s="176">
        <f t="shared" si="110"/>
        <v>0</v>
      </c>
      <c r="R330" s="176">
        <f t="shared" si="111"/>
        <v>509.13350000000003</v>
      </c>
      <c r="S330" s="176">
        <f t="shared" si="115"/>
        <v>6.7884466666666672</v>
      </c>
      <c r="T330" s="176">
        <f t="shared" si="112"/>
        <v>0</v>
      </c>
      <c r="U330" s="176">
        <f t="shared" si="116"/>
        <v>6.7884466666666672</v>
      </c>
    </row>
    <row r="331" spans="1:21" s="43" customFormat="1" ht="18.600000000000001" customHeight="1">
      <c r="A331" s="173">
        <v>11</v>
      </c>
      <c r="B331" s="174" t="s">
        <v>74</v>
      </c>
      <c r="C331" s="173" t="s">
        <v>195</v>
      </c>
      <c r="D331" s="175">
        <v>9</v>
      </c>
      <c r="E331" s="173">
        <v>717</v>
      </c>
      <c r="F331" s="173">
        <v>2.5</v>
      </c>
      <c r="G331" s="176">
        <f t="shared" si="113"/>
        <v>1792.5</v>
      </c>
      <c r="H331" s="10"/>
      <c r="I331" s="176">
        <f t="shared" si="105"/>
        <v>1792.5</v>
      </c>
      <c r="J331" s="176">
        <f t="shared" si="106"/>
        <v>0</v>
      </c>
      <c r="K331" s="176">
        <f t="shared" si="107"/>
        <v>717</v>
      </c>
      <c r="L331" s="10"/>
      <c r="M331" s="176">
        <f t="shared" si="108"/>
        <v>717</v>
      </c>
      <c r="N331" s="176">
        <f>'Secandary-7'!N94</f>
        <v>0</v>
      </c>
      <c r="O331" s="176">
        <f t="shared" si="109"/>
        <v>717</v>
      </c>
      <c r="P331" s="176">
        <f t="shared" si="114"/>
        <v>0</v>
      </c>
      <c r="Q331" s="176">
        <f t="shared" si="110"/>
        <v>0</v>
      </c>
      <c r="R331" s="176">
        <f t="shared" si="111"/>
        <v>6.4530000000000003</v>
      </c>
      <c r="S331" s="176">
        <f t="shared" si="115"/>
        <v>8.6040000000000005E-2</v>
      </c>
      <c r="T331" s="176">
        <f t="shared" si="112"/>
        <v>0</v>
      </c>
      <c r="U331" s="176">
        <f t="shared" si="116"/>
        <v>8.6040000000000005E-2</v>
      </c>
    </row>
    <row r="332" spans="1:21" s="43" customFormat="1" ht="15.75">
      <c r="A332" s="173">
        <v>12</v>
      </c>
      <c r="B332" s="174" t="s">
        <v>192</v>
      </c>
      <c r="C332" s="173" t="s">
        <v>195</v>
      </c>
      <c r="D332" s="175">
        <v>7</v>
      </c>
      <c r="E332" s="173"/>
      <c r="F332" s="173">
        <v>2.5</v>
      </c>
      <c r="G332" s="176">
        <f t="shared" si="113"/>
        <v>0</v>
      </c>
      <c r="H332" s="10"/>
      <c r="I332" s="176">
        <f t="shared" si="105"/>
        <v>0</v>
      </c>
      <c r="J332" s="176">
        <f t="shared" si="106"/>
        <v>0</v>
      </c>
      <c r="K332" s="176">
        <f t="shared" si="107"/>
        <v>0</v>
      </c>
      <c r="L332" s="10"/>
      <c r="M332" s="176">
        <f t="shared" si="108"/>
        <v>0</v>
      </c>
      <c r="N332" s="176">
        <f>'Secandary-7'!O94</f>
        <v>0</v>
      </c>
      <c r="O332" s="176">
        <f t="shared" si="109"/>
        <v>0</v>
      </c>
      <c r="P332" s="176">
        <f t="shared" si="114"/>
        <v>0</v>
      </c>
      <c r="Q332" s="176">
        <f t="shared" si="110"/>
        <v>0</v>
      </c>
      <c r="R332" s="176">
        <f t="shared" si="111"/>
        <v>0</v>
      </c>
      <c r="S332" s="176">
        <f t="shared" si="115"/>
        <v>0</v>
      </c>
      <c r="T332" s="176">
        <f t="shared" si="112"/>
        <v>0</v>
      </c>
      <c r="U332" s="176">
        <f t="shared" si="116"/>
        <v>0</v>
      </c>
    </row>
    <row r="333" spans="1:21" s="43" customFormat="1" ht="15.75">
      <c r="A333" s="173">
        <v>13</v>
      </c>
      <c r="B333" s="174" t="s">
        <v>47</v>
      </c>
      <c r="C333" s="173" t="s">
        <v>195</v>
      </c>
      <c r="D333" s="175">
        <v>16</v>
      </c>
      <c r="E333" s="173">
        <v>40016</v>
      </c>
      <c r="F333" s="173">
        <v>4</v>
      </c>
      <c r="G333" s="176">
        <f t="shared" si="113"/>
        <v>160064</v>
      </c>
      <c r="H333" s="10"/>
      <c r="I333" s="176">
        <f t="shared" si="105"/>
        <v>160064</v>
      </c>
      <c r="J333" s="176">
        <f t="shared" si="106"/>
        <v>0</v>
      </c>
      <c r="K333" s="176">
        <f t="shared" si="107"/>
        <v>40016</v>
      </c>
      <c r="L333" s="10"/>
      <c r="M333" s="176">
        <f t="shared" si="108"/>
        <v>40016</v>
      </c>
      <c r="N333" s="176">
        <f>'Secandary-7'!P94</f>
        <v>0</v>
      </c>
      <c r="O333" s="176">
        <f t="shared" si="109"/>
        <v>40016</v>
      </c>
      <c r="P333" s="176">
        <f t="shared" si="114"/>
        <v>0</v>
      </c>
      <c r="Q333" s="176">
        <f t="shared" si="110"/>
        <v>0</v>
      </c>
      <c r="R333" s="176">
        <f t="shared" si="111"/>
        <v>640.25599999999997</v>
      </c>
      <c r="S333" s="176">
        <f t="shared" si="115"/>
        <v>8.5367466666666658</v>
      </c>
      <c r="T333" s="176">
        <f t="shared" si="112"/>
        <v>0</v>
      </c>
      <c r="U333" s="176">
        <f t="shared" si="116"/>
        <v>8.5367466666666658</v>
      </c>
    </row>
    <row r="334" spans="1:21" s="43" customFormat="1" ht="15.75">
      <c r="A334" s="173">
        <v>14</v>
      </c>
      <c r="B334" s="174" t="s">
        <v>193</v>
      </c>
      <c r="C334" s="173" t="s">
        <v>195</v>
      </c>
      <c r="D334" s="175">
        <v>18.5</v>
      </c>
      <c r="E334" s="173">
        <v>6370</v>
      </c>
      <c r="F334" s="173">
        <v>5.25</v>
      </c>
      <c r="G334" s="176">
        <f t="shared" si="113"/>
        <v>33442.5</v>
      </c>
      <c r="H334" s="10"/>
      <c r="I334" s="176">
        <f t="shared" si="105"/>
        <v>33442.5</v>
      </c>
      <c r="J334" s="176">
        <f t="shared" si="106"/>
        <v>0</v>
      </c>
      <c r="K334" s="176">
        <f t="shared" si="107"/>
        <v>6370</v>
      </c>
      <c r="L334" s="10"/>
      <c r="M334" s="176">
        <f t="shared" si="108"/>
        <v>6370</v>
      </c>
      <c r="N334" s="176">
        <f>'Secandary-7'!Q94</f>
        <v>0</v>
      </c>
      <c r="O334" s="176">
        <f t="shared" si="109"/>
        <v>6370</v>
      </c>
      <c r="P334" s="176">
        <f t="shared" si="114"/>
        <v>0</v>
      </c>
      <c r="Q334" s="176">
        <f t="shared" si="110"/>
        <v>0</v>
      </c>
      <c r="R334" s="176">
        <f t="shared" si="111"/>
        <v>117.845</v>
      </c>
      <c r="S334" s="176">
        <f t="shared" si="115"/>
        <v>1.5712666666666666</v>
      </c>
      <c r="T334" s="176">
        <f t="shared" si="112"/>
        <v>0</v>
      </c>
      <c r="U334" s="176">
        <f t="shared" si="116"/>
        <v>1.5712666666666666</v>
      </c>
    </row>
    <row r="335" spans="1:21" s="43" customFormat="1" ht="15.75">
      <c r="A335" s="173">
        <v>15</v>
      </c>
      <c r="B335" s="174" t="s">
        <v>48</v>
      </c>
      <c r="C335" s="173" t="s">
        <v>195</v>
      </c>
      <c r="D335" s="175">
        <v>15.5</v>
      </c>
      <c r="E335" s="173">
        <v>38452</v>
      </c>
      <c r="F335" s="173">
        <v>4.75</v>
      </c>
      <c r="G335" s="176">
        <f t="shared" si="113"/>
        <v>182647</v>
      </c>
      <c r="H335" s="10"/>
      <c r="I335" s="176">
        <f t="shared" si="105"/>
        <v>182647</v>
      </c>
      <c r="J335" s="176">
        <f t="shared" si="106"/>
        <v>0</v>
      </c>
      <c r="K335" s="176">
        <f t="shared" si="107"/>
        <v>38452</v>
      </c>
      <c r="L335" s="10"/>
      <c r="M335" s="176">
        <f t="shared" si="108"/>
        <v>38452</v>
      </c>
      <c r="N335" s="176">
        <f>'Secandary-7'!R94</f>
        <v>0</v>
      </c>
      <c r="O335" s="176">
        <f t="shared" si="109"/>
        <v>38452</v>
      </c>
      <c r="P335" s="176">
        <f t="shared" si="114"/>
        <v>0</v>
      </c>
      <c r="Q335" s="176">
        <f t="shared" si="110"/>
        <v>0</v>
      </c>
      <c r="R335" s="176">
        <f t="shared" si="111"/>
        <v>596.00599999999997</v>
      </c>
      <c r="S335" s="176">
        <f t="shared" si="115"/>
        <v>7.946746666666666</v>
      </c>
      <c r="T335" s="176">
        <f t="shared" si="112"/>
        <v>0</v>
      </c>
      <c r="U335" s="176">
        <f t="shared" si="116"/>
        <v>7.946746666666666</v>
      </c>
    </row>
    <row r="336" spans="1:21" s="43" customFormat="1" ht="15.75">
      <c r="A336" s="173">
        <v>16</v>
      </c>
      <c r="B336" s="174" t="s">
        <v>75</v>
      </c>
      <c r="C336" s="173" t="s">
        <v>195</v>
      </c>
      <c r="D336" s="175">
        <v>10.5</v>
      </c>
      <c r="E336" s="173">
        <v>14182</v>
      </c>
      <c r="F336" s="173">
        <v>3.25</v>
      </c>
      <c r="G336" s="176">
        <f t="shared" si="113"/>
        <v>46091.5</v>
      </c>
      <c r="H336" s="10"/>
      <c r="I336" s="176">
        <f t="shared" si="105"/>
        <v>46091.5</v>
      </c>
      <c r="J336" s="176">
        <f t="shared" si="106"/>
        <v>0</v>
      </c>
      <c r="K336" s="176">
        <f t="shared" si="107"/>
        <v>14182</v>
      </c>
      <c r="L336" s="10"/>
      <c r="M336" s="176">
        <f t="shared" si="108"/>
        <v>14182</v>
      </c>
      <c r="N336" s="176">
        <f>'Secandary-7'!S94</f>
        <v>0</v>
      </c>
      <c r="O336" s="176">
        <f t="shared" si="109"/>
        <v>14182</v>
      </c>
      <c r="P336" s="176">
        <f t="shared" si="114"/>
        <v>0</v>
      </c>
      <c r="Q336" s="176">
        <f t="shared" si="110"/>
        <v>0</v>
      </c>
      <c r="R336" s="176">
        <f t="shared" si="111"/>
        <v>148.911</v>
      </c>
      <c r="S336" s="176">
        <f t="shared" si="115"/>
        <v>1.9854799999999999</v>
      </c>
      <c r="T336" s="176">
        <f t="shared" si="112"/>
        <v>0</v>
      </c>
      <c r="U336" s="176">
        <f t="shared" si="116"/>
        <v>1.9854799999999999</v>
      </c>
    </row>
    <row r="337" spans="1:21" s="43" customFormat="1" ht="15.75">
      <c r="A337" s="173">
        <v>17</v>
      </c>
      <c r="B337" s="174" t="s">
        <v>76</v>
      </c>
      <c r="C337" s="173" t="s">
        <v>195</v>
      </c>
      <c r="D337" s="175">
        <v>11.5</v>
      </c>
      <c r="E337" s="173">
        <v>928</v>
      </c>
      <c r="F337" s="173">
        <v>3.75</v>
      </c>
      <c r="G337" s="176">
        <f t="shared" si="113"/>
        <v>3480</v>
      </c>
      <c r="H337" s="10"/>
      <c r="I337" s="176">
        <f t="shared" si="105"/>
        <v>3480</v>
      </c>
      <c r="J337" s="176">
        <f t="shared" si="106"/>
        <v>0</v>
      </c>
      <c r="K337" s="176">
        <f t="shared" si="107"/>
        <v>928</v>
      </c>
      <c r="L337" s="10"/>
      <c r="M337" s="176">
        <f t="shared" si="108"/>
        <v>928</v>
      </c>
      <c r="N337" s="176">
        <f>'Secandary-7'!T94</f>
        <v>0</v>
      </c>
      <c r="O337" s="176">
        <f t="shared" si="109"/>
        <v>928</v>
      </c>
      <c r="P337" s="176">
        <f t="shared" si="114"/>
        <v>0</v>
      </c>
      <c r="Q337" s="176">
        <f t="shared" si="110"/>
        <v>0</v>
      </c>
      <c r="R337" s="176">
        <f t="shared" si="111"/>
        <v>10.672000000000001</v>
      </c>
      <c r="S337" s="176">
        <f t="shared" si="115"/>
        <v>0.14229333333333335</v>
      </c>
      <c r="T337" s="176">
        <f t="shared" si="112"/>
        <v>0</v>
      </c>
      <c r="U337" s="176">
        <f t="shared" si="116"/>
        <v>0.14229333333333335</v>
      </c>
    </row>
    <row r="338" spans="1:21" s="43" customFormat="1" ht="15.75">
      <c r="A338" s="173">
        <v>18</v>
      </c>
      <c r="B338" s="174" t="s">
        <v>51</v>
      </c>
      <c r="C338" s="173" t="s">
        <v>195</v>
      </c>
      <c r="D338" s="175">
        <v>14</v>
      </c>
      <c r="E338" s="173">
        <v>45</v>
      </c>
      <c r="F338" s="173">
        <v>4</v>
      </c>
      <c r="G338" s="176">
        <f t="shared" si="113"/>
        <v>180</v>
      </c>
      <c r="H338" s="10"/>
      <c r="I338" s="176">
        <f t="shared" si="105"/>
        <v>180</v>
      </c>
      <c r="J338" s="176">
        <f t="shared" si="106"/>
        <v>0</v>
      </c>
      <c r="K338" s="176">
        <f t="shared" si="107"/>
        <v>45</v>
      </c>
      <c r="L338" s="10"/>
      <c r="M338" s="176">
        <f t="shared" si="108"/>
        <v>45</v>
      </c>
      <c r="N338" s="176">
        <f>'Secandary-7'!U94</f>
        <v>0</v>
      </c>
      <c r="O338" s="176">
        <f t="shared" si="109"/>
        <v>45</v>
      </c>
      <c r="P338" s="176">
        <f t="shared" si="114"/>
        <v>0</v>
      </c>
      <c r="Q338" s="176">
        <f t="shared" si="110"/>
        <v>0</v>
      </c>
      <c r="R338" s="176">
        <f t="shared" si="111"/>
        <v>0.63</v>
      </c>
      <c r="S338" s="176">
        <f t="shared" si="115"/>
        <v>8.3999999999999995E-3</v>
      </c>
      <c r="T338" s="176">
        <f t="shared" si="112"/>
        <v>0</v>
      </c>
      <c r="U338" s="176">
        <f t="shared" si="116"/>
        <v>8.3999999999999995E-3</v>
      </c>
    </row>
    <row r="339" spans="1:21" s="43" customFormat="1" ht="15.75">
      <c r="A339" s="176">
        <v>19</v>
      </c>
      <c r="B339" s="177" t="s">
        <v>112</v>
      </c>
      <c r="C339" s="173" t="s">
        <v>195</v>
      </c>
      <c r="D339" s="175">
        <v>8.5</v>
      </c>
      <c r="E339" s="173"/>
      <c r="F339" s="173">
        <v>2.25</v>
      </c>
      <c r="G339" s="176">
        <f t="shared" si="113"/>
        <v>0</v>
      </c>
      <c r="H339" s="10"/>
      <c r="I339" s="176">
        <f t="shared" si="105"/>
        <v>0</v>
      </c>
      <c r="J339" s="176">
        <f t="shared" si="106"/>
        <v>0</v>
      </c>
      <c r="K339" s="176">
        <f t="shared" si="107"/>
        <v>0</v>
      </c>
      <c r="L339" s="10"/>
      <c r="M339" s="176">
        <f t="shared" si="108"/>
        <v>0</v>
      </c>
      <c r="N339" s="176">
        <f>'Secandary-7'!V94</f>
        <v>0</v>
      </c>
      <c r="O339" s="176">
        <f t="shared" si="109"/>
        <v>0</v>
      </c>
      <c r="P339" s="176">
        <f t="shared" si="114"/>
        <v>0</v>
      </c>
      <c r="Q339" s="176">
        <f t="shared" si="110"/>
        <v>0</v>
      </c>
      <c r="R339" s="176">
        <f t="shared" si="111"/>
        <v>0</v>
      </c>
      <c r="S339" s="176">
        <f t="shared" si="115"/>
        <v>0</v>
      </c>
      <c r="T339" s="176">
        <f t="shared" si="112"/>
        <v>0</v>
      </c>
      <c r="U339" s="176">
        <f t="shared" si="116"/>
        <v>0</v>
      </c>
    </row>
    <row r="340" spans="1:21" s="43" customFormat="1" ht="15.75">
      <c r="A340" s="176">
        <v>20</v>
      </c>
      <c r="B340" s="177" t="s">
        <v>137</v>
      </c>
      <c r="C340" s="173" t="s">
        <v>195</v>
      </c>
      <c r="D340" s="175">
        <v>9.5</v>
      </c>
      <c r="E340" s="173"/>
      <c r="F340" s="173">
        <v>2.75</v>
      </c>
      <c r="G340" s="176">
        <f t="shared" si="113"/>
        <v>0</v>
      </c>
      <c r="H340" s="10"/>
      <c r="I340" s="176">
        <f t="shared" si="105"/>
        <v>0</v>
      </c>
      <c r="J340" s="176">
        <f t="shared" si="106"/>
        <v>0</v>
      </c>
      <c r="K340" s="176">
        <f t="shared" si="107"/>
        <v>0</v>
      </c>
      <c r="L340" s="10"/>
      <c r="M340" s="176">
        <f t="shared" si="108"/>
        <v>0</v>
      </c>
      <c r="N340" s="176">
        <f>'Secandary-7'!W94</f>
        <v>0</v>
      </c>
      <c r="O340" s="176">
        <f t="shared" si="109"/>
        <v>0</v>
      </c>
      <c r="P340" s="176">
        <f t="shared" si="114"/>
        <v>0</v>
      </c>
      <c r="Q340" s="176">
        <f t="shared" si="110"/>
        <v>0</v>
      </c>
      <c r="R340" s="176">
        <f t="shared" si="111"/>
        <v>0</v>
      </c>
      <c r="S340" s="176">
        <f t="shared" si="115"/>
        <v>0</v>
      </c>
      <c r="T340" s="176">
        <f t="shared" si="112"/>
        <v>0</v>
      </c>
      <c r="U340" s="176">
        <f t="shared" si="116"/>
        <v>0</v>
      </c>
    </row>
    <row r="341" spans="1:21" s="43" customFormat="1" ht="15.75">
      <c r="A341" s="176">
        <v>21</v>
      </c>
      <c r="B341" s="177" t="s">
        <v>149</v>
      </c>
      <c r="C341" s="173" t="s">
        <v>195</v>
      </c>
      <c r="D341" s="175">
        <v>14</v>
      </c>
      <c r="E341" s="173"/>
      <c r="F341" s="173">
        <v>4</v>
      </c>
      <c r="G341" s="176">
        <f t="shared" si="113"/>
        <v>0</v>
      </c>
      <c r="H341" s="10"/>
      <c r="I341" s="176">
        <f t="shared" si="105"/>
        <v>0</v>
      </c>
      <c r="J341" s="176">
        <f t="shared" si="106"/>
        <v>0</v>
      </c>
      <c r="K341" s="176">
        <f t="shared" si="107"/>
        <v>0</v>
      </c>
      <c r="L341" s="10"/>
      <c r="M341" s="176">
        <f t="shared" si="108"/>
        <v>0</v>
      </c>
      <c r="N341" s="176">
        <f>'Secandary-7'!X94</f>
        <v>0</v>
      </c>
      <c r="O341" s="176">
        <f t="shared" si="109"/>
        <v>0</v>
      </c>
      <c r="P341" s="176">
        <f t="shared" si="114"/>
        <v>0</v>
      </c>
      <c r="Q341" s="176">
        <f t="shared" si="110"/>
        <v>0</v>
      </c>
      <c r="R341" s="176">
        <f t="shared" si="111"/>
        <v>0</v>
      </c>
      <c r="S341" s="176">
        <f t="shared" si="115"/>
        <v>0</v>
      </c>
      <c r="T341" s="176">
        <f t="shared" si="112"/>
        <v>0</v>
      </c>
      <c r="U341" s="176">
        <f t="shared" si="116"/>
        <v>0</v>
      </c>
    </row>
    <row r="342" spans="1:21" s="43" customFormat="1" ht="21" customHeight="1">
      <c r="A342" s="176">
        <v>22</v>
      </c>
      <c r="B342" s="177" t="s">
        <v>99</v>
      </c>
      <c r="C342" s="173" t="s">
        <v>195</v>
      </c>
      <c r="D342" s="175">
        <v>11.5</v>
      </c>
      <c r="E342" s="173"/>
      <c r="F342" s="173">
        <v>3.75</v>
      </c>
      <c r="G342" s="176">
        <f t="shared" si="113"/>
        <v>0</v>
      </c>
      <c r="H342" s="10"/>
      <c r="I342" s="176">
        <f t="shared" si="105"/>
        <v>0</v>
      </c>
      <c r="J342" s="176">
        <f t="shared" si="106"/>
        <v>0</v>
      </c>
      <c r="K342" s="176">
        <f t="shared" si="107"/>
        <v>0</v>
      </c>
      <c r="L342" s="10"/>
      <c r="M342" s="176">
        <f t="shared" si="108"/>
        <v>0</v>
      </c>
      <c r="N342" s="176">
        <f>'Secandary-7'!Y94</f>
        <v>0</v>
      </c>
      <c r="O342" s="176">
        <f t="shared" si="109"/>
        <v>0</v>
      </c>
      <c r="P342" s="176">
        <f t="shared" si="114"/>
        <v>0</v>
      </c>
      <c r="Q342" s="176">
        <f t="shared" si="110"/>
        <v>0</v>
      </c>
      <c r="R342" s="176">
        <f t="shared" si="111"/>
        <v>0</v>
      </c>
      <c r="S342" s="176">
        <f t="shared" si="115"/>
        <v>0</v>
      </c>
      <c r="T342" s="176">
        <f t="shared" si="112"/>
        <v>0</v>
      </c>
      <c r="U342" s="176">
        <f t="shared" si="116"/>
        <v>0</v>
      </c>
    </row>
    <row r="343" spans="1:21" s="43" customFormat="1" ht="18.600000000000001" customHeight="1">
      <c r="A343" s="383" t="s">
        <v>67</v>
      </c>
      <c r="B343" s="383"/>
      <c r="C343" s="383"/>
      <c r="D343" s="383"/>
      <c r="E343" s="143">
        <f t="shared" ref="E343:U343" si="117">SUM(E321:E342)</f>
        <v>589637</v>
      </c>
      <c r="F343" s="143">
        <f t="shared" si="117"/>
        <v>87</v>
      </c>
      <c r="G343" s="143">
        <f t="shared" si="117"/>
        <v>2669929.5</v>
      </c>
      <c r="H343" s="143">
        <f t="shared" si="117"/>
        <v>0</v>
      </c>
      <c r="I343" s="143">
        <f t="shared" si="117"/>
        <v>2669929.5</v>
      </c>
      <c r="J343" s="143">
        <f t="shared" si="117"/>
        <v>0</v>
      </c>
      <c r="K343" s="143">
        <f t="shared" si="117"/>
        <v>589637</v>
      </c>
      <c r="L343" s="143">
        <f t="shared" si="117"/>
        <v>0</v>
      </c>
      <c r="M343" s="143">
        <f t="shared" si="117"/>
        <v>589637</v>
      </c>
      <c r="N343" s="143">
        <f t="shared" si="117"/>
        <v>0</v>
      </c>
      <c r="O343" s="143">
        <f t="shared" si="117"/>
        <v>589637</v>
      </c>
      <c r="P343" s="143">
        <f t="shared" si="117"/>
        <v>0</v>
      </c>
      <c r="Q343" s="143">
        <f t="shared" si="117"/>
        <v>0</v>
      </c>
      <c r="R343" s="143">
        <f t="shared" si="117"/>
        <v>9367.9794999999976</v>
      </c>
      <c r="S343" s="143">
        <f t="shared" si="117"/>
        <v>124.90639333333333</v>
      </c>
      <c r="T343" s="143">
        <f t="shared" si="117"/>
        <v>0</v>
      </c>
      <c r="U343" s="143">
        <f t="shared" si="117"/>
        <v>124.90639333333333</v>
      </c>
    </row>
    <row r="344" spans="1:21" s="43" customFormat="1" ht="18.600000000000001" customHeight="1">
      <c r="A344" s="30"/>
      <c r="B344" s="28"/>
      <c r="C344" s="30"/>
      <c r="D344" s="31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</row>
    <row r="345" spans="1:21" s="43" customFormat="1">
      <c r="A345" s="30"/>
      <c r="B345" s="28"/>
      <c r="C345" s="30"/>
      <c r="D345" s="31"/>
      <c r="E345" s="30"/>
      <c r="F345" s="30"/>
      <c r="G345" s="30"/>
      <c r="H345" s="30"/>
      <c r="I345" s="30"/>
      <c r="J345" s="30"/>
      <c r="K345" s="30"/>
      <c r="L345" s="30"/>
      <c r="M345" s="122"/>
      <c r="N345" s="122"/>
      <c r="O345" s="122"/>
      <c r="P345" s="122"/>
      <c r="Q345" s="67"/>
      <c r="R345" s="67"/>
      <c r="S345" s="67"/>
      <c r="T345" s="67"/>
      <c r="U345" s="67"/>
    </row>
    <row r="346" spans="1:21" s="43" customFormat="1" ht="15.75">
      <c r="A346" s="61"/>
      <c r="B346" s="61"/>
      <c r="C346" s="61"/>
      <c r="D346" s="61"/>
      <c r="E346" s="62"/>
      <c r="F346" s="62"/>
      <c r="G346" s="62"/>
      <c r="H346" s="62"/>
      <c r="I346" s="62"/>
      <c r="J346" s="62"/>
      <c r="K346" s="62"/>
      <c r="L346" s="62"/>
      <c r="M346" s="63"/>
      <c r="N346" s="63"/>
      <c r="O346" s="63"/>
      <c r="P346" s="63"/>
      <c r="Q346" s="387" t="s">
        <v>254</v>
      </c>
      <c r="R346" s="387"/>
      <c r="S346" s="387"/>
      <c r="T346" s="387"/>
      <c r="U346" s="387"/>
    </row>
    <row r="347" spans="1:21" s="43" customFormat="1" ht="41.25">
      <c r="A347" s="388" t="s">
        <v>178</v>
      </c>
      <c r="B347" s="388"/>
      <c r="C347" s="388"/>
      <c r="D347" s="388"/>
      <c r="E347" s="388"/>
      <c r="F347" s="388"/>
      <c r="G347" s="388"/>
      <c r="H347" s="388"/>
      <c r="I347" s="388"/>
      <c r="J347" s="388"/>
      <c r="K347" s="388"/>
      <c r="L347" s="388"/>
      <c r="M347" s="388"/>
      <c r="N347" s="388"/>
      <c r="O347" s="388"/>
      <c r="P347" s="388"/>
      <c r="Q347" s="388"/>
      <c r="R347" s="388"/>
      <c r="S347" s="388"/>
      <c r="T347" s="388"/>
      <c r="U347" s="388"/>
    </row>
    <row r="348" spans="1:21" s="43" customFormat="1" ht="20.25">
      <c r="A348" s="379" t="s">
        <v>253</v>
      </c>
      <c r="B348" s="379"/>
      <c r="C348" s="379"/>
      <c r="D348" s="379"/>
      <c r="E348" s="379"/>
      <c r="F348" s="379"/>
      <c r="G348" s="379"/>
      <c r="H348" s="379"/>
      <c r="I348" s="379"/>
      <c r="J348" s="379"/>
      <c r="K348" s="379"/>
      <c r="L348" s="379"/>
      <c r="M348" s="379"/>
      <c r="N348" s="379"/>
      <c r="O348" s="379"/>
      <c r="P348" s="379"/>
      <c r="Q348" s="379"/>
      <c r="R348" s="379"/>
      <c r="S348" s="379"/>
      <c r="T348" s="379"/>
      <c r="U348" s="379"/>
    </row>
    <row r="349" spans="1:21" s="43" customFormat="1" ht="17.25">
      <c r="A349" s="313" t="s">
        <v>274</v>
      </c>
      <c r="B349" s="313"/>
      <c r="C349" s="313"/>
      <c r="D349" s="313"/>
      <c r="E349" s="313"/>
      <c r="F349" s="313"/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  <c r="T349" s="313"/>
      <c r="U349" s="313"/>
    </row>
    <row r="350" spans="1:21" s="43" customFormat="1" ht="20.25">
      <c r="A350" s="386" t="s">
        <v>452</v>
      </c>
      <c r="B350" s="386"/>
      <c r="C350" s="386"/>
      <c r="D350" s="386"/>
      <c r="E350" s="386"/>
      <c r="F350" s="386"/>
      <c r="G350" s="386"/>
      <c r="H350" s="386"/>
      <c r="I350" s="386"/>
      <c r="J350" s="386"/>
      <c r="K350" s="386"/>
      <c r="L350" s="386"/>
      <c r="M350" s="386"/>
      <c r="N350" s="386"/>
      <c r="O350" s="386"/>
      <c r="P350" s="386"/>
      <c r="Q350" s="386"/>
      <c r="R350" s="378"/>
      <c r="S350" s="378"/>
      <c r="T350" s="378"/>
      <c r="U350" s="378"/>
    </row>
    <row r="351" spans="1:21" s="43" customFormat="1">
      <c r="A351" s="389" t="s">
        <v>15</v>
      </c>
      <c r="B351" s="389" t="s">
        <v>64</v>
      </c>
      <c r="C351" s="389" t="s">
        <v>65</v>
      </c>
      <c r="D351" s="380" t="s">
        <v>66</v>
      </c>
      <c r="E351" s="161" t="s">
        <v>88</v>
      </c>
      <c r="F351" s="145" t="s">
        <v>157</v>
      </c>
      <c r="G351" s="374" t="s">
        <v>138</v>
      </c>
      <c r="H351" s="375"/>
      <c r="I351" s="376"/>
      <c r="J351" s="377" t="s">
        <v>139</v>
      </c>
      <c r="K351" s="377"/>
      <c r="L351" s="377" t="s">
        <v>86</v>
      </c>
      <c r="M351" s="377"/>
      <c r="N351" s="377" t="s">
        <v>25</v>
      </c>
      <c r="O351" s="377"/>
      <c r="P351" s="377" t="s">
        <v>87</v>
      </c>
      <c r="Q351" s="382" t="s">
        <v>199</v>
      </c>
      <c r="R351" s="377" t="s">
        <v>140</v>
      </c>
      <c r="S351" s="377"/>
      <c r="T351" s="377"/>
      <c r="U351" s="377"/>
    </row>
    <row r="352" spans="1:21" s="43" customFormat="1" ht="21" customHeight="1">
      <c r="A352" s="390"/>
      <c r="B352" s="390"/>
      <c r="C352" s="390"/>
      <c r="D352" s="381"/>
      <c r="E352" s="145" t="s">
        <v>266</v>
      </c>
      <c r="F352" s="145"/>
      <c r="G352" s="139" t="s">
        <v>189</v>
      </c>
      <c r="H352" s="145" t="s">
        <v>85</v>
      </c>
      <c r="I352" s="145" t="s">
        <v>70</v>
      </c>
      <c r="J352" s="148" t="s">
        <v>85</v>
      </c>
      <c r="K352" s="148" t="s">
        <v>70</v>
      </c>
      <c r="L352" s="145" t="s">
        <v>86</v>
      </c>
      <c r="M352" s="148" t="s">
        <v>70</v>
      </c>
      <c r="N352" s="148" t="s">
        <v>25</v>
      </c>
      <c r="O352" s="148" t="s">
        <v>70</v>
      </c>
      <c r="P352" s="377"/>
      <c r="Q352" s="382"/>
      <c r="R352" s="148" t="s">
        <v>155</v>
      </c>
      <c r="S352" s="148" t="s">
        <v>156</v>
      </c>
      <c r="T352" s="148" t="s">
        <v>141</v>
      </c>
      <c r="U352" s="148" t="s">
        <v>70</v>
      </c>
    </row>
    <row r="353" spans="1:21" s="43" customFormat="1" ht="15.75">
      <c r="A353" s="173">
        <v>1</v>
      </c>
      <c r="B353" s="174" t="s">
        <v>194</v>
      </c>
      <c r="C353" s="173" t="s">
        <v>195</v>
      </c>
      <c r="D353" s="175">
        <v>12.5</v>
      </c>
      <c r="E353" s="173">
        <v>27615</v>
      </c>
      <c r="F353" s="173">
        <v>3.25</v>
      </c>
      <c r="G353" s="176">
        <f>F353*E353</f>
        <v>89748.75</v>
      </c>
      <c r="H353" s="10"/>
      <c r="I353" s="176">
        <f t="shared" ref="I353:I374" si="118">G353-H353</f>
        <v>89748.75</v>
      </c>
      <c r="J353" s="176">
        <f t="shared" ref="J353:J374" si="119">H353/F353</f>
        <v>0</v>
      </c>
      <c r="K353" s="176">
        <f t="shared" ref="K353:K374" si="120">E353-J353</f>
        <v>27615</v>
      </c>
      <c r="L353" s="10"/>
      <c r="M353" s="176">
        <f t="shared" ref="M353:M374" si="121">E353-L353</f>
        <v>27615</v>
      </c>
      <c r="N353" s="176">
        <f>'Secandary-7'!D114</f>
        <v>0</v>
      </c>
      <c r="O353" s="176">
        <f t="shared" ref="O353:O374" si="122">E353-N353</f>
        <v>27615</v>
      </c>
      <c r="P353" s="176">
        <f>L353-N353</f>
        <v>0</v>
      </c>
      <c r="Q353" s="176">
        <f t="shared" ref="Q353:Q374" si="123">D353*L353/1000</f>
        <v>0</v>
      </c>
      <c r="R353" s="176">
        <f t="shared" ref="R353:R374" si="124">D353*E353/1000</f>
        <v>345.1875</v>
      </c>
      <c r="S353" s="176">
        <f>R353/75</f>
        <v>4.6025</v>
      </c>
      <c r="T353" s="176">
        <f t="shared" ref="T353:T374" si="125">D353*J353/1000/75</f>
        <v>0</v>
      </c>
      <c r="U353" s="176">
        <f>S353-T353</f>
        <v>4.6025</v>
      </c>
    </row>
    <row r="354" spans="1:21" s="43" customFormat="1" ht="15.75">
      <c r="A354" s="173">
        <v>2</v>
      </c>
      <c r="B354" s="174" t="s">
        <v>191</v>
      </c>
      <c r="C354" s="173" t="s">
        <v>195</v>
      </c>
      <c r="D354" s="175">
        <v>8.5</v>
      </c>
      <c r="E354" s="173">
        <v>27615</v>
      </c>
      <c r="F354" s="173">
        <v>2.25</v>
      </c>
      <c r="G354" s="176">
        <f t="shared" ref="G354:G374" si="126">F354*E354</f>
        <v>62133.75</v>
      </c>
      <c r="H354" s="10"/>
      <c r="I354" s="176">
        <f t="shared" si="118"/>
        <v>62133.75</v>
      </c>
      <c r="J354" s="176">
        <f t="shared" si="119"/>
        <v>0</v>
      </c>
      <c r="K354" s="176">
        <f t="shared" si="120"/>
        <v>27615</v>
      </c>
      <c r="L354" s="10"/>
      <c r="M354" s="176">
        <f t="shared" si="121"/>
        <v>27615</v>
      </c>
      <c r="N354" s="176">
        <f>'Secandary-7'!E114</f>
        <v>0</v>
      </c>
      <c r="O354" s="176">
        <f t="shared" si="122"/>
        <v>27615</v>
      </c>
      <c r="P354" s="176">
        <f t="shared" ref="P354:P374" si="127">L354-N354</f>
        <v>0</v>
      </c>
      <c r="Q354" s="176">
        <f t="shared" si="123"/>
        <v>0</v>
      </c>
      <c r="R354" s="176">
        <f t="shared" si="124"/>
        <v>234.72749999999999</v>
      </c>
      <c r="S354" s="176">
        <f t="shared" ref="S354:S374" si="128">R354/75</f>
        <v>3.1296999999999997</v>
      </c>
      <c r="T354" s="176">
        <f t="shared" si="125"/>
        <v>0</v>
      </c>
      <c r="U354" s="176">
        <f t="shared" ref="U354:U374" si="129">S354-T354</f>
        <v>3.1296999999999997</v>
      </c>
    </row>
    <row r="355" spans="1:21" s="43" customFormat="1" ht="15.75">
      <c r="A355" s="173">
        <v>3</v>
      </c>
      <c r="B355" s="174" t="s">
        <v>56</v>
      </c>
      <c r="C355" s="173" t="s">
        <v>195</v>
      </c>
      <c r="D355" s="175">
        <v>16.5</v>
      </c>
      <c r="E355" s="173">
        <v>27615</v>
      </c>
      <c r="F355" s="173">
        <v>4.25</v>
      </c>
      <c r="G355" s="176">
        <f t="shared" si="126"/>
        <v>117363.75</v>
      </c>
      <c r="H355" s="10"/>
      <c r="I355" s="176">
        <f t="shared" si="118"/>
        <v>117363.75</v>
      </c>
      <c r="J355" s="176">
        <f t="shared" si="119"/>
        <v>0</v>
      </c>
      <c r="K355" s="176">
        <f t="shared" si="120"/>
        <v>27615</v>
      </c>
      <c r="L355" s="10"/>
      <c r="M355" s="176">
        <f t="shared" si="121"/>
        <v>27615</v>
      </c>
      <c r="N355" s="176">
        <f>'Secandary-7'!F114</f>
        <v>0</v>
      </c>
      <c r="O355" s="176">
        <f t="shared" si="122"/>
        <v>27615</v>
      </c>
      <c r="P355" s="176">
        <f t="shared" si="127"/>
        <v>0</v>
      </c>
      <c r="Q355" s="176">
        <f t="shared" si="123"/>
        <v>0</v>
      </c>
      <c r="R355" s="176">
        <f t="shared" si="124"/>
        <v>455.64749999999998</v>
      </c>
      <c r="S355" s="176">
        <f t="shared" si="128"/>
        <v>6.0752999999999995</v>
      </c>
      <c r="T355" s="176">
        <f t="shared" si="125"/>
        <v>0</v>
      </c>
      <c r="U355" s="176">
        <f t="shared" si="129"/>
        <v>6.0752999999999995</v>
      </c>
    </row>
    <row r="356" spans="1:21" s="43" customFormat="1" ht="15.75">
      <c r="A356" s="173">
        <v>4</v>
      </c>
      <c r="B356" s="174" t="s">
        <v>27</v>
      </c>
      <c r="C356" s="173" t="s">
        <v>195</v>
      </c>
      <c r="D356" s="175">
        <v>15</v>
      </c>
      <c r="E356" s="173">
        <v>27615</v>
      </c>
      <c r="F356" s="173">
        <v>4.25</v>
      </c>
      <c r="G356" s="176">
        <f t="shared" si="126"/>
        <v>117363.75</v>
      </c>
      <c r="H356" s="10"/>
      <c r="I356" s="176">
        <f t="shared" si="118"/>
        <v>117363.75</v>
      </c>
      <c r="J356" s="176">
        <f t="shared" si="119"/>
        <v>0</v>
      </c>
      <c r="K356" s="176">
        <f t="shared" si="120"/>
        <v>27615</v>
      </c>
      <c r="L356" s="10"/>
      <c r="M356" s="176">
        <f t="shared" si="121"/>
        <v>27615</v>
      </c>
      <c r="N356" s="176">
        <f>'Secandary-7'!G114</f>
        <v>0</v>
      </c>
      <c r="O356" s="176">
        <f t="shared" si="122"/>
        <v>27615</v>
      </c>
      <c r="P356" s="176">
        <f t="shared" si="127"/>
        <v>0</v>
      </c>
      <c r="Q356" s="176">
        <f t="shared" si="123"/>
        <v>0</v>
      </c>
      <c r="R356" s="176">
        <f t="shared" si="124"/>
        <v>414.22500000000002</v>
      </c>
      <c r="S356" s="176">
        <f t="shared" si="128"/>
        <v>5.5230000000000006</v>
      </c>
      <c r="T356" s="176">
        <f t="shared" si="125"/>
        <v>0</v>
      </c>
      <c r="U356" s="176">
        <f t="shared" si="129"/>
        <v>5.5230000000000006</v>
      </c>
    </row>
    <row r="357" spans="1:21" s="43" customFormat="1" ht="15.75">
      <c r="A357" s="173">
        <v>5</v>
      </c>
      <c r="B357" s="174" t="s">
        <v>150</v>
      </c>
      <c r="C357" s="173" t="s">
        <v>195</v>
      </c>
      <c r="D357" s="175">
        <v>26</v>
      </c>
      <c r="E357" s="173">
        <v>27615</v>
      </c>
      <c r="F357" s="173">
        <v>7</v>
      </c>
      <c r="G357" s="176">
        <f t="shared" si="126"/>
        <v>193305</v>
      </c>
      <c r="H357" s="10"/>
      <c r="I357" s="176">
        <f t="shared" si="118"/>
        <v>193305</v>
      </c>
      <c r="J357" s="176">
        <f t="shared" si="119"/>
        <v>0</v>
      </c>
      <c r="K357" s="176">
        <f t="shared" si="120"/>
        <v>27615</v>
      </c>
      <c r="L357" s="10"/>
      <c r="M357" s="176">
        <f t="shared" si="121"/>
        <v>27615</v>
      </c>
      <c r="N357" s="176">
        <f>'Secandary-7'!H114</f>
        <v>0</v>
      </c>
      <c r="O357" s="176">
        <f t="shared" si="122"/>
        <v>27615</v>
      </c>
      <c r="P357" s="176">
        <f t="shared" si="127"/>
        <v>0</v>
      </c>
      <c r="Q357" s="176">
        <f t="shared" si="123"/>
        <v>0</v>
      </c>
      <c r="R357" s="176">
        <f t="shared" si="124"/>
        <v>717.99</v>
      </c>
      <c r="S357" s="176">
        <f t="shared" si="128"/>
        <v>9.5731999999999999</v>
      </c>
      <c r="T357" s="176">
        <f t="shared" si="125"/>
        <v>0</v>
      </c>
      <c r="U357" s="176">
        <f t="shared" si="129"/>
        <v>9.5731999999999999</v>
      </c>
    </row>
    <row r="358" spans="1:21" s="43" customFormat="1" ht="15.75">
      <c r="A358" s="173">
        <v>6</v>
      </c>
      <c r="B358" s="174" t="s">
        <v>31</v>
      </c>
      <c r="C358" s="173" t="s">
        <v>195</v>
      </c>
      <c r="D358" s="175">
        <v>22.5</v>
      </c>
      <c r="E358" s="173">
        <v>27615</v>
      </c>
      <c r="F358" s="173">
        <v>6.25</v>
      </c>
      <c r="G358" s="176">
        <f t="shared" si="126"/>
        <v>172593.75</v>
      </c>
      <c r="H358" s="10"/>
      <c r="I358" s="176">
        <f t="shared" si="118"/>
        <v>172593.75</v>
      </c>
      <c r="J358" s="176">
        <f t="shared" si="119"/>
        <v>0</v>
      </c>
      <c r="K358" s="176">
        <f t="shared" si="120"/>
        <v>27615</v>
      </c>
      <c r="L358" s="10"/>
      <c r="M358" s="176">
        <f t="shared" si="121"/>
        <v>27615</v>
      </c>
      <c r="N358" s="176">
        <f>'Secandary-7'!I114</f>
        <v>0</v>
      </c>
      <c r="O358" s="176">
        <f t="shared" si="122"/>
        <v>27615</v>
      </c>
      <c r="P358" s="176">
        <f t="shared" si="127"/>
        <v>0</v>
      </c>
      <c r="Q358" s="176">
        <f t="shared" si="123"/>
        <v>0</v>
      </c>
      <c r="R358" s="176">
        <f t="shared" si="124"/>
        <v>621.33749999999998</v>
      </c>
      <c r="S358" s="176">
        <f t="shared" si="128"/>
        <v>8.2844999999999995</v>
      </c>
      <c r="T358" s="176">
        <f t="shared" si="125"/>
        <v>0</v>
      </c>
      <c r="U358" s="176">
        <f t="shared" si="129"/>
        <v>8.2844999999999995</v>
      </c>
    </row>
    <row r="359" spans="1:21" s="43" customFormat="1" ht="15.75">
      <c r="A359" s="173">
        <v>7</v>
      </c>
      <c r="B359" s="174" t="s">
        <v>72</v>
      </c>
      <c r="C359" s="173" t="s">
        <v>195</v>
      </c>
      <c r="D359" s="175">
        <v>14.5</v>
      </c>
      <c r="E359" s="173">
        <v>27615</v>
      </c>
      <c r="F359" s="173">
        <v>4.25</v>
      </c>
      <c r="G359" s="176">
        <f t="shared" si="126"/>
        <v>117363.75</v>
      </c>
      <c r="H359" s="10"/>
      <c r="I359" s="176">
        <f t="shared" si="118"/>
        <v>117363.75</v>
      </c>
      <c r="J359" s="176">
        <f t="shared" si="119"/>
        <v>0</v>
      </c>
      <c r="K359" s="176">
        <f t="shared" si="120"/>
        <v>27615</v>
      </c>
      <c r="L359" s="10"/>
      <c r="M359" s="176">
        <f t="shared" si="121"/>
        <v>27615</v>
      </c>
      <c r="N359" s="176">
        <f>'Secandary-7'!J114</f>
        <v>0</v>
      </c>
      <c r="O359" s="176">
        <f t="shared" si="122"/>
        <v>27615</v>
      </c>
      <c r="P359" s="176">
        <f t="shared" si="127"/>
        <v>0</v>
      </c>
      <c r="Q359" s="176">
        <f t="shared" si="123"/>
        <v>0</v>
      </c>
      <c r="R359" s="176">
        <f t="shared" si="124"/>
        <v>400.41750000000002</v>
      </c>
      <c r="S359" s="176">
        <f t="shared" si="128"/>
        <v>5.3389000000000006</v>
      </c>
      <c r="T359" s="176">
        <f t="shared" si="125"/>
        <v>0</v>
      </c>
      <c r="U359" s="176">
        <f t="shared" si="129"/>
        <v>5.3389000000000006</v>
      </c>
    </row>
    <row r="360" spans="1:21" s="43" customFormat="1" ht="15.75">
      <c r="A360" s="173">
        <v>8</v>
      </c>
      <c r="B360" s="174" t="s">
        <v>32</v>
      </c>
      <c r="C360" s="173" t="s">
        <v>195</v>
      </c>
      <c r="D360" s="175">
        <v>20.5</v>
      </c>
      <c r="E360" s="173">
        <v>27615</v>
      </c>
      <c r="F360" s="173">
        <v>5.25</v>
      </c>
      <c r="G360" s="176">
        <f t="shared" si="126"/>
        <v>144978.75</v>
      </c>
      <c r="H360" s="10"/>
      <c r="I360" s="176">
        <f t="shared" si="118"/>
        <v>144978.75</v>
      </c>
      <c r="J360" s="176">
        <f t="shared" si="119"/>
        <v>0</v>
      </c>
      <c r="K360" s="176">
        <f t="shared" si="120"/>
        <v>27615</v>
      </c>
      <c r="L360" s="10"/>
      <c r="M360" s="176">
        <f t="shared" si="121"/>
        <v>27615</v>
      </c>
      <c r="N360" s="176">
        <f>'Secandary-7'!K114</f>
        <v>0</v>
      </c>
      <c r="O360" s="176">
        <f t="shared" si="122"/>
        <v>27615</v>
      </c>
      <c r="P360" s="176">
        <f t="shared" si="127"/>
        <v>0</v>
      </c>
      <c r="Q360" s="176">
        <f t="shared" si="123"/>
        <v>0</v>
      </c>
      <c r="R360" s="176">
        <f t="shared" si="124"/>
        <v>566.10749999999996</v>
      </c>
      <c r="S360" s="176">
        <f t="shared" si="128"/>
        <v>7.5480999999999998</v>
      </c>
      <c r="T360" s="176">
        <f t="shared" si="125"/>
        <v>0</v>
      </c>
      <c r="U360" s="176">
        <f t="shared" si="129"/>
        <v>7.5480999999999998</v>
      </c>
    </row>
    <row r="361" spans="1:21" s="43" customFormat="1" ht="21" customHeight="1">
      <c r="A361" s="173">
        <v>9</v>
      </c>
      <c r="B361" s="174" t="s">
        <v>43</v>
      </c>
      <c r="C361" s="173" t="s">
        <v>195</v>
      </c>
      <c r="D361" s="175">
        <v>7.5</v>
      </c>
      <c r="E361" s="173">
        <v>2100</v>
      </c>
      <c r="F361" s="173">
        <v>2.75</v>
      </c>
      <c r="G361" s="176">
        <f t="shared" si="126"/>
        <v>5775</v>
      </c>
      <c r="H361" s="10"/>
      <c r="I361" s="176">
        <f t="shared" si="118"/>
        <v>5775</v>
      </c>
      <c r="J361" s="176">
        <f t="shared" si="119"/>
        <v>0</v>
      </c>
      <c r="K361" s="176">
        <f t="shared" si="120"/>
        <v>2100</v>
      </c>
      <c r="L361" s="10"/>
      <c r="M361" s="176">
        <f t="shared" si="121"/>
        <v>2100</v>
      </c>
      <c r="N361" s="176">
        <f>'Secandary-7'!L114</f>
        <v>0</v>
      </c>
      <c r="O361" s="176">
        <f t="shared" si="122"/>
        <v>2100</v>
      </c>
      <c r="P361" s="176">
        <f t="shared" si="127"/>
        <v>0</v>
      </c>
      <c r="Q361" s="176">
        <f t="shared" si="123"/>
        <v>0</v>
      </c>
      <c r="R361" s="176">
        <f t="shared" si="124"/>
        <v>15.75</v>
      </c>
      <c r="S361" s="176">
        <f t="shared" si="128"/>
        <v>0.21</v>
      </c>
      <c r="T361" s="176">
        <f t="shared" si="125"/>
        <v>0</v>
      </c>
      <c r="U361" s="176">
        <f t="shared" si="129"/>
        <v>0.21</v>
      </c>
    </row>
    <row r="362" spans="1:21" s="43" customFormat="1" ht="18.600000000000001" customHeight="1">
      <c r="A362" s="173">
        <v>10</v>
      </c>
      <c r="B362" s="174" t="s">
        <v>73</v>
      </c>
      <c r="C362" s="173" t="s">
        <v>195</v>
      </c>
      <c r="D362" s="175">
        <v>9.5</v>
      </c>
      <c r="E362" s="173">
        <v>27615</v>
      </c>
      <c r="F362" s="173">
        <v>4.75</v>
      </c>
      <c r="G362" s="176">
        <f t="shared" si="126"/>
        <v>131171.25</v>
      </c>
      <c r="H362" s="10"/>
      <c r="I362" s="176">
        <f t="shared" si="118"/>
        <v>131171.25</v>
      </c>
      <c r="J362" s="176">
        <f t="shared" si="119"/>
        <v>0</v>
      </c>
      <c r="K362" s="176">
        <f t="shared" si="120"/>
        <v>27615</v>
      </c>
      <c r="L362" s="10"/>
      <c r="M362" s="176">
        <f t="shared" si="121"/>
        <v>27615</v>
      </c>
      <c r="N362" s="176">
        <f>'Secandary-7'!M114</f>
        <v>0</v>
      </c>
      <c r="O362" s="176">
        <f t="shared" si="122"/>
        <v>27615</v>
      </c>
      <c r="P362" s="176">
        <f t="shared" si="127"/>
        <v>0</v>
      </c>
      <c r="Q362" s="176">
        <f t="shared" si="123"/>
        <v>0</v>
      </c>
      <c r="R362" s="176">
        <f t="shared" si="124"/>
        <v>262.34249999999997</v>
      </c>
      <c r="S362" s="176">
        <f t="shared" si="128"/>
        <v>3.4978999999999996</v>
      </c>
      <c r="T362" s="176">
        <f t="shared" si="125"/>
        <v>0</v>
      </c>
      <c r="U362" s="176">
        <f t="shared" si="129"/>
        <v>3.4978999999999996</v>
      </c>
    </row>
    <row r="363" spans="1:21" s="43" customFormat="1" ht="18.600000000000001" customHeight="1">
      <c r="A363" s="173">
        <v>11</v>
      </c>
      <c r="B363" s="174" t="s">
        <v>74</v>
      </c>
      <c r="C363" s="173" t="s">
        <v>195</v>
      </c>
      <c r="D363" s="175">
        <v>9</v>
      </c>
      <c r="E363" s="173"/>
      <c r="F363" s="173">
        <v>2.5</v>
      </c>
      <c r="G363" s="176">
        <f t="shared" si="126"/>
        <v>0</v>
      </c>
      <c r="H363" s="10"/>
      <c r="I363" s="176">
        <f t="shared" si="118"/>
        <v>0</v>
      </c>
      <c r="J363" s="176">
        <f t="shared" si="119"/>
        <v>0</v>
      </c>
      <c r="K363" s="176">
        <f t="shared" si="120"/>
        <v>0</v>
      </c>
      <c r="L363" s="10"/>
      <c r="M363" s="176">
        <f t="shared" si="121"/>
        <v>0</v>
      </c>
      <c r="N363" s="176">
        <f>'Secandary-7'!N114</f>
        <v>0</v>
      </c>
      <c r="O363" s="176">
        <f t="shared" si="122"/>
        <v>0</v>
      </c>
      <c r="P363" s="176">
        <f t="shared" si="127"/>
        <v>0</v>
      </c>
      <c r="Q363" s="176">
        <f t="shared" si="123"/>
        <v>0</v>
      </c>
      <c r="R363" s="176">
        <f t="shared" si="124"/>
        <v>0</v>
      </c>
      <c r="S363" s="176">
        <f t="shared" si="128"/>
        <v>0</v>
      </c>
      <c r="T363" s="176">
        <f t="shared" si="125"/>
        <v>0</v>
      </c>
      <c r="U363" s="176">
        <f t="shared" si="129"/>
        <v>0</v>
      </c>
    </row>
    <row r="364" spans="1:21" s="43" customFormat="1" ht="15.75">
      <c r="A364" s="173">
        <v>12</v>
      </c>
      <c r="B364" s="174" t="s">
        <v>192</v>
      </c>
      <c r="C364" s="173" t="s">
        <v>195</v>
      </c>
      <c r="D364" s="175">
        <v>7</v>
      </c>
      <c r="E364" s="173"/>
      <c r="F364" s="173">
        <v>2.5</v>
      </c>
      <c r="G364" s="176">
        <f t="shared" si="126"/>
        <v>0</v>
      </c>
      <c r="H364" s="10"/>
      <c r="I364" s="176">
        <f t="shared" si="118"/>
        <v>0</v>
      </c>
      <c r="J364" s="176">
        <f t="shared" si="119"/>
        <v>0</v>
      </c>
      <c r="K364" s="176">
        <f t="shared" si="120"/>
        <v>0</v>
      </c>
      <c r="L364" s="10"/>
      <c r="M364" s="176">
        <f t="shared" si="121"/>
        <v>0</v>
      </c>
      <c r="N364" s="176">
        <f>'Secandary-7'!O114</f>
        <v>0</v>
      </c>
      <c r="O364" s="176">
        <f t="shared" si="122"/>
        <v>0</v>
      </c>
      <c r="P364" s="176">
        <f t="shared" si="127"/>
        <v>0</v>
      </c>
      <c r="Q364" s="176">
        <f t="shared" si="123"/>
        <v>0</v>
      </c>
      <c r="R364" s="176">
        <f t="shared" si="124"/>
        <v>0</v>
      </c>
      <c r="S364" s="176">
        <f t="shared" si="128"/>
        <v>0</v>
      </c>
      <c r="T364" s="176">
        <f t="shared" si="125"/>
        <v>0</v>
      </c>
      <c r="U364" s="176">
        <f t="shared" si="129"/>
        <v>0</v>
      </c>
    </row>
    <row r="365" spans="1:21" s="43" customFormat="1" ht="15.75">
      <c r="A365" s="173">
        <v>13</v>
      </c>
      <c r="B365" s="174" t="s">
        <v>47</v>
      </c>
      <c r="C365" s="173" t="s">
        <v>195</v>
      </c>
      <c r="D365" s="175">
        <v>16</v>
      </c>
      <c r="E365" s="173">
        <v>25015</v>
      </c>
      <c r="F365" s="173">
        <v>4</v>
      </c>
      <c r="G365" s="176">
        <f t="shared" si="126"/>
        <v>100060</v>
      </c>
      <c r="H365" s="10"/>
      <c r="I365" s="176">
        <f t="shared" si="118"/>
        <v>100060</v>
      </c>
      <c r="J365" s="176">
        <f t="shared" si="119"/>
        <v>0</v>
      </c>
      <c r="K365" s="176">
        <f t="shared" si="120"/>
        <v>25015</v>
      </c>
      <c r="L365" s="10"/>
      <c r="M365" s="176">
        <f t="shared" si="121"/>
        <v>25015</v>
      </c>
      <c r="N365" s="176">
        <f>'Secandary-7'!P114</f>
        <v>0</v>
      </c>
      <c r="O365" s="176">
        <f t="shared" si="122"/>
        <v>25015</v>
      </c>
      <c r="P365" s="176">
        <f t="shared" si="127"/>
        <v>0</v>
      </c>
      <c r="Q365" s="176">
        <f t="shared" si="123"/>
        <v>0</v>
      </c>
      <c r="R365" s="176">
        <f t="shared" si="124"/>
        <v>400.24</v>
      </c>
      <c r="S365" s="176">
        <f t="shared" si="128"/>
        <v>5.3365333333333336</v>
      </c>
      <c r="T365" s="176">
        <f t="shared" si="125"/>
        <v>0</v>
      </c>
      <c r="U365" s="176">
        <f t="shared" si="129"/>
        <v>5.3365333333333336</v>
      </c>
    </row>
    <row r="366" spans="1:21" s="43" customFormat="1" ht="15.75">
      <c r="A366" s="173">
        <v>14</v>
      </c>
      <c r="B366" s="174" t="s">
        <v>193</v>
      </c>
      <c r="C366" s="173" t="s">
        <v>195</v>
      </c>
      <c r="D366" s="175">
        <v>18.5</v>
      </c>
      <c r="E366" s="173">
        <v>560</v>
      </c>
      <c r="F366" s="173">
        <v>5.25</v>
      </c>
      <c r="G366" s="176">
        <f t="shared" si="126"/>
        <v>2940</v>
      </c>
      <c r="H366" s="10"/>
      <c r="I366" s="176">
        <f t="shared" si="118"/>
        <v>2940</v>
      </c>
      <c r="J366" s="176">
        <f t="shared" si="119"/>
        <v>0</v>
      </c>
      <c r="K366" s="176">
        <f t="shared" si="120"/>
        <v>560</v>
      </c>
      <c r="L366" s="10"/>
      <c r="M366" s="176">
        <f t="shared" si="121"/>
        <v>560</v>
      </c>
      <c r="N366" s="176">
        <f>'Secandary-7'!Q114</f>
        <v>0</v>
      </c>
      <c r="O366" s="176">
        <f t="shared" si="122"/>
        <v>560</v>
      </c>
      <c r="P366" s="176">
        <f t="shared" si="127"/>
        <v>0</v>
      </c>
      <c r="Q366" s="176">
        <f t="shared" si="123"/>
        <v>0</v>
      </c>
      <c r="R366" s="176">
        <f t="shared" si="124"/>
        <v>10.36</v>
      </c>
      <c r="S366" s="176">
        <f t="shared" si="128"/>
        <v>0.13813333333333333</v>
      </c>
      <c r="T366" s="176">
        <f t="shared" si="125"/>
        <v>0</v>
      </c>
      <c r="U366" s="176">
        <f t="shared" si="129"/>
        <v>0.13813333333333333</v>
      </c>
    </row>
    <row r="367" spans="1:21" s="43" customFormat="1" ht="15.75">
      <c r="A367" s="173">
        <v>15</v>
      </c>
      <c r="B367" s="174" t="s">
        <v>48</v>
      </c>
      <c r="C367" s="173" t="s">
        <v>195</v>
      </c>
      <c r="D367" s="175">
        <v>15.5</v>
      </c>
      <c r="E367" s="173">
        <v>21320</v>
      </c>
      <c r="F367" s="173">
        <v>4.75</v>
      </c>
      <c r="G367" s="176">
        <f t="shared" si="126"/>
        <v>101270</v>
      </c>
      <c r="H367" s="10"/>
      <c r="I367" s="176">
        <f t="shared" si="118"/>
        <v>101270</v>
      </c>
      <c r="J367" s="176">
        <f t="shared" si="119"/>
        <v>0</v>
      </c>
      <c r="K367" s="176">
        <f t="shared" si="120"/>
        <v>21320</v>
      </c>
      <c r="L367" s="10"/>
      <c r="M367" s="176">
        <f t="shared" si="121"/>
        <v>21320</v>
      </c>
      <c r="N367" s="176">
        <f>'Secandary-7'!R114</f>
        <v>0</v>
      </c>
      <c r="O367" s="176">
        <f t="shared" si="122"/>
        <v>21320</v>
      </c>
      <c r="P367" s="176">
        <f t="shared" si="127"/>
        <v>0</v>
      </c>
      <c r="Q367" s="176">
        <f t="shared" si="123"/>
        <v>0</v>
      </c>
      <c r="R367" s="176">
        <f t="shared" si="124"/>
        <v>330.46</v>
      </c>
      <c r="S367" s="176">
        <f t="shared" si="128"/>
        <v>4.406133333333333</v>
      </c>
      <c r="T367" s="176">
        <f t="shared" si="125"/>
        <v>0</v>
      </c>
      <c r="U367" s="176">
        <f t="shared" si="129"/>
        <v>4.406133333333333</v>
      </c>
    </row>
    <row r="368" spans="1:21" s="43" customFormat="1" ht="15.75">
      <c r="A368" s="173">
        <v>16</v>
      </c>
      <c r="B368" s="174" t="s">
        <v>75</v>
      </c>
      <c r="C368" s="173" t="s">
        <v>195</v>
      </c>
      <c r="D368" s="175">
        <v>10.5</v>
      </c>
      <c r="E368" s="173">
        <v>6220</v>
      </c>
      <c r="F368" s="173">
        <v>3.25</v>
      </c>
      <c r="G368" s="176">
        <f t="shared" si="126"/>
        <v>20215</v>
      </c>
      <c r="H368" s="10"/>
      <c r="I368" s="176">
        <f t="shared" si="118"/>
        <v>20215</v>
      </c>
      <c r="J368" s="176">
        <f t="shared" si="119"/>
        <v>0</v>
      </c>
      <c r="K368" s="176">
        <f t="shared" si="120"/>
        <v>6220</v>
      </c>
      <c r="L368" s="10"/>
      <c r="M368" s="176">
        <f t="shared" si="121"/>
        <v>6220</v>
      </c>
      <c r="N368" s="176">
        <f>'Secandary-7'!S114</f>
        <v>0</v>
      </c>
      <c r="O368" s="176">
        <f t="shared" si="122"/>
        <v>6220</v>
      </c>
      <c r="P368" s="176">
        <f t="shared" si="127"/>
        <v>0</v>
      </c>
      <c r="Q368" s="176">
        <f t="shared" si="123"/>
        <v>0</v>
      </c>
      <c r="R368" s="176">
        <f t="shared" si="124"/>
        <v>65.31</v>
      </c>
      <c r="S368" s="176">
        <f t="shared" si="128"/>
        <v>0.87080000000000002</v>
      </c>
      <c r="T368" s="176">
        <f t="shared" si="125"/>
        <v>0</v>
      </c>
      <c r="U368" s="176">
        <f t="shared" si="129"/>
        <v>0.87080000000000002</v>
      </c>
    </row>
    <row r="369" spans="1:21" s="43" customFormat="1" ht="15.75">
      <c r="A369" s="173">
        <v>17</v>
      </c>
      <c r="B369" s="174" t="s">
        <v>76</v>
      </c>
      <c r="C369" s="173" t="s">
        <v>195</v>
      </c>
      <c r="D369" s="175">
        <v>11.5</v>
      </c>
      <c r="E369" s="173">
        <v>55</v>
      </c>
      <c r="F369" s="173">
        <v>3.75</v>
      </c>
      <c r="G369" s="176">
        <f t="shared" si="126"/>
        <v>206.25</v>
      </c>
      <c r="H369" s="10"/>
      <c r="I369" s="176">
        <f t="shared" si="118"/>
        <v>206.25</v>
      </c>
      <c r="J369" s="176">
        <f t="shared" si="119"/>
        <v>0</v>
      </c>
      <c r="K369" s="176">
        <f t="shared" si="120"/>
        <v>55</v>
      </c>
      <c r="L369" s="10"/>
      <c r="M369" s="176">
        <f t="shared" si="121"/>
        <v>55</v>
      </c>
      <c r="N369" s="176">
        <f>'Secandary-7'!T114</f>
        <v>0</v>
      </c>
      <c r="O369" s="176">
        <f t="shared" si="122"/>
        <v>55</v>
      </c>
      <c r="P369" s="176">
        <f t="shared" si="127"/>
        <v>0</v>
      </c>
      <c r="Q369" s="176">
        <f t="shared" si="123"/>
        <v>0</v>
      </c>
      <c r="R369" s="176">
        <f t="shared" si="124"/>
        <v>0.63249999999999995</v>
      </c>
      <c r="S369" s="176">
        <f t="shared" si="128"/>
        <v>8.4333333333333326E-3</v>
      </c>
      <c r="T369" s="176">
        <f t="shared" si="125"/>
        <v>0</v>
      </c>
      <c r="U369" s="176">
        <f t="shared" si="129"/>
        <v>8.4333333333333326E-3</v>
      </c>
    </row>
    <row r="370" spans="1:21" s="43" customFormat="1" ht="15.75">
      <c r="A370" s="173">
        <v>18</v>
      </c>
      <c r="B370" s="174" t="s">
        <v>51</v>
      </c>
      <c r="C370" s="173" t="s">
        <v>195</v>
      </c>
      <c r="D370" s="175">
        <v>14</v>
      </c>
      <c r="E370" s="173"/>
      <c r="F370" s="173">
        <v>4</v>
      </c>
      <c r="G370" s="176">
        <f t="shared" si="126"/>
        <v>0</v>
      </c>
      <c r="H370" s="10"/>
      <c r="I370" s="176">
        <f t="shared" si="118"/>
        <v>0</v>
      </c>
      <c r="J370" s="176">
        <f t="shared" si="119"/>
        <v>0</v>
      </c>
      <c r="K370" s="176">
        <f t="shared" si="120"/>
        <v>0</v>
      </c>
      <c r="L370" s="10"/>
      <c r="M370" s="176">
        <f t="shared" si="121"/>
        <v>0</v>
      </c>
      <c r="N370" s="176">
        <f>'Secandary-7'!U114</f>
        <v>0</v>
      </c>
      <c r="O370" s="176">
        <f t="shared" si="122"/>
        <v>0</v>
      </c>
      <c r="P370" s="176">
        <f t="shared" si="127"/>
        <v>0</v>
      </c>
      <c r="Q370" s="176">
        <f t="shared" si="123"/>
        <v>0</v>
      </c>
      <c r="R370" s="176">
        <f t="shared" si="124"/>
        <v>0</v>
      </c>
      <c r="S370" s="176">
        <f t="shared" si="128"/>
        <v>0</v>
      </c>
      <c r="T370" s="176">
        <f t="shared" si="125"/>
        <v>0</v>
      </c>
      <c r="U370" s="176">
        <f t="shared" si="129"/>
        <v>0</v>
      </c>
    </row>
    <row r="371" spans="1:21" s="43" customFormat="1" ht="15.75">
      <c r="A371" s="176">
        <v>19</v>
      </c>
      <c r="B371" s="177" t="s">
        <v>112</v>
      </c>
      <c r="C371" s="173" t="s">
        <v>195</v>
      </c>
      <c r="D371" s="175">
        <v>8.5</v>
      </c>
      <c r="E371" s="173"/>
      <c r="F371" s="173">
        <v>2.25</v>
      </c>
      <c r="G371" s="176">
        <f t="shared" si="126"/>
        <v>0</v>
      </c>
      <c r="H371" s="10"/>
      <c r="I371" s="176">
        <f t="shared" si="118"/>
        <v>0</v>
      </c>
      <c r="J371" s="176">
        <f t="shared" si="119"/>
        <v>0</v>
      </c>
      <c r="K371" s="176">
        <f t="shared" si="120"/>
        <v>0</v>
      </c>
      <c r="L371" s="10"/>
      <c r="M371" s="176">
        <f t="shared" si="121"/>
        <v>0</v>
      </c>
      <c r="N371" s="176">
        <f>'Secandary-7'!V114</f>
        <v>0</v>
      </c>
      <c r="O371" s="176">
        <f t="shared" si="122"/>
        <v>0</v>
      </c>
      <c r="P371" s="176">
        <f t="shared" si="127"/>
        <v>0</v>
      </c>
      <c r="Q371" s="176">
        <f t="shared" si="123"/>
        <v>0</v>
      </c>
      <c r="R371" s="176">
        <f t="shared" si="124"/>
        <v>0</v>
      </c>
      <c r="S371" s="176">
        <f t="shared" si="128"/>
        <v>0</v>
      </c>
      <c r="T371" s="176">
        <f t="shared" si="125"/>
        <v>0</v>
      </c>
      <c r="U371" s="176">
        <f t="shared" si="129"/>
        <v>0</v>
      </c>
    </row>
    <row r="372" spans="1:21" s="43" customFormat="1" ht="15.75">
      <c r="A372" s="176">
        <v>20</v>
      </c>
      <c r="B372" s="177" t="s">
        <v>137</v>
      </c>
      <c r="C372" s="173" t="s">
        <v>195</v>
      </c>
      <c r="D372" s="175">
        <v>9.5</v>
      </c>
      <c r="E372" s="173"/>
      <c r="F372" s="173">
        <v>2.75</v>
      </c>
      <c r="G372" s="176">
        <f t="shared" si="126"/>
        <v>0</v>
      </c>
      <c r="H372" s="10"/>
      <c r="I372" s="176">
        <f t="shared" si="118"/>
        <v>0</v>
      </c>
      <c r="J372" s="176">
        <f t="shared" si="119"/>
        <v>0</v>
      </c>
      <c r="K372" s="176">
        <f t="shared" si="120"/>
        <v>0</v>
      </c>
      <c r="L372" s="10"/>
      <c r="M372" s="176">
        <f t="shared" si="121"/>
        <v>0</v>
      </c>
      <c r="N372" s="176">
        <f>'Secandary-7'!W114</f>
        <v>0</v>
      </c>
      <c r="O372" s="176">
        <f t="shared" si="122"/>
        <v>0</v>
      </c>
      <c r="P372" s="176">
        <f t="shared" si="127"/>
        <v>0</v>
      </c>
      <c r="Q372" s="176">
        <f t="shared" si="123"/>
        <v>0</v>
      </c>
      <c r="R372" s="176">
        <f t="shared" si="124"/>
        <v>0</v>
      </c>
      <c r="S372" s="176">
        <f t="shared" si="128"/>
        <v>0</v>
      </c>
      <c r="T372" s="176">
        <f t="shared" si="125"/>
        <v>0</v>
      </c>
      <c r="U372" s="176">
        <f t="shared" si="129"/>
        <v>0</v>
      </c>
    </row>
    <row r="373" spans="1:21" s="43" customFormat="1" ht="15.75">
      <c r="A373" s="176">
        <v>21</v>
      </c>
      <c r="B373" s="177" t="s">
        <v>149</v>
      </c>
      <c r="C373" s="173" t="s">
        <v>195</v>
      </c>
      <c r="D373" s="175">
        <v>14</v>
      </c>
      <c r="E373" s="173"/>
      <c r="F373" s="173">
        <v>4</v>
      </c>
      <c r="G373" s="176">
        <f t="shared" si="126"/>
        <v>0</v>
      </c>
      <c r="H373" s="10"/>
      <c r="I373" s="176">
        <f t="shared" si="118"/>
        <v>0</v>
      </c>
      <c r="J373" s="176">
        <f t="shared" si="119"/>
        <v>0</v>
      </c>
      <c r="K373" s="176">
        <f t="shared" si="120"/>
        <v>0</v>
      </c>
      <c r="L373" s="10"/>
      <c r="M373" s="176">
        <f t="shared" si="121"/>
        <v>0</v>
      </c>
      <c r="N373" s="176">
        <f>'Secandary-7'!X114</f>
        <v>0</v>
      </c>
      <c r="O373" s="176">
        <f t="shared" si="122"/>
        <v>0</v>
      </c>
      <c r="P373" s="176">
        <f t="shared" si="127"/>
        <v>0</v>
      </c>
      <c r="Q373" s="176">
        <f t="shared" si="123"/>
        <v>0</v>
      </c>
      <c r="R373" s="176">
        <f t="shared" si="124"/>
        <v>0</v>
      </c>
      <c r="S373" s="176">
        <f t="shared" si="128"/>
        <v>0</v>
      </c>
      <c r="T373" s="176">
        <f t="shared" si="125"/>
        <v>0</v>
      </c>
      <c r="U373" s="176">
        <f t="shared" si="129"/>
        <v>0</v>
      </c>
    </row>
    <row r="374" spans="1:21" s="43" customFormat="1" ht="21" customHeight="1">
      <c r="A374" s="176">
        <v>22</v>
      </c>
      <c r="B374" s="177" t="s">
        <v>99</v>
      </c>
      <c r="C374" s="173" t="s">
        <v>195</v>
      </c>
      <c r="D374" s="175">
        <v>11.5</v>
      </c>
      <c r="E374" s="173"/>
      <c r="F374" s="173">
        <v>3.75</v>
      </c>
      <c r="G374" s="176">
        <f t="shared" si="126"/>
        <v>0</v>
      </c>
      <c r="H374" s="10"/>
      <c r="I374" s="176">
        <f t="shared" si="118"/>
        <v>0</v>
      </c>
      <c r="J374" s="176">
        <f t="shared" si="119"/>
        <v>0</v>
      </c>
      <c r="K374" s="176">
        <f t="shared" si="120"/>
        <v>0</v>
      </c>
      <c r="L374" s="10"/>
      <c r="M374" s="176">
        <f t="shared" si="121"/>
        <v>0</v>
      </c>
      <c r="N374" s="176">
        <f>'Secandary-7'!Y114</f>
        <v>0</v>
      </c>
      <c r="O374" s="176">
        <f t="shared" si="122"/>
        <v>0</v>
      </c>
      <c r="P374" s="176">
        <f t="shared" si="127"/>
        <v>0</v>
      </c>
      <c r="Q374" s="176">
        <f t="shared" si="123"/>
        <v>0</v>
      </c>
      <c r="R374" s="176">
        <f t="shared" si="124"/>
        <v>0</v>
      </c>
      <c r="S374" s="176">
        <f t="shared" si="128"/>
        <v>0</v>
      </c>
      <c r="T374" s="176">
        <f t="shared" si="125"/>
        <v>0</v>
      </c>
      <c r="U374" s="176">
        <f t="shared" si="129"/>
        <v>0</v>
      </c>
    </row>
    <row r="375" spans="1:21" s="43" customFormat="1" ht="18.600000000000001" customHeight="1">
      <c r="A375" s="383" t="s">
        <v>67</v>
      </c>
      <c r="B375" s="383"/>
      <c r="C375" s="383"/>
      <c r="D375" s="383"/>
      <c r="E375" s="143">
        <f t="shared" ref="E375:U375" si="130">SUM(E353:E374)</f>
        <v>303805</v>
      </c>
      <c r="F375" s="143">
        <f t="shared" si="130"/>
        <v>87</v>
      </c>
      <c r="G375" s="143">
        <f t="shared" si="130"/>
        <v>1376488.75</v>
      </c>
      <c r="H375" s="143">
        <f t="shared" si="130"/>
        <v>0</v>
      </c>
      <c r="I375" s="143">
        <f t="shared" si="130"/>
        <v>1376488.75</v>
      </c>
      <c r="J375" s="143">
        <f t="shared" si="130"/>
        <v>0</v>
      </c>
      <c r="K375" s="143">
        <f t="shared" si="130"/>
        <v>303805</v>
      </c>
      <c r="L375" s="143">
        <f t="shared" si="130"/>
        <v>0</v>
      </c>
      <c r="M375" s="143">
        <f t="shared" si="130"/>
        <v>303805</v>
      </c>
      <c r="N375" s="143">
        <f t="shared" si="130"/>
        <v>0</v>
      </c>
      <c r="O375" s="143">
        <f t="shared" si="130"/>
        <v>303805</v>
      </c>
      <c r="P375" s="143">
        <f t="shared" si="130"/>
        <v>0</v>
      </c>
      <c r="Q375" s="143">
        <f t="shared" si="130"/>
        <v>0</v>
      </c>
      <c r="R375" s="143">
        <f t="shared" si="130"/>
        <v>4840.7349999999997</v>
      </c>
      <c r="S375" s="143">
        <f t="shared" si="130"/>
        <v>64.543133333333344</v>
      </c>
      <c r="T375" s="143">
        <f t="shared" si="130"/>
        <v>0</v>
      </c>
      <c r="U375" s="143">
        <f t="shared" si="130"/>
        <v>64.543133333333344</v>
      </c>
    </row>
    <row r="376" spans="1:21" s="43" customFormat="1" ht="18.600000000000001" customHeight="1">
      <c r="A376" s="30"/>
      <c r="B376" s="28"/>
      <c r="C376" s="30"/>
      <c r="D376" s="31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</row>
    <row r="377" spans="1:21" s="43" customFormat="1">
      <c r="A377" s="30"/>
      <c r="B377" s="28"/>
      <c r="C377" s="30"/>
      <c r="D377" s="31"/>
      <c r="E377" s="30"/>
      <c r="F377" s="30"/>
      <c r="G377" s="30"/>
      <c r="H377" s="30"/>
      <c r="I377" s="30"/>
      <c r="J377" s="30"/>
      <c r="K377" s="30"/>
      <c r="L377" s="30"/>
      <c r="M377" s="122"/>
      <c r="N377" s="122"/>
      <c r="O377" s="122"/>
      <c r="P377" s="122"/>
      <c r="Q377" s="67"/>
      <c r="R377" s="67"/>
      <c r="S377" s="67"/>
      <c r="T377" s="67"/>
      <c r="U377" s="67"/>
    </row>
    <row r="378" spans="1:21" s="43" customFormat="1" ht="15.75">
      <c r="A378" s="61"/>
      <c r="B378" s="61"/>
      <c r="C378" s="61"/>
      <c r="D378" s="61"/>
      <c r="E378" s="62"/>
      <c r="F378" s="62"/>
      <c r="G378" s="62"/>
      <c r="H378" s="62"/>
      <c r="I378" s="62"/>
      <c r="J378" s="62"/>
      <c r="K378" s="62"/>
      <c r="L378" s="62"/>
      <c r="M378" s="63"/>
      <c r="N378" s="63"/>
      <c r="O378" s="63"/>
      <c r="P378" s="63"/>
      <c r="Q378" s="387" t="s">
        <v>254</v>
      </c>
      <c r="R378" s="387"/>
      <c r="S378" s="387"/>
      <c r="T378" s="387"/>
      <c r="U378" s="387"/>
    </row>
    <row r="379" spans="1:21" ht="41.25">
      <c r="A379" s="388" t="s">
        <v>178</v>
      </c>
      <c r="B379" s="388"/>
      <c r="C379" s="388"/>
      <c r="D379" s="388"/>
      <c r="E379" s="388"/>
      <c r="F379" s="388"/>
      <c r="G379" s="388"/>
      <c r="H379" s="388"/>
      <c r="I379" s="388"/>
      <c r="J379" s="388"/>
      <c r="K379" s="388"/>
      <c r="L379" s="388"/>
      <c r="M379" s="388"/>
      <c r="N379" s="388"/>
      <c r="O379" s="388"/>
      <c r="P379" s="388"/>
      <c r="Q379" s="388"/>
      <c r="R379" s="388"/>
      <c r="S379" s="388"/>
      <c r="T379" s="388"/>
      <c r="U379" s="388"/>
    </row>
    <row r="380" spans="1:21" ht="20.25">
      <c r="A380" s="379" t="s">
        <v>253</v>
      </c>
      <c r="B380" s="379"/>
      <c r="C380" s="379"/>
      <c r="D380" s="379"/>
      <c r="E380" s="379"/>
      <c r="F380" s="379"/>
      <c r="G380" s="379"/>
      <c r="H380" s="379"/>
      <c r="I380" s="379"/>
      <c r="J380" s="379"/>
      <c r="K380" s="379"/>
      <c r="L380" s="379"/>
      <c r="M380" s="379"/>
      <c r="N380" s="379"/>
      <c r="O380" s="379"/>
      <c r="P380" s="379"/>
      <c r="Q380" s="379"/>
      <c r="R380" s="379"/>
      <c r="S380" s="379"/>
      <c r="T380" s="379"/>
      <c r="U380" s="379"/>
    </row>
    <row r="381" spans="1:21" ht="17.25">
      <c r="A381" s="313" t="s">
        <v>274</v>
      </c>
      <c r="B381" s="313"/>
      <c r="C381" s="313"/>
      <c r="D381" s="313"/>
      <c r="E381" s="313"/>
      <c r="F381" s="313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  <c r="T381" s="313"/>
      <c r="U381" s="313"/>
    </row>
    <row r="382" spans="1:21" ht="20.25">
      <c r="A382" s="386" t="s">
        <v>277</v>
      </c>
      <c r="B382" s="386"/>
      <c r="C382" s="386"/>
      <c r="D382" s="386"/>
      <c r="E382" s="386"/>
      <c r="F382" s="386"/>
      <c r="G382" s="386"/>
      <c r="H382" s="386"/>
      <c r="I382" s="386"/>
      <c r="J382" s="386"/>
      <c r="K382" s="386"/>
      <c r="L382" s="386"/>
      <c r="M382" s="386"/>
      <c r="N382" s="386"/>
      <c r="O382" s="386"/>
      <c r="P382" s="386"/>
      <c r="Q382" s="386"/>
      <c r="R382" s="378" t="str">
        <f>R4</f>
        <v>ZvwiLt-02/08/26</v>
      </c>
      <c r="S382" s="378"/>
      <c r="T382" s="378"/>
      <c r="U382" s="378"/>
    </row>
    <row r="383" spans="1:21">
      <c r="A383" s="389" t="s">
        <v>15</v>
      </c>
      <c r="B383" s="389" t="s">
        <v>64</v>
      </c>
      <c r="C383" s="389" t="s">
        <v>65</v>
      </c>
      <c r="D383" s="380" t="s">
        <v>66</v>
      </c>
      <c r="E383" s="161" t="s">
        <v>88</v>
      </c>
      <c r="F383" s="145" t="s">
        <v>157</v>
      </c>
      <c r="G383" s="374" t="s">
        <v>138</v>
      </c>
      <c r="H383" s="375"/>
      <c r="I383" s="376"/>
      <c r="J383" s="377" t="s">
        <v>139</v>
      </c>
      <c r="K383" s="377"/>
      <c r="L383" s="377" t="s">
        <v>86</v>
      </c>
      <c r="M383" s="377"/>
      <c r="N383" s="377" t="s">
        <v>25</v>
      </c>
      <c r="O383" s="377"/>
      <c r="P383" s="377" t="s">
        <v>87</v>
      </c>
      <c r="Q383" s="382" t="s">
        <v>199</v>
      </c>
      <c r="R383" s="377" t="s">
        <v>140</v>
      </c>
      <c r="S383" s="377"/>
      <c r="T383" s="377"/>
      <c r="U383" s="377"/>
    </row>
    <row r="384" spans="1:21" ht="21" customHeight="1">
      <c r="A384" s="390"/>
      <c r="B384" s="390"/>
      <c r="C384" s="390"/>
      <c r="D384" s="381"/>
      <c r="E384" s="145" t="s">
        <v>258</v>
      </c>
      <c r="F384" s="145"/>
      <c r="G384" s="139" t="s">
        <v>189</v>
      </c>
      <c r="H384" s="145" t="s">
        <v>85</v>
      </c>
      <c r="I384" s="145" t="s">
        <v>70</v>
      </c>
      <c r="J384" s="148" t="s">
        <v>85</v>
      </c>
      <c r="K384" s="148" t="s">
        <v>70</v>
      </c>
      <c r="L384" s="145" t="s">
        <v>86</v>
      </c>
      <c r="M384" s="148" t="s">
        <v>70</v>
      </c>
      <c r="N384" s="148" t="s">
        <v>25</v>
      </c>
      <c r="O384" s="148" t="s">
        <v>70</v>
      </c>
      <c r="P384" s="377"/>
      <c r="Q384" s="382"/>
      <c r="R384" s="148" t="s">
        <v>155</v>
      </c>
      <c r="S384" s="148" t="s">
        <v>156</v>
      </c>
      <c r="T384" s="148" t="s">
        <v>141</v>
      </c>
      <c r="U384" s="148" t="s">
        <v>70</v>
      </c>
    </row>
    <row r="385" spans="1:21" ht="18.600000000000001" customHeight="1">
      <c r="A385" s="176">
        <v>1</v>
      </c>
      <c r="B385" s="177" t="s">
        <v>147</v>
      </c>
      <c r="C385" s="173" t="s">
        <v>94</v>
      </c>
      <c r="D385" s="178">
        <v>32.5</v>
      </c>
      <c r="E385" s="176">
        <v>59742</v>
      </c>
      <c r="F385" s="176">
        <v>8.25</v>
      </c>
      <c r="G385" s="176">
        <f>F385*E385</f>
        <v>492871.5</v>
      </c>
      <c r="H385" s="10"/>
      <c r="I385" s="176">
        <f t="shared" ref="I385:I400" si="131">G385-H385</f>
        <v>492871.5</v>
      </c>
      <c r="J385" s="176">
        <f t="shared" ref="J385:J400" si="132">H385/F385</f>
        <v>0</v>
      </c>
      <c r="K385" s="176">
        <f t="shared" ref="K385:K400" si="133">E385-J385</f>
        <v>59742</v>
      </c>
      <c r="L385" s="10"/>
      <c r="M385" s="176">
        <f t="shared" ref="M385:M400" si="134">E385-L385</f>
        <v>59742</v>
      </c>
      <c r="N385" s="176">
        <f>'Nine-Ten(Bangla)'!D8</f>
        <v>0</v>
      </c>
      <c r="O385" s="176">
        <f t="shared" ref="O385:O400" si="135">E385-N385</f>
        <v>59742</v>
      </c>
      <c r="P385" s="176">
        <f>L385-N385</f>
        <v>0</v>
      </c>
      <c r="Q385" s="176">
        <f t="shared" ref="Q385:Q400" si="136">D385*L385/1000</f>
        <v>0</v>
      </c>
      <c r="R385" s="176">
        <f t="shared" ref="R385:R400" si="137">D385*E385/1000</f>
        <v>1941.615</v>
      </c>
      <c r="S385" s="176">
        <f>R385/75</f>
        <v>25.888200000000001</v>
      </c>
      <c r="T385" s="176">
        <f t="shared" ref="T385:T400" si="138">D385*J385/1000/75</f>
        <v>0</v>
      </c>
      <c r="U385" s="176">
        <f>S385-T385</f>
        <v>25.888200000000001</v>
      </c>
    </row>
    <row r="386" spans="1:21" ht="18.600000000000001" customHeight="1">
      <c r="A386" s="176">
        <v>2</v>
      </c>
      <c r="B386" s="177" t="s">
        <v>27</v>
      </c>
      <c r="C386" s="173" t="s">
        <v>94</v>
      </c>
      <c r="D386" s="178">
        <v>26.5</v>
      </c>
      <c r="E386" s="176">
        <v>59742</v>
      </c>
      <c r="F386" s="176">
        <v>7.25</v>
      </c>
      <c r="G386" s="176">
        <f t="shared" ref="G386:G400" si="139">F386*E386</f>
        <v>433129.5</v>
      </c>
      <c r="H386" s="10"/>
      <c r="I386" s="176">
        <f t="shared" si="131"/>
        <v>433129.5</v>
      </c>
      <c r="J386" s="176">
        <f t="shared" si="132"/>
        <v>0</v>
      </c>
      <c r="K386" s="176">
        <f t="shared" si="133"/>
        <v>59742</v>
      </c>
      <c r="L386" s="10"/>
      <c r="M386" s="176">
        <f t="shared" si="134"/>
        <v>59742</v>
      </c>
      <c r="N386" s="176">
        <f>'Nine-Ten(Bangla)'!E8</f>
        <v>0</v>
      </c>
      <c r="O386" s="176">
        <f t="shared" si="135"/>
        <v>59742</v>
      </c>
      <c r="P386" s="176">
        <f t="shared" ref="P386:P400" si="140">L386-N386</f>
        <v>0</v>
      </c>
      <c r="Q386" s="176">
        <f t="shared" si="136"/>
        <v>0</v>
      </c>
      <c r="R386" s="176">
        <f t="shared" si="137"/>
        <v>1583.163</v>
      </c>
      <c r="S386" s="176">
        <f t="shared" ref="S386:S400" si="141">R386/75</f>
        <v>21.108840000000001</v>
      </c>
      <c r="T386" s="176">
        <f t="shared" si="138"/>
        <v>0</v>
      </c>
      <c r="U386" s="176">
        <f t="shared" ref="U386:U400" si="142">S386-T386</f>
        <v>21.108840000000001</v>
      </c>
    </row>
    <row r="387" spans="1:21" ht="15.75">
      <c r="A387" s="176">
        <v>3</v>
      </c>
      <c r="B387" s="177" t="s">
        <v>31</v>
      </c>
      <c r="C387" s="173" t="s">
        <v>94</v>
      </c>
      <c r="D387" s="178">
        <v>45</v>
      </c>
      <c r="E387" s="176">
        <v>59742</v>
      </c>
      <c r="F387" s="176">
        <v>11.5</v>
      </c>
      <c r="G387" s="176">
        <f t="shared" si="139"/>
        <v>687033</v>
      </c>
      <c r="H387" s="10"/>
      <c r="I387" s="176">
        <f t="shared" si="131"/>
        <v>687033</v>
      </c>
      <c r="J387" s="176">
        <f t="shared" si="132"/>
        <v>0</v>
      </c>
      <c r="K387" s="176">
        <f t="shared" si="133"/>
        <v>59742</v>
      </c>
      <c r="L387" s="10"/>
      <c r="M387" s="176">
        <f t="shared" si="134"/>
        <v>59742</v>
      </c>
      <c r="N387" s="176">
        <f>'Nine-Ten(Bangla)'!F8</f>
        <v>0</v>
      </c>
      <c r="O387" s="176">
        <f t="shared" si="135"/>
        <v>59742</v>
      </c>
      <c r="P387" s="176">
        <f t="shared" si="140"/>
        <v>0</v>
      </c>
      <c r="Q387" s="176">
        <f t="shared" si="136"/>
        <v>0</v>
      </c>
      <c r="R387" s="176">
        <f t="shared" si="137"/>
        <v>2688.39</v>
      </c>
      <c r="S387" s="176">
        <f t="shared" si="141"/>
        <v>35.845199999999998</v>
      </c>
      <c r="T387" s="176">
        <f t="shared" si="138"/>
        <v>0</v>
      </c>
      <c r="U387" s="176">
        <f t="shared" si="142"/>
        <v>35.845199999999998</v>
      </c>
    </row>
    <row r="388" spans="1:21" ht="15.75">
      <c r="A388" s="176">
        <v>4</v>
      </c>
      <c r="B388" s="177" t="s">
        <v>48</v>
      </c>
      <c r="C388" s="173" t="s">
        <v>94</v>
      </c>
      <c r="D388" s="178">
        <v>25.5</v>
      </c>
      <c r="E388" s="176">
        <v>54300</v>
      </c>
      <c r="F388" s="176">
        <v>6.75</v>
      </c>
      <c r="G388" s="176">
        <f t="shared" si="139"/>
        <v>366525</v>
      </c>
      <c r="H388" s="10"/>
      <c r="I388" s="176">
        <f t="shared" si="131"/>
        <v>366525</v>
      </c>
      <c r="J388" s="176">
        <f t="shared" si="132"/>
        <v>0</v>
      </c>
      <c r="K388" s="176">
        <f t="shared" si="133"/>
        <v>54300</v>
      </c>
      <c r="L388" s="10"/>
      <c r="M388" s="176">
        <f t="shared" si="134"/>
        <v>54300</v>
      </c>
      <c r="N388" s="176">
        <f>'Nine-Ten(Bangla)'!G8</f>
        <v>0</v>
      </c>
      <c r="O388" s="176">
        <f t="shared" si="135"/>
        <v>54300</v>
      </c>
      <c r="P388" s="176">
        <f t="shared" si="140"/>
        <v>0</v>
      </c>
      <c r="Q388" s="176">
        <f t="shared" si="136"/>
        <v>0</v>
      </c>
      <c r="R388" s="176">
        <f t="shared" si="137"/>
        <v>1384.65</v>
      </c>
      <c r="S388" s="176">
        <f t="shared" si="141"/>
        <v>18.462</v>
      </c>
      <c r="T388" s="176">
        <f t="shared" si="138"/>
        <v>0</v>
      </c>
      <c r="U388" s="176">
        <f t="shared" si="142"/>
        <v>18.462</v>
      </c>
    </row>
    <row r="389" spans="1:21" ht="15.75">
      <c r="A389" s="176">
        <v>5</v>
      </c>
      <c r="B389" s="177" t="s">
        <v>75</v>
      </c>
      <c r="C389" s="173" t="s">
        <v>94</v>
      </c>
      <c r="D389" s="178">
        <v>19.5</v>
      </c>
      <c r="E389" s="176">
        <v>4410</v>
      </c>
      <c r="F389" s="176">
        <v>5.75</v>
      </c>
      <c r="G389" s="176">
        <f t="shared" si="139"/>
        <v>25357.5</v>
      </c>
      <c r="H389" s="10"/>
      <c r="I389" s="176">
        <f t="shared" si="131"/>
        <v>25357.5</v>
      </c>
      <c r="J389" s="176">
        <f t="shared" si="132"/>
        <v>0</v>
      </c>
      <c r="K389" s="176">
        <f t="shared" si="133"/>
        <v>4410</v>
      </c>
      <c r="L389" s="10"/>
      <c r="M389" s="176">
        <f t="shared" si="134"/>
        <v>4410</v>
      </c>
      <c r="N389" s="176">
        <f>'Nine-Ten(Bangla)'!H8</f>
        <v>0</v>
      </c>
      <c r="O389" s="176">
        <f t="shared" si="135"/>
        <v>4410</v>
      </c>
      <c r="P389" s="176">
        <f t="shared" si="140"/>
        <v>0</v>
      </c>
      <c r="Q389" s="176">
        <f t="shared" si="136"/>
        <v>0</v>
      </c>
      <c r="R389" s="176">
        <f t="shared" si="137"/>
        <v>85.995000000000005</v>
      </c>
      <c r="S389" s="176">
        <f t="shared" si="141"/>
        <v>1.1466000000000001</v>
      </c>
      <c r="T389" s="176">
        <f t="shared" si="138"/>
        <v>0</v>
      </c>
      <c r="U389" s="176">
        <f t="shared" si="142"/>
        <v>1.1466000000000001</v>
      </c>
    </row>
    <row r="390" spans="1:21" ht="15.75">
      <c r="A390" s="176">
        <v>6</v>
      </c>
      <c r="B390" s="177" t="s">
        <v>76</v>
      </c>
      <c r="C390" s="173" t="s">
        <v>94</v>
      </c>
      <c r="D390" s="178">
        <v>18.5</v>
      </c>
      <c r="E390" s="176">
        <v>922</v>
      </c>
      <c r="F390" s="176">
        <v>5.25</v>
      </c>
      <c r="G390" s="176">
        <f t="shared" si="139"/>
        <v>4840.5</v>
      </c>
      <c r="H390" s="10"/>
      <c r="I390" s="176">
        <f t="shared" si="131"/>
        <v>4840.5</v>
      </c>
      <c r="J390" s="176">
        <f t="shared" si="132"/>
        <v>0</v>
      </c>
      <c r="K390" s="176">
        <f t="shared" si="133"/>
        <v>922</v>
      </c>
      <c r="L390" s="10"/>
      <c r="M390" s="176">
        <f t="shared" si="134"/>
        <v>922</v>
      </c>
      <c r="N390" s="176">
        <f>'Nine-Ten(Bangla)'!I8</f>
        <v>0</v>
      </c>
      <c r="O390" s="176">
        <f t="shared" si="135"/>
        <v>922</v>
      </c>
      <c r="P390" s="176">
        <f t="shared" si="140"/>
        <v>0</v>
      </c>
      <c r="Q390" s="176">
        <f t="shared" si="136"/>
        <v>0</v>
      </c>
      <c r="R390" s="176">
        <f t="shared" si="137"/>
        <v>17.056999999999999</v>
      </c>
      <c r="S390" s="176">
        <f t="shared" si="141"/>
        <v>0.22742666666666664</v>
      </c>
      <c r="T390" s="176">
        <f t="shared" si="138"/>
        <v>0</v>
      </c>
      <c r="U390" s="176">
        <f t="shared" si="142"/>
        <v>0.22742666666666664</v>
      </c>
    </row>
    <row r="391" spans="1:21" ht="15.75">
      <c r="A391" s="176">
        <v>7</v>
      </c>
      <c r="B391" s="177" t="s">
        <v>51</v>
      </c>
      <c r="C391" s="173" t="s">
        <v>94</v>
      </c>
      <c r="D391" s="178">
        <v>19.5</v>
      </c>
      <c r="E391" s="176">
        <v>110</v>
      </c>
      <c r="F391" s="176">
        <v>5.75</v>
      </c>
      <c r="G391" s="176">
        <f t="shared" si="139"/>
        <v>632.5</v>
      </c>
      <c r="H391" s="10"/>
      <c r="I391" s="176">
        <f t="shared" si="131"/>
        <v>632.5</v>
      </c>
      <c r="J391" s="176">
        <f t="shared" si="132"/>
        <v>0</v>
      </c>
      <c r="K391" s="176">
        <f t="shared" si="133"/>
        <v>110</v>
      </c>
      <c r="L391" s="10"/>
      <c r="M391" s="176">
        <f t="shared" si="134"/>
        <v>110</v>
      </c>
      <c r="N391" s="176">
        <f>'Nine-Ten(Bangla)'!J8</f>
        <v>0</v>
      </c>
      <c r="O391" s="176">
        <f t="shared" si="135"/>
        <v>110</v>
      </c>
      <c r="P391" s="176">
        <f t="shared" si="140"/>
        <v>0</v>
      </c>
      <c r="Q391" s="176">
        <f t="shared" si="136"/>
        <v>0</v>
      </c>
      <c r="R391" s="176">
        <f t="shared" si="137"/>
        <v>2.145</v>
      </c>
      <c r="S391" s="176">
        <f t="shared" si="141"/>
        <v>2.86E-2</v>
      </c>
      <c r="T391" s="176">
        <f t="shared" si="138"/>
        <v>0</v>
      </c>
      <c r="U391" s="176">
        <f t="shared" si="142"/>
        <v>2.86E-2</v>
      </c>
    </row>
    <row r="392" spans="1:21" ht="15.75">
      <c r="A392" s="176">
        <v>8</v>
      </c>
      <c r="B392" s="177" t="s">
        <v>95</v>
      </c>
      <c r="C392" s="173" t="s">
        <v>94</v>
      </c>
      <c r="D392" s="178">
        <v>29.5</v>
      </c>
      <c r="E392" s="176">
        <v>15675</v>
      </c>
      <c r="F392" s="176">
        <v>7.75</v>
      </c>
      <c r="G392" s="176">
        <f t="shared" si="139"/>
        <v>121481.25</v>
      </c>
      <c r="H392" s="10"/>
      <c r="I392" s="176">
        <f t="shared" si="131"/>
        <v>121481.25</v>
      </c>
      <c r="J392" s="176">
        <f t="shared" si="132"/>
        <v>0</v>
      </c>
      <c r="K392" s="176">
        <f t="shared" si="133"/>
        <v>15675</v>
      </c>
      <c r="L392" s="10"/>
      <c r="M392" s="176">
        <f t="shared" si="134"/>
        <v>15675</v>
      </c>
      <c r="N392" s="176">
        <f>'Nine-Ten(Bangla)'!K8</f>
        <v>0</v>
      </c>
      <c r="O392" s="176">
        <f t="shared" si="135"/>
        <v>15675</v>
      </c>
      <c r="P392" s="176">
        <f t="shared" si="140"/>
        <v>0</v>
      </c>
      <c r="Q392" s="176">
        <f t="shared" si="136"/>
        <v>0</v>
      </c>
      <c r="R392" s="176">
        <f t="shared" si="137"/>
        <v>462.41250000000002</v>
      </c>
      <c r="S392" s="176">
        <f t="shared" si="141"/>
        <v>6.1655000000000006</v>
      </c>
      <c r="T392" s="176">
        <f t="shared" si="138"/>
        <v>0</v>
      </c>
      <c r="U392" s="176">
        <f t="shared" si="142"/>
        <v>6.1655000000000006</v>
      </c>
    </row>
    <row r="393" spans="1:21" ht="15.75">
      <c r="A393" s="176">
        <v>9</v>
      </c>
      <c r="B393" s="177" t="s">
        <v>109</v>
      </c>
      <c r="C393" s="173" t="s">
        <v>94</v>
      </c>
      <c r="D393" s="178">
        <v>16.5</v>
      </c>
      <c r="E393" s="176">
        <v>13975</v>
      </c>
      <c r="F393" s="176">
        <v>4.25</v>
      </c>
      <c r="G393" s="176">
        <f t="shared" si="139"/>
        <v>59393.75</v>
      </c>
      <c r="H393" s="10"/>
      <c r="I393" s="176">
        <f t="shared" si="131"/>
        <v>59393.75</v>
      </c>
      <c r="J393" s="176">
        <f t="shared" si="132"/>
        <v>0</v>
      </c>
      <c r="K393" s="176">
        <f t="shared" si="133"/>
        <v>13975</v>
      </c>
      <c r="L393" s="10"/>
      <c r="M393" s="176">
        <f t="shared" si="134"/>
        <v>13975</v>
      </c>
      <c r="N393" s="176">
        <f>'Nine-Ten(Bangla)'!L8</f>
        <v>0</v>
      </c>
      <c r="O393" s="176">
        <f t="shared" si="135"/>
        <v>13975</v>
      </c>
      <c r="P393" s="176">
        <f t="shared" si="140"/>
        <v>0</v>
      </c>
      <c r="Q393" s="176">
        <f t="shared" si="136"/>
        <v>0</v>
      </c>
      <c r="R393" s="176">
        <f t="shared" si="137"/>
        <v>230.58750000000001</v>
      </c>
      <c r="S393" s="176">
        <f t="shared" si="141"/>
        <v>3.0745</v>
      </c>
      <c r="T393" s="176">
        <f t="shared" si="138"/>
        <v>0</v>
      </c>
      <c r="U393" s="176">
        <f t="shared" si="142"/>
        <v>3.0745</v>
      </c>
    </row>
    <row r="394" spans="1:21" ht="15.75">
      <c r="A394" s="176">
        <v>10</v>
      </c>
      <c r="B394" s="177" t="s">
        <v>96</v>
      </c>
      <c r="C394" s="173" t="s">
        <v>94</v>
      </c>
      <c r="D394" s="178">
        <v>24</v>
      </c>
      <c r="E394" s="176">
        <v>15675</v>
      </c>
      <c r="F394" s="176">
        <v>6</v>
      </c>
      <c r="G394" s="176">
        <f t="shared" si="139"/>
        <v>94050</v>
      </c>
      <c r="H394" s="10"/>
      <c r="I394" s="176">
        <f t="shared" si="131"/>
        <v>94050</v>
      </c>
      <c r="J394" s="176">
        <f t="shared" si="132"/>
        <v>0</v>
      </c>
      <c r="K394" s="176">
        <f t="shared" si="133"/>
        <v>15675</v>
      </c>
      <c r="L394" s="10"/>
      <c r="M394" s="176">
        <f t="shared" si="134"/>
        <v>15675</v>
      </c>
      <c r="N394" s="176">
        <f>'Nine-Ten(Bangla)'!M8</f>
        <v>0</v>
      </c>
      <c r="O394" s="176">
        <f t="shared" si="135"/>
        <v>15675</v>
      </c>
      <c r="P394" s="176">
        <f t="shared" si="140"/>
        <v>0</v>
      </c>
      <c r="Q394" s="176">
        <f t="shared" si="136"/>
        <v>0</v>
      </c>
      <c r="R394" s="176">
        <f t="shared" si="137"/>
        <v>376.2</v>
      </c>
      <c r="S394" s="176">
        <f t="shared" si="141"/>
        <v>5.016</v>
      </c>
      <c r="T394" s="176">
        <f t="shared" si="138"/>
        <v>0</v>
      </c>
      <c r="U394" s="176">
        <f t="shared" si="142"/>
        <v>5.016</v>
      </c>
    </row>
    <row r="395" spans="1:21" ht="15.75">
      <c r="A395" s="176">
        <v>11</v>
      </c>
      <c r="B395" s="177" t="s">
        <v>97</v>
      </c>
      <c r="C395" s="173" t="s">
        <v>94</v>
      </c>
      <c r="D395" s="178">
        <v>19.5</v>
      </c>
      <c r="E395" s="176">
        <v>1700</v>
      </c>
      <c r="F395" s="176">
        <v>5.75</v>
      </c>
      <c r="G395" s="176">
        <f t="shared" si="139"/>
        <v>9775</v>
      </c>
      <c r="H395" s="10"/>
      <c r="I395" s="176">
        <f t="shared" si="131"/>
        <v>9775</v>
      </c>
      <c r="J395" s="176">
        <f t="shared" si="132"/>
        <v>0</v>
      </c>
      <c r="K395" s="176">
        <f t="shared" si="133"/>
        <v>1700</v>
      </c>
      <c r="L395" s="10"/>
      <c r="M395" s="176">
        <f t="shared" si="134"/>
        <v>1700</v>
      </c>
      <c r="N395" s="176">
        <f>'Nine-Ten(Bangla)'!N8</f>
        <v>0</v>
      </c>
      <c r="O395" s="176">
        <f t="shared" si="135"/>
        <v>1700</v>
      </c>
      <c r="P395" s="176">
        <f t="shared" si="140"/>
        <v>0</v>
      </c>
      <c r="Q395" s="176">
        <f t="shared" si="136"/>
        <v>0</v>
      </c>
      <c r="R395" s="176">
        <f t="shared" si="137"/>
        <v>33.15</v>
      </c>
      <c r="S395" s="176">
        <f t="shared" si="141"/>
        <v>0.442</v>
      </c>
      <c r="T395" s="176">
        <f t="shared" si="138"/>
        <v>0</v>
      </c>
      <c r="U395" s="176">
        <f t="shared" si="142"/>
        <v>0.442</v>
      </c>
    </row>
    <row r="396" spans="1:21" ht="15.75">
      <c r="A396" s="176">
        <v>12</v>
      </c>
      <c r="B396" s="177" t="s">
        <v>98</v>
      </c>
      <c r="C396" s="173" t="s">
        <v>94</v>
      </c>
      <c r="D396" s="178">
        <v>27.5</v>
      </c>
      <c r="E396" s="176">
        <v>19472</v>
      </c>
      <c r="F396" s="176">
        <v>7.75</v>
      </c>
      <c r="G396" s="176">
        <f t="shared" si="139"/>
        <v>150908</v>
      </c>
      <c r="H396" s="10"/>
      <c r="I396" s="176">
        <f t="shared" si="131"/>
        <v>150908</v>
      </c>
      <c r="J396" s="176">
        <f t="shared" si="132"/>
        <v>0</v>
      </c>
      <c r="K396" s="176">
        <f t="shared" si="133"/>
        <v>19472</v>
      </c>
      <c r="L396" s="10"/>
      <c r="M396" s="176">
        <f t="shared" si="134"/>
        <v>19472</v>
      </c>
      <c r="N396" s="176">
        <f>'Nine-Ten(Bangla)'!O8</f>
        <v>0</v>
      </c>
      <c r="O396" s="176">
        <f t="shared" si="135"/>
        <v>19472</v>
      </c>
      <c r="P396" s="176">
        <f t="shared" si="140"/>
        <v>0</v>
      </c>
      <c r="Q396" s="176">
        <f t="shared" si="136"/>
        <v>0</v>
      </c>
      <c r="R396" s="176">
        <f t="shared" si="137"/>
        <v>535.48</v>
      </c>
      <c r="S396" s="176">
        <f t="shared" si="141"/>
        <v>7.1397333333333339</v>
      </c>
      <c r="T396" s="176">
        <f t="shared" si="138"/>
        <v>0</v>
      </c>
      <c r="U396" s="176">
        <f t="shared" si="142"/>
        <v>7.1397333333333339</v>
      </c>
    </row>
    <row r="397" spans="1:21" ht="21" customHeight="1">
      <c r="A397" s="176">
        <v>13</v>
      </c>
      <c r="B397" s="177" t="s">
        <v>99</v>
      </c>
      <c r="C397" s="173" t="s">
        <v>94</v>
      </c>
      <c r="D397" s="178">
        <v>24.5</v>
      </c>
      <c r="E397" s="176"/>
      <c r="F397" s="176">
        <v>6.25</v>
      </c>
      <c r="G397" s="176">
        <f t="shared" si="139"/>
        <v>0</v>
      </c>
      <c r="H397" s="10"/>
      <c r="I397" s="176">
        <f t="shared" si="131"/>
        <v>0</v>
      </c>
      <c r="J397" s="176">
        <f t="shared" si="132"/>
        <v>0</v>
      </c>
      <c r="K397" s="176">
        <f t="shared" si="133"/>
        <v>0</v>
      </c>
      <c r="L397" s="10"/>
      <c r="M397" s="176">
        <f t="shared" si="134"/>
        <v>0</v>
      </c>
      <c r="N397" s="176">
        <f>'Nine-Ten(Bangla)'!P8</f>
        <v>0</v>
      </c>
      <c r="O397" s="176">
        <f t="shared" si="135"/>
        <v>0</v>
      </c>
      <c r="P397" s="176">
        <f t="shared" si="140"/>
        <v>0</v>
      </c>
      <c r="Q397" s="176">
        <f t="shared" si="136"/>
        <v>0</v>
      </c>
      <c r="R397" s="176">
        <f t="shared" si="137"/>
        <v>0</v>
      </c>
      <c r="S397" s="176">
        <f t="shared" si="141"/>
        <v>0</v>
      </c>
      <c r="T397" s="176">
        <f t="shared" si="138"/>
        <v>0</v>
      </c>
      <c r="U397" s="176">
        <f t="shared" si="142"/>
        <v>0</v>
      </c>
    </row>
    <row r="398" spans="1:21" ht="18.600000000000001" customHeight="1">
      <c r="A398" s="176">
        <v>14</v>
      </c>
      <c r="B398" s="177" t="s">
        <v>148</v>
      </c>
      <c r="C398" s="173" t="s">
        <v>94</v>
      </c>
      <c r="D398" s="178">
        <v>43</v>
      </c>
      <c r="E398" s="176"/>
      <c r="F398" s="176">
        <v>11.5</v>
      </c>
      <c r="G398" s="176">
        <f t="shared" si="139"/>
        <v>0</v>
      </c>
      <c r="H398" s="10"/>
      <c r="I398" s="176">
        <f t="shared" si="131"/>
        <v>0</v>
      </c>
      <c r="J398" s="176">
        <f t="shared" si="132"/>
        <v>0</v>
      </c>
      <c r="K398" s="176">
        <f t="shared" si="133"/>
        <v>0</v>
      </c>
      <c r="L398" s="10"/>
      <c r="M398" s="176">
        <f t="shared" si="134"/>
        <v>0</v>
      </c>
      <c r="N398" s="176">
        <f>'Nine-Ten(Bangla)'!Q8</f>
        <v>0</v>
      </c>
      <c r="O398" s="176">
        <f t="shared" si="135"/>
        <v>0</v>
      </c>
      <c r="P398" s="176">
        <f t="shared" si="140"/>
        <v>0</v>
      </c>
      <c r="Q398" s="176">
        <f t="shared" si="136"/>
        <v>0</v>
      </c>
      <c r="R398" s="176">
        <f t="shared" si="137"/>
        <v>0</v>
      </c>
      <c r="S398" s="176">
        <f t="shared" si="141"/>
        <v>0</v>
      </c>
      <c r="T398" s="176">
        <f t="shared" si="138"/>
        <v>0</v>
      </c>
      <c r="U398" s="176">
        <f t="shared" si="142"/>
        <v>0</v>
      </c>
    </row>
    <row r="399" spans="1:21" ht="18.600000000000001" customHeight="1">
      <c r="A399" s="176">
        <v>15</v>
      </c>
      <c r="B399" s="177" t="s">
        <v>112</v>
      </c>
      <c r="C399" s="173" t="s">
        <v>94</v>
      </c>
      <c r="D399" s="178">
        <v>21.5</v>
      </c>
      <c r="E399" s="176"/>
      <c r="F399" s="176">
        <v>5.75</v>
      </c>
      <c r="G399" s="176">
        <f t="shared" si="139"/>
        <v>0</v>
      </c>
      <c r="H399" s="10"/>
      <c r="I399" s="176">
        <f t="shared" si="131"/>
        <v>0</v>
      </c>
      <c r="J399" s="176">
        <f t="shared" si="132"/>
        <v>0</v>
      </c>
      <c r="K399" s="176">
        <f t="shared" si="133"/>
        <v>0</v>
      </c>
      <c r="L399" s="10"/>
      <c r="M399" s="176">
        <f t="shared" si="134"/>
        <v>0</v>
      </c>
      <c r="N399" s="176">
        <f>'Nine-Ten(Bangla)'!R8</f>
        <v>0</v>
      </c>
      <c r="O399" s="176">
        <f t="shared" si="135"/>
        <v>0</v>
      </c>
      <c r="P399" s="176">
        <f t="shared" si="140"/>
        <v>0</v>
      </c>
      <c r="Q399" s="176">
        <f t="shared" si="136"/>
        <v>0</v>
      </c>
      <c r="R399" s="176">
        <f t="shared" si="137"/>
        <v>0</v>
      </c>
      <c r="S399" s="176">
        <f t="shared" si="141"/>
        <v>0</v>
      </c>
      <c r="T399" s="176">
        <f t="shared" si="138"/>
        <v>0</v>
      </c>
      <c r="U399" s="176">
        <f t="shared" si="142"/>
        <v>0</v>
      </c>
    </row>
    <row r="400" spans="1:21" ht="15.75">
      <c r="A400" s="176">
        <v>16</v>
      </c>
      <c r="B400" s="177" t="s">
        <v>149</v>
      </c>
      <c r="C400" s="173" t="s">
        <v>94</v>
      </c>
      <c r="D400" s="178">
        <v>22.5</v>
      </c>
      <c r="E400" s="176"/>
      <c r="F400" s="176">
        <v>6.25</v>
      </c>
      <c r="G400" s="176">
        <f t="shared" si="139"/>
        <v>0</v>
      </c>
      <c r="H400" s="10"/>
      <c r="I400" s="176">
        <f t="shared" si="131"/>
        <v>0</v>
      </c>
      <c r="J400" s="176">
        <f t="shared" si="132"/>
        <v>0</v>
      </c>
      <c r="K400" s="176">
        <f t="shared" si="133"/>
        <v>0</v>
      </c>
      <c r="L400" s="10"/>
      <c r="M400" s="176">
        <f t="shared" si="134"/>
        <v>0</v>
      </c>
      <c r="N400" s="176">
        <f>'Nine-Ten(Bangla)'!S8</f>
        <v>0</v>
      </c>
      <c r="O400" s="176">
        <f t="shared" si="135"/>
        <v>0</v>
      </c>
      <c r="P400" s="176">
        <f t="shared" si="140"/>
        <v>0</v>
      </c>
      <c r="Q400" s="176">
        <f t="shared" si="136"/>
        <v>0</v>
      </c>
      <c r="R400" s="176">
        <f t="shared" si="137"/>
        <v>0</v>
      </c>
      <c r="S400" s="176">
        <f t="shared" si="141"/>
        <v>0</v>
      </c>
      <c r="T400" s="176">
        <f t="shared" si="138"/>
        <v>0</v>
      </c>
      <c r="U400" s="176">
        <f t="shared" si="142"/>
        <v>0</v>
      </c>
    </row>
    <row r="401" spans="1:21" ht="15.75">
      <c r="A401" s="383" t="s">
        <v>67</v>
      </c>
      <c r="B401" s="383"/>
      <c r="C401" s="383"/>
      <c r="D401" s="383"/>
      <c r="E401" s="143">
        <f t="shared" ref="E401:U401" si="143">SUM(E385:E400)</f>
        <v>305465</v>
      </c>
      <c r="F401" s="143">
        <f t="shared" si="143"/>
        <v>111.75</v>
      </c>
      <c r="G401" s="143">
        <f t="shared" si="143"/>
        <v>2445997.5</v>
      </c>
      <c r="H401" s="143">
        <f t="shared" si="143"/>
        <v>0</v>
      </c>
      <c r="I401" s="143">
        <f t="shared" si="143"/>
        <v>2445997.5</v>
      </c>
      <c r="J401" s="143">
        <f t="shared" si="143"/>
        <v>0</v>
      </c>
      <c r="K401" s="143">
        <f t="shared" si="143"/>
        <v>305465</v>
      </c>
      <c r="L401" s="143">
        <f t="shared" si="143"/>
        <v>0</v>
      </c>
      <c r="M401" s="143">
        <f t="shared" si="143"/>
        <v>305465</v>
      </c>
      <c r="N401" s="143">
        <f t="shared" si="143"/>
        <v>0</v>
      </c>
      <c r="O401" s="143">
        <f t="shared" si="143"/>
        <v>305465</v>
      </c>
      <c r="P401" s="143">
        <f t="shared" si="143"/>
        <v>0</v>
      </c>
      <c r="Q401" s="143">
        <f t="shared" si="143"/>
        <v>0</v>
      </c>
      <c r="R401" s="143">
        <f t="shared" si="143"/>
        <v>9340.8449999999993</v>
      </c>
      <c r="S401" s="143">
        <f t="shared" si="143"/>
        <v>124.54460000000002</v>
      </c>
      <c r="T401" s="143">
        <f t="shared" si="143"/>
        <v>0</v>
      </c>
      <c r="U401" s="143">
        <f t="shared" si="143"/>
        <v>124.54460000000002</v>
      </c>
    </row>
    <row r="402" spans="1:21">
      <c r="A402" s="30"/>
      <c r="B402" s="28"/>
      <c r="C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</row>
    <row r="403" spans="1:21">
      <c r="A403" s="30"/>
      <c r="B403" s="28"/>
      <c r="C403" s="30"/>
      <c r="E403" s="30"/>
      <c r="F403" s="30"/>
      <c r="G403" s="30"/>
      <c r="H403" s="30"/>
      <c r="I403" s="30"/>
      <c r="J403" s="30"/>
      <c r="K403" s="30"/>
      <c r="L403" s="30"/>
      <c r="M403" s="122"/>
      <c r="N403" s="122"/>
      <c r="O403" s="122"/>
      <c r="P403" s="122"/>
      <c r="Q403" s="67"/>
      <c r="R403" s="67"/>
      <c r="S403" s="67"/>
      <c r="T403" s="67"/>
      <c r="U403" s="67"/>
    </row>
    <row r="404" spans="1:21" ht="15.75">
      <c r="A404" s="61"/>
      <c r="B404" s="61"/>
      <c r="C404" s="61"/>
      <c r="D404" s="61"/>
      <c r="E404" s="62"/>
      <c r="F404" s="62"/>
      <c r="G404" s="62"/>
      <c r="H404" s="62"/>
      <c r="I404" s="62"/>
      <c r="J404" s="62"/>
      <c r="K404" s="62"/>
      <c r="L404" s="62"/>
      <c r="M404" s="63"/>
      <c r="N404" s="63"/>
      <c r="O404" s="63"/>
      <c r="P404" s="63"/>
      <c r="Q404" s="387" t="s">
        <v>254</v>
      </c>
      <c r="R404" s="387"/>
      <c r="S404" s="387"/>
      <c r="T404" s="387"/>
      <c r="U404" s="387"/>
    </row>
    <row r="405" spans="1:21" s="43" customFormat="1" ht="15.75">
      <c r="A405" s="61"/>
      <c r="B405" s="61"/>
      <c r="C405" s="61"/>
      <c r="D405" s="61"/>
      <c r="E405" s="62"/>
      <c r="F405" s="62"/>
      <c r="G405" s="62"/>
      <c r="H405" s="62"/>
      <c r="I405" s="62"/>
      <c r="J405" s="62"/>
      <c r="K405" s="62"/>
      <c r="L405" s="62"/>
      <c r="M405" s="63"/>
      <c r="N405" s="63"/>
      <c r="O405" s="63"/>
      <c r="P405" s="63"/>
      <c r="Q405" s="153"/>
      <c r="R405" s="153"/>
      <c r="S405" s="153"/>
      <c r="T405" s="153"/>
      <c r="U405" s="153"/>
    </row>
    <row r="406" spans="1:21" s="43" customFormat="1" ht="15.75">
      <c r="A406" s="61"/>
      <c r="B406" s="61"/>
      <c r="C406" s="61"/>
      <c r="D406" s="61"/>
      <c r="E406" s="62"/>
      <c r="F406" s="62"/>
      <c r="G406" s="62"/>
      <c r="H406" s="62"/>
      <c r="I406" s="62"/>
      <c r="J406" s="62"/>
      <c r="K406" s="62"/>
      <c r="L406" s="62"/>
      <c r="M406" s="63"/>
      <c r="N406" s="63"/>
      <c r="O406" s="63"/>
      <c r="P406" s="63"/>
      <c r="Q406" s="153"/>
      <c r="R406" s="153"/>
      <c r="S406" s="153"/>
      <c r="T406" s="153"/>
      <c r="U406" s="153"/>
    </row>
    <row r="407" spans="1:21" s="43" customFormat="1" ht="15.75">
      <c r="A407" s="61"/>
      <c r="B407" s="61"/>
      <c r="C407" s="61"/>
      <c r="D407" s="61"/>
      <c r="E407" s="62"/>
      <c r="F407" s="62"/>
      <c r="G407" s="62"/>
      <c r="H407" s="62"/>
      <c r="I407" s="62"/>
      <c r="J407" s="62"/>
      <c r="K407" s="62"/>
      <c r="L407" s="62"/>
      <c r="M407" s="63"/>
      <c r="N407" s="63"/>
      <c r="O407" s="63"/>
      <c r="P407" s="63"/>
      <c r="Q407" s="153"/>
      <c r="R407" s="153"/>
      <c r="S407" s="153"/>
      <c r="T407" s="153"/>
      <c r="U407" s="153"/>
    </row>
    <row r="408" spans="1:21" s="43" customFormat="1" ht="15.75">
      <c r="A408" s="61"/>
      <c r="B408" s="61"/>
      <c r="C408" s="61"/>
      <c r="D408" s="61"/>
      <c r="E408" s="62"/>
      <c r="F408" s="62"/>
      <c r="G408" s="62"/>
      <c r="H408" s="62"/>
      <c r="I408" s="62"/>
      <c r="J408" s="62"/>
      <c r="K408" s="62"/>
      <c r="L408" s="62"/>
      <c r="M408" s="63"/>
      <c r="N408" s="63"/>
      <c r="O408" s="63"/>
      <c r="P408" s="63"/>
      <c r="Q408" s="153"/>
      <c r="R408" s="153"/>
      <c r="S408" s="153"/>
      <c r="T408" s="153"/>
      <c r="U408" s="153"/>
    </row>
    <row r="409" spans="1:21" s="43" customFormat="1" ht="15.75">
      <c r="A409" s="61"/>
      <c r="B409" s="61"/>
      <c r="C409" s="61"/>
      <c r="D409" s="61"/>
      <c r="E409" s="62"/>
      <c r="F409" s="62"/>
      <c r="G409" s="62"/>
      <c r="H409" s="62"/>
      <c r="I409" s="62"/>
      <c r="J409" s="62"/>
      <c r="K409" s="62"/>
      <c r="L409" s="62"/>
      <c r="M409" s="63"/>
      <c r="N409" s="63"/>
      <c r="O409" s="63"/>
      <c r="P409" s="63"/>
      <c r="Q409" s="153"/>
      <c r="R409" s="153"/>
      <c r="S409" s="153"/>
      <c r="T409" s="153"/>
      <c r="U409" s="153"/>
    </row>
    <row r="410" spans="1:21" s="43" customFormat="1" ht="15.75">
      <c r="A410" s="61"/>
      <c r="B410" s="61"/>
      <c r="C410" s="61"/>
      <c r="D410" s="61"/>
      <c r="E410" s="62"/>
      <c r="F410" s="62"/>
      <c r="G410" s="62"/>
      <c r="H410" s="62"/>
      <c r="I410" s="62"/>
      <c r="J410" s="62"/>
      <c r="K410" s="62"/>
      <c r="L410" s="62"/>
      <c r="M410" s="63"/>
      <c r="N410" s="63"/>
      <c r="O410" s="63"/>
      <c r="P410" s="63"/>
      <c r="Q410" s="153"/>
      <c r="R410" s="153"/>
      <c r="S410" s="153"/>
      <c r="T410" s="153"/>
      <c r="U410" s="153"/>
    </row>
    <row r="411" spans="1:21" s="43" customFormat="1" ht="15.75">
      <c r="A411" s="61"/>
      <c r="B411" s="61"/>
      <c r="C411" s="61"/>
      <c r="D411" s="61"/>
      <c r="E411" s="62"/>
      <c r="F411" s="62"/>
      <c r="G411" s="62"/>
      <c r="H411" s="62"/>
      <c r="I411" s="62"/>
      <c r="J411" s="62"/>
      <c r="K411" s="62"/>
      <c r="L411" s="62"/>
      <c r="M411" s="63"/>
      <c r="N411" s="63"/>
      <c r="O411" s="63"/>
      <c r="P411" s="63"/>
      <c r="Q411" s="153"/>
      <c r="R411" s="153"/>
      <c r="S411" s="153"/>
      <c r="T411" s="153"/>
      <c r="U411" s="153"/>
    </row>
    <row r="412" spans="1:21" s="43" customFormat="1" ht="41.25">
      <c r="A412" s="388" t="s">
        <v>178</v>
      </c>
      <c r="B412" s="388"/>
      <c r="C412" s="388"/>
      <c r="D412" s="388"/>
      <c r="E412" s="388"/>
      <c r="F412" s="388"/>
      <c r="G412" s="388"/>
      <c r="H412" s="388"/>
      <c r="I412" s="388"/>
      <c r="J412" s="388"/>
      <c r="K412" s="388"/>
      <c r="L412" s="388"/>
      <c r="M412" s="388"/>
      <c r="N412" s="388"/>
      <c r="O412" s="388"/>
      <c r="P412" s="388"/>
      <c r="Q412" s="388"/>
      <c r="R412" s="388"/>
      <c r="S412" s="388"/>
      <c r="T412" s="388"/>
      <c r="U412" s="388"/>
    </row>
    <row r="413" spans="1:21" s="43" customFormat="1" ht="20.25">
      <c r="A413" s="379" t="s">
        <v>253</v>
      </c>
      <c r="B413" s="379"/>
      <c r="C413" s="379"/>
      <c r="D413" s="379"/>
      <c r="E413" s="379"/>
      <c r="F413" s="379"/>
      <c r="G413" s="379"/>
      <c r="H413" s="379"/>
      <c r="I413" s="379"/>
      <c r="J413" s="379"/>
      <c r="K413" s="379"/>
      <c r="L413" s="379"/>
      <c r="M413" s="379"/>
      <c r="N413" s="379"/>
      <c r="O413" s="379"/>
      <c r="P413" s="379"/>
      <c r="Q413" s="379"/>
      <c r="R413" s="379"/>
      <c r="S413" s="379"/>
      <c r="T413" s="379"/>
      <c r="U413" s="379"/>
    </row>
    <row r="414" spans="1:21" s="43" customFormat="1" ht="17.25">
      <c r="A414" s="313" t="s">
        <v>274</v>
      </c>
      <c r="B414" s="313"/>
      <c r="C414" s="313"/>
      <c r="D414" s="313"/>
      <c r="E414" s="313"/>
      <c r="F414" s="313"/>
      <c r="G414" s="313"/>
      <c r="H414" s="313"/>
      <c r="I414" s="313"/>
      <c r="J414" s="313"/>
      <c r="K414" s="313"/>
      <c r="L414" s="313"/>
      <c r="M414" s="313"/>
      <c r="N414" s="313"/>
      <c r="O414" s="313"/>
      <c r="P414" s="313"/>
      <c r="Q414" s="313"/>
      <c r="R414" s="313"/>
      <c r="S414" s="313"/>
      <c r="T414" s="313"/>
      <c r="U414" s="313"/>
    </row>
    <row r="415" spans="1:21" s="43" customFormat="1" ht="20.25">
      <c r="A415" s="386" t="s">
        <v>277</v>
      </c>
      <c r="B415" s="386"/>
      <c r="C415" s="386"/>
      <c r="D415" s="386"/>
      <c r="E415" s="386"/>
      <c r="F415" s="386"/>
      <c r="G415" s="386"/>
      <c r="H415" s="386"/>
      <c r="I415" s="386"/>
      <c r="J415" s="386"/>
      <c r="K415" s="386"/>
      <c r="L415" s="386"/>
      <c r="M415" s="386"/>
      <c r="N415" s="386"/>
      <c r="O415" s="386"/>
      <c r="P415" s="386"/>
      <c r="Q415" s="386"/>
      <c r="R415" s="378" t="str">
        <f>R38</f>
        <v>Paper</v>
      </c>
      <c r="S415" s="378"/>
      <c r="T415" s="378"/>
      <c r="U415" s="378"/>
    </row>
    <row r="416" spans="1:21" s="43" customFormat="1">
      <c r="A416" s="389" t="s">
        <v>15</v>
      </c>
      <c r="B416" s="389" t="s">
        <v>64</v>
      </c>
      <c r="C416" s="389" t="s">
        <v>65</v>
      </c>
      <c r="D416" s="380" t="s">
        <v>66</v>
      </c>
      <c r="E416" s="161" t="s">
        <v>88</v>
      </c>
      <c r="F416" s="145" t="s">
        <v>157</v>
      </c>
      <c r="G416" s="374" t="s">
        <v>138</v>
      </c>
      <c r="H416" s="375"/>
      <c r="I416" s="376"/>
      <c r="J416" s="377" t="s">
        <v>139</v>
      </c>
      <c r="K416" s="377"/>
      <c r="L416" s="377" t="s">
        <v>86</v>
      </c>
      <c r="M416" s="377"/>
      <c r="N416" s="377" t="s">
        <v>25</v>
      </c>
      <c r="O416" s="377"/>
      <c r="P416" s="377" t="s">
        <v>87</v>
      </c>
      <c r="Q416" s="382" t="s">
        <v>199</v>
      </c>
      <c r="R416" s="377" t="s">
        <v>140</v>
      </c>
      <c r="S416" s="377"/>
      <c r="T416" s="377"/>
      <c r="U416" s="377"/>
    </row>
    <row r="417" spans="1:21" s="43" customFormat="1" ht="21" customHeight="1">
      <c r="A417" s="390"/>
      <c r="B417" s="390"/>
      <c r="C417" s="390"/>
      <c r="D417" s="381"/>
      <c r="E417" s="145" t="s">
        <v>259</v>
      </c>
      <c r="F417" s="145"/>
      <c r="G417" s="139" t="s">
        <v>189</v>
      </c>
      <c r="H417" s="145" t="s">
        <v>85</v>
      </c>
      <c r="I417" s="145" t="s">
        <v>70</v>
      </c>
      <c r="J417" s="148" t="s">
        <v>85</v>
      </c>
      <c r="K417" s="148" t="s">
        <v>70</v>
      </c>
      <c r="L417" s="145" t="s">
        <v>86</v>
      </c>
      <c r="M417" s="148" t="s">
        <v>70</v>
      </c>
      <c r="N417" s="148" t="s">
        <v>25</v>
      </c>
      <c r="O417" s="148" t="s">
        <v>70</v>
      </c>
      <c r="P417" s="377"/>
      <c r="Q417" s="382"/>
      <c r="R417" s="148" t="s">
        <v>155</v>
      </c>
      <c r="S417" s="148" t="s">
        <v>156</v>
      </c>
      <c r="T417" s="148" t="s">
        <v>141</v>
      </c>
      <c r="U417" s="148" t="s">
        <v>70</v>
      </c>
    </row>
    <row r="418" spans="1:21" s="43" customFormat="1" ht="18.600000000000001" customHeight="1">
      <c r="A418" s="176">
        <v>1</v>
      </c>
      <c r="B418" s="177" t="s">
        <v>147</v>
      </c>
      <c r="C418" s="173" t="s">
        <v>94</v>
      </c>
      <c r="D418" s="178">
        <v>32.5</v>
      </c>
      <c r="E418" s="176">
        <v>61950</v>
      </c>
      <c r="F418" s="176">
        <v>8.25</v>
      </c>
      <c r="G418" s="176">
        <f>F418*E418</f>
        <v>511087.5</v>
      </c>
      <c r="H418" s="10"/>
      <c r="I418" s="176">
        <f t="shared" ref="I418:I433" si="144">G418-H418</f>
        <v>511087.5</v>
      </c>
      <c r="J418" s="176">
        <f t="shared" ref="J418:J433" si="145">H418/F418</f>
        <v>0</v>
      </c>
      <c r="K418" s="176">
        <f t="shared" ref="K418:K433" si="146">E418-J418</f>
        <v>61950</v>
      </c>
      <c r="L418" s="10"/>
      <c r="M418" s="176">
        <f t="shared" ref="M418:M433" si="147">E418-L418</f>
        <v>61950</v>
      </c>
      <c r="N418" s="176">
        <f>'Nine-Ten(Bangla)'!D32</f>
        <v>0</v>
      </c>
      <c r="O418" s="176">
        <f t="shared" ref="O418:O433" si="148">E418-N418</f>
        <v>61950</v>
      </c>
      <c r="P418" s="176">
        <f>L418-N418</f>
        <v>0</v>
      </c>
      <c r="Q418" s="176">
        <f t="shared" ref="Q418:Q433" si="149">D418*L418/1000</f>
        <v>0</v>
      </c>
      <c r="R418" s="176">
        <f t="shared" ref="R418:R433" si="150">D418*E418/1000</f>
        <v>2013.375</v>
      </c>
      <c r="S418" s="176">
        <f>R418/75</f>
        <v>26.844999999999999</v>
      </c>
      <c r="T418" s="176">
        <f t="shared" ref="T418:T433" si="151">D418*J418/1000/75</f>
        <v>0</v>
      </c>
      <c r="U418" s="176">
        <f>S418-T418</f>
        <v>26.844999999999999</v>
      </c>
    </row>
    <row r="419" spans="1:21" s="43" customFormat="1" ht="18.600000000000001" customHeight="1">
      <c r="A419" s="176">
        <v>2</v>
      </c>
      <c r="B419" s="177" t="s">
        <v>27</v>
      </c>
      <c r="C419" s="173" t="s">
        <v>94</v>
      </c>
      <c r="D419" s="178">
        <v>26.5</v>
      </c>
      <c r="E419" s="176">
        <v>61950</v>
      </c>
      <c r="F419" s="176">
        <v>7.25</v>
      </c>
      <c r="G419" s="176">
        <f t="shared" ref="G419:G433" si="152">F419*E419</f>
        <v>449137.5</v>
      </c>
      <c r="H419" s="10"/>
      <c r="I419" s="176">
        <f t="shared" si="144"/>
        <v>449137.5</v>
      </c>
      <c r="J419" s="176">
        <f t="shared" si="145"/>
        <v>0</v>
      </c>
      <c r="K419" s="176">
        <f t="shared" si="146"/>
        <v>61950</v>
      </c>
      <c r="L419" s="10"/>
      <c r="M419" s="176">
        <f t="shared" si="147"/>
        <v>61950</v>
      </c>
      <c r="N419" s="176">
        <f>'Nine-Ten(Bangla)'!E32</f>
        <v>0</v>
      </c>
      <c r="O419" s="176">
        <f t="shared" si="148"/>
        <v>61950</v>
      </c>
      <c r="P419" s="176">
        <f t="shared" ref="P419:P433" si="153">L419-N419</f>
        <v>0</v>
      </c>
      <c r="Q419" s="176">
        <f t="shared" si="149"/>
        <v>0</v>
      </c>
      <c r="R419" s="176">
        <f t="shared" si="150"/>
        <v>1641.675</v>
      </c>
      <c r="S419" s="176">
        <f t="shared" ref="S419:S433" si="154">R419/75</f>
        <v>21.888999999999999</v>
      </c>
      <c r="T419" s="176">
        <f t="shared" si="151"/>
        <v>0</v>
      </c>
      <c r="U419" s="176">
        <f t="shared" ref="U419:U433" si="155">S419-T419</f>
        <v>21.888999999999999</v>
      </c>
    </row>
    <row r="420" spans="1:21" s="43" customFormat="1" ht="15.75">
      <c r="A420" s="176">
        <v>3</v>
      </c>
      <c r="B420" s="177" t="s">
        <v>31</v>
      </c>
      <c r="C420" s="173" t="s">
        <v>94</v>
      </c>
      <c r="D420" s="178">
        <v>45</v>
      </c>
      <c r="E420" s="176">
        <v>61950</v>
      </c>
      <c r="F420" s="176">
        <v>11.5</v>
      </c>
      <c r="G420" s="176">
        <f t="shared" si="152"/>
        <v>712425</v>
      </c>
      <c r="H420" s="10"/>
      <c r="I420" s="176">
        <f t="shared" si="144"/>
        <v>712425</v>
      </c>
      <c r="J420" s="176">
        <f t="shared" si="145"/>
        <v>0</v>
      </c>
      <c r="K420" s="176">
        <f t="shared" si="146"/>
        <v>61950</v>
      </c>
      <c r="L420" s="10"/>
      <c r="M420" s="176">
        <f t="shared" si="147"/>
        <v>61950</v>
      </c>
      <c r="N420" s="176">
        <f>'Nine-Ten(Bangla)'!F32</f>
        <v>0</v>
      </c>
      <c r="O420" s="176">
        <f t="shared" si="148"/>
        <v>61950</v>
      </c>
      <c r="P420" s="176">
        <f t="shared" si="153"/>
        <v>0</v>
      </c>
      <c r="Q420" s="176">
        <f t="shared" si="149"/>
        <v>0</v>
      </c>
      <c r="R420" s="176">
        <f t="shared" si="150"/>
        <v>2787.75</v>
      </c>
      <c r="S420" s="176">
        <f t="shared" si="154"/>
        <v>37.17</v>
      </c>
      <c r="T420" s="176">
        <f t="shared" si="151"/>
        <v>0</v>
      </c>
      <c r="U420" s="176">
        <f t="shared" si="155"/>
        <v>37.17</v>
      </c>
    </row>
    <row r="421" spans="1:21" s="43" customFormat="1" ht="15.75">
      <c r="A421" s="176">
        <v>4</v>
      </c>
      <c r="B421" s="177" t="s">
        <v>48</v>
      </c>
      <c r="C421" s="173" t="s">
        <v>94</v>
      </c>
      <c r="D421" s="178">
        <v>25.5</v>
      </c>
      <c r="E421" s="176">
        <v>48335</v>
      </c>
      <c r="F421" s="176">
        <v>6.75</v>
      </c>
      <c r="G421" s="176">
        <f t="shared" si="152"/>
        <v>326261.25</v>
      </c>
      <c r="H421" s="10"/>
      <c r="I421" s="176">
        <f t="shared" si="144"/>
        <v>326261.25</v>
      </c>
      <c r="J421" s="176">
        <f t="shared" si="145"/>
        <v>0</v>
      </c>
      <c r="K421" s="176">
        <f t="shared" si="146"/>
        <v>48335</v>
      </c>
      <c r="L421" s="10"/>
      <c r="M421" s="176">
        <f t="shared" si="147"/>
        <v>48335</v>
      </c>
      <c r="N421" s="176">
        <f>'Nine-Ten(Bangla)'!G32</f>
        <v>0</v>
      </c>
      <c r="O421" s="176">
        <f t="shared" si="148"/>
        <v>48335</v>
      </c>
      <c r="P421" s="176">
        <f t="shared" si="153"/>
        <v>0</v>
      </c>
      <c r="Q421" s="176">
        <f t="shared" si="149"/>
        <v>0</v>
      </c>
      <c r="R421" s="176">
        <f t="shared" si="150"/>
        <v>1232.5425</v>
      </c>
      <c r="S421" s="176">
        <f t="shared" si="154"/>
        <v>16.433900000000001</v>
      </c>
      <c r="T421" s="176">
        <f t="shared" si="151"/>
        <v>0</v>
      </c>
      <c r="U421" s="176">
        <f t="shared" si="155"/>
        <v>16.433900000000001</v>
      </c>
    </row>
    <row r="422" spans="1:21" s="43" customFormat="1" ht="15.75">
      <c r="A422" s="176">
        <v>5</v>
      </c>
      <c r="B422" s="177" t="s">
        <v>75</v>
      </c>
      <c r="C422" s="173" t="s">
        <v>94</v>
      </c>
      <c r="D422" s="178">
        <v>19.5</v>
      </c>
      <c r="E422" s="176">
        <v>12030</v>
      </c>
      <c r="F422" s="176">
        <v>5.75</v>
      </c>
      <c r="G422" s="176">
        <f t="shared" si="152"/>
        <v>69172.5</v>
      </c>
      <c r="H422" s="10"/>
      <c r="I422" s="176">
        <f t="shared" si="144"/>
        <v>69172.5</v>
      </c>
      <c r="J422" s="176">
        <f t="shared" si="145"/>
        <v>0</v>
      </c>
      <c r="K422" s="176">
        <f t="shared" si="146"/>
        <v>12030</v>
      </c>
      <c r="L422" s="10"/>
      <c r="M422" s="176">
        <f t="shared" si="147"/>
        <v>12030</v>
      </c>
      <c r="N422" s="176">
        <f>'Nine-Ten(Bangla)'!H32</f>
        <v>0</v>
      </c>
      <c r="O422" s="176">
        <f t="shared" si="148"/>
        <v>12030</v>
      </c>
      <c r="P422" s="176">
        <f t="shared" si="153"/>
        <v>0</v>
      </c>
      <c r="Q422" s="176">
        <f t="shared" si="149"/>
        <v>0</v>
      </c>
      <c r="R422" s="176">
        <f t="shared" si="150"/>
        <v>234.58500000000001</v>
      </c>
      <c r="S422" s="176">
        <f t="shared" si="154"/>
        <v>3.1278000000000001</v>
      </c>
      <c r="T422" s="176">
        <f t="shared" si="151"/>
        <v>0</v>
      </c>
      <c r="U422" s="176">
        <f t="shared" si="155"/>
        <v>3.1278000000000001</v>
      </c>
    </row>
    <row r="423" spans="1:21" s="43" customFormat="1" ht="15.75">
      <c r="A423" s="176">
        <v>6</v>
      </c>
      <c r="B423" s="177" t="s">
        <v>76</v>
      </c>
      <c r="C423" s="173" t="s">
        <v>94</v>
      </c>
      <c r="D423" s="178">
        <v>18.5</v>
      </c>
      <c r="E423" s="176">
        <v>615</v>
      </c>
      <c r="F423" s="176">
        <v>5.25</v>
      </c>
      <c r="G423" s="176">
        <f t="shared" si="152"/>
        <v>3228.75</v>
      </c>
      <c r="H423" s="10"/>
      <c r="I423" s="176">
        <f t="shared" si="144"/>
        <v>3228.75</v>
      </c>
      <c r="J423" s="176">
        <f t="shared" si="145"/>
        <v>0</v>
      </c>
      <c r="K423" s="176">
        <f t="shared" si="146"/>
        <v>615</v>
      </c>
      <c r="L423" s="10"/>
      <c r="M423" s="176">
        <f t="shared" si="147"/>
        <v>615</v>
      </c>
      <c r="N423" s="176">
        <f>'Nine-Ten(Bangla)'!I32</f>
        <v>0</v>
      </c>
      <c r="O423" s="176">
        <f t="shared" si="148"/>
        <v>615</v>
      </c>
      <c r="P423" s="176">
        <f t="shared" si="153"/>
        <v>0</v>
      </c>
      <c r="Q423" s="176">
        <f t="shared" si="149"/>
        <v>0</v>
      </c>
      <c r="R423" s="176">
        <f t="shared" si="150"/>
        <v>11.3775</v>
      </c>
      <c r="S423" s="176">
        <f t="shared" si="154"/>
        <v>0.1517</v>
      </c>
      <c r="T423" s="176">
        <f t="shared" si="151"/>
        <v>0</v>
      </c>
      <c r="U423" s="176">
        <f t="shared" si="155"/>
        <v>0.1517</v>
      </c>
    </row>
    <row r="424" spans="1:21" s="43" customFormat="1" ht="15.75">
      <c r="A424" s="176">
        <v>7</v>
      </c>
      <c r="B424" s="177" t="s">
        <v>51</v>
      </c>
      <c r="C424" s="173" t="s">
        <v>94</v>
      </c>
      <c r="D424" s="178">
        <v>19.5</v>
      </c>
      <c r="E424" s="176">
        <v>1950</v>
      </c>
      <c r="F424" s="176">
        <v>5.75</v>
      </c>
      <c r="G424" s="176">
        <f t="shared" si="152"/>
        <v>11212.5</v>
      </c>
      <c r="H424" s="10"/>
      <c r="I424" s="176">
        <f t="shared" si="144"/>
        <v>11212.5</v>
      </c>
      <c r="J424" s="176">
        <f t="shared" si="145"/>
        <v>0</v>
      </c>
      <c r="K424" s="176">
        <f t="shared" si="146"/>
        <v>1950</v>
      </c>
      <c r="L424" s="10"/>
      <c r="M424" s="176">
        <f t="shared" si="147"/>
        <v>1950</v>
      </c>
      <c r="N424" s="176">
        <f>'Nine-Ten(Bangla)'!J32</f>
        <v>0</v>
      </c>
      <c r="O424" s="176">
        <f t="shared" si="148"/>
        <v>1950</v>
      </c>
      <c r="P424" s="176">
        <f t="shared" si="153"/>
        <v>0</v>
      </c>
      <c r="Q424" s="176">
        <f t="shared" si="149"/>
        <v>0</v>
      </c>
      <c r="R424" s="176">
        <f t="shared" si="150"/>
        <v>38.024999999999999</v>
      </c>
      <c r="S424" s="176">
        <f t="shared" si="154"/>
        <v>0.50700000000000001</v>
      </c>
      <c r="T424" s="176">
        <f t="shared" si="151"/>
        <v>0</v>
      </c>
      <c r="U424" s="176">
        <f t="shared" si="155"/>
        <v>0.50700000000000001</v>
      </c>
    </row>
    <row r="425" spans="1:21" s="43" customFormat="1" ht="15.75">
      <c r="A425" s="176">
        <v>8</v>
      </c>
      <c r="B425" s="177" t="s">
        <v>95</v>
      </c>
      <c r="C425" s="173" t="s">
        <v>94</v>
      </c>
      <c r="D425" s="178">
        <v>29.5</v>
      </c>
      <c r="E425" s="176">
        <v>21550</v>
      </c>
      <c r="F425" s="176">
        <v>7.75</v>
      </c>
      <c r="G425" s="176">
        <f t="shared" si="152"/>
        <v>167012.5</v>
      </c>
      <c r="H425" s="10"/>
      <c r="I425" s="176">
        <f t="shared" si="144"/>
        <v>167012.5</v>
      </c>
      <c r="J425" s="176">
        <f t="shared" si="145"/>
        <v>0</v>
      </c>
      <c r="K425" s="176">
        <f t="shared" si="146"/>
        <v>21550</v>
      </c>
      <c r="L425" s="10"/>
      <c r="M425" s="176">
        <f t="shared" si="147"/>
        <v>21550</v>
      </c>
      <c r="N425" s="176">
        <f>'Nine-Ten(Bangla)'!K32</f>
        <v>0</v>
      </c>
      <c r="O425" s="176">
        <f t="shared" si="148"/>
        <v>21550</v>
      </c>
      <c r="P425" s="176">
        <f t="shared" si="153"/>
        <v>0</v>
      </c>
      <c r="Q425" s="176">
        <f t="shared" si="149"/>
        <v>0</v>
      </c>
      <c r="R425" s="176">
        <f t="shared" si="150"/>
        <v>635.72500000000002</v>
      </c>
      <c r="S425" s="176">
        <f t="shared" si="154"/>
        <v>8.4763333333333328</v>
      </c>
      <c r="T425" s="176">
        <f t="shared" si="151"/>
        <v>0</v>
      </c>
      <c r="U425" s="176">
        <f t="shared" si="155"/>
        <v>8.4763333333333328</v>
      </c>
    </row>
    <row r="426" spans="1:21" s="43" customFormat="1" ht="15.75">
      <c r="A426" s="176">
        <v>9</v>
      </c>
      <c r="B426" s="177" t="s">
        <v>109</v>
      </c>
      <c r="C426" s="173" t="s">
        <v>94</v>
      </c>
      <c r="D426" s="178">
        <v>16.5</v>
      </c>
      <c r="E426" s="176">
        <v>20550</v>
      </c>
      <c r="F426" s="176">
        <v>4.25</v>
      </c>
      <c r="G426" s="176">
        <f t="shared" si="152"/>
        <v>87337.5</v>
      </c>
      <c r="H426" s="10"/>
      <c r="I426" s="176">
        <f t="shared" si="144"/>
        <v>87337.5</v>
      </c>
      <c r="J426" s="176">
        <f t="shared" si="145"/>
        <v>0</v>
      </c>
      <c r="K426" s="176">
        <f t="shared" si="146"/>
        <v>20550</v>
      </c>
      <c r="L426" s="10"/>
      <c r="M426" s="176">
        <f t="shared" si="147"/>
        <v>20550</v>
      </c>
      <c r="N426" s="176">
        <f>'Nine-Ten(Bangla)'!L32</f>
        <v>0</v>
      </c>
      <c r="O426" s="176">
        <f t="shared" si="148"/>
        <v>20550</v>
      </c>
      <c r="P426" s="176">
        <f t="shared" si="153"/>
        <v>0</v>
      </c>
      <c r="Q426" s="176">
        <f t="shared" si="149"/>
        <v>0</v>
      </c>
      <c r="R426" s="176">
        <f t="shared" si="150"/>
        <v>339.07499999999999</v>
      </c>
      <c r="S426" s="176">
        <f t="shared" si="154"/>
        <v>4.5209999999999999</v>
      </c>
      <c r="T426" s="176">
        <f t="shared" si="151"/>
        <v>0</v>
      </c>
      <c r="U426" s="176">
        <f t="shared" si="155"/>
        <v>4.5209999999999999</v>
      </c>
    </row>
    <row r="427" spans="1:21" s="43" customFormat="1" ht="15.75">
      <c r="A427" s="176">
        <v>10</v>
      </c>
      <c r="B427" s="177" t="s">
        <v>96</v>
      </c>
      <c r="C427" s="173" t="s">
        <v>94</v>
      </c>
      <c r="D427" s="178">
        <v>24</v>
      </c>
      <c r="E427" s="176">
        <v>21550</v>
      </c>
      <c r="F427" s="176">
        <v>6</v>
      </c>
      <c r="G427" s="176">
        <f t="shared" si="152"/>
        <v>129300</v>
      </c>
      <c r="H427" s="10"/>
      <c r="I427" s="176">
        <f t="shared" si="144"/>
        <v>129300</v>
      </c>
      <c r="J427" s="176">
        <f t="shared" si="145"/>
        <v>0</v>
      </c>
      <c r="K427" s="176">
        <f t="shared" si="146"/>
        <v>21550</v>
      </c>
      <c r="L427" s="10"/>
      <c r="M427" s="176">
        <f t="shared" si="147"/>
        <v>21550</v>
      </c>
      <c r="N427" s="176">
        <f>'Nine-Ten(Bangla)'!M32</f>
        <v>0</v>
      </c>
      <c r="O427" s="176">
        <f t="shared" si="148"/>
        <v>21550</v>
      </c>
      <c r="P427" s="176">
        <f t="shared" si="153"/>
        <v>0</v>
      </c>
      <c r="Q427" s="176">
        <f t="shared" si="149"/>
        <v>0</v>
      </c>
      <c r="R427" s="176">
        <f t="shared" si="150"/>
        <v>517.20000000000005</v>
      </c>
      <c r="S427" s="176">
        <f t="shared" si="154"/>
        <v>6.8960000000000008</v>
      </c>
      <c r="T427" s="176">
        <f t="shared" si="151"/>
        <v>0</v>
      </c>
      <c r="U427" s="176">
        <f t="shared" si="155"/>
        <v>6.8960000000000008</v>
      </c>
    </row>
    <row r="428" spans="1:21" s="43" customFormat="1" ht="15.75">
      <c r="A428" s="176">
        <v>11</v>
      </c>
      <c r="B428" s="177" t="s">
        <v>97</v>
      </c>
      <c r="C428" s="173" t="s">
        <v>94</v>
      </c>
      <c r="D428" s="178">
        <v>19.5</v>
      </c>
      <c r="E428" s="176">
        <v>6150</v>
      </c>
      <c r="F428" s="176">
        <v>5.75</v>
      </c>
      <c r="G428" s="176">
        <f t="shared" si="152"/>
        <v>35362.5</v>
      </c>
      <c r="H428" s="10"/>
      <c r="I428" s="176">
        <f t="shared" si="144"/>
        <v>35362.5</v>
      </c>
      <c r="J428" s="176">
        <f t="shared" si="145"/>
        <v>0</v>
      </c>
      <c r="K428" s="176">
        <f t="shared" si="146"/>
        <v>6150</v>
      </c>
      <c r="L428" s="10"/>
      <c r="M428" s="176">
        <f t="shared" si="147"/>
        <v>6150</v>
      </c>
      <c r="N428" s="176">
        <f>'Nine-Ten(Bangla)'!N32</f>
        <v>0</v>
      </c>
      <c r="O428" s="176">
        <f t="shared" si="148"/>
        <v>6150</v>
      </c>
      <c r="P428" s="176">
        <f t="shared" si="153"/>
        <v>0</v>
      </c>
      <c r="Q428" s="176">
        <f t="shared" si="149"/>
        <v>0</v>
      </c>
      <c r="R428" s="176">
        <f t="shared" si="150"/>
        <v>119.925</v>
      </c>
      <c r="S428" s="176">
        <f t="shared" si="154"/>
        <v>1.599</v>
      </c>
      <c r="T428" s="176">
        <f t="shared" si="151"/>
        <v>0</v>
      </c>
      <c r="U428" s="176">
        <f t="shared" si="155"/>
        <v>1.599</v>
      </c>
    </row>
    <row r="429" spans="1:21" s="43" customFormat="1" ht="15.75">
      <c r="A429" s="176">
        <v>12</v>
      </c>
      <c r="B429" s="177" t="s">
        <v>98</v>
      </c>
      <c r="C429" s="173" t="s">
        <v>94</v>
      </c>
      <c r="D429" s="178">
        <v>27.5</v>
      </c>
      <c r="E429" s="176">
        <v>27800</v>
      </c>
      <c r="F429" s="176">
        <v>7.75</v>
      </c>
      <c r="G429" s="176">
        <f t="shared" si="152"/>
        <v>215450</v>
      </c>
      <c r="H429" s="10"/>
      <c r="I429" s="176">
        <f t="shared" si="144"/>
        <v>215450</v>
      </c>
      <c r="J429" s="176">
        <f t="shared" si="145"/>
        <v>0</v>
      </c>
      <c r="K429" s="176">
        <f t="shared" si="146"/>
        <v>27800</v>
      </c>
      <c r="L429" s="10"/>
      <c r="M429" s="176">
        <f t="shared" si="147"/>
        <v>27800</v>
      </c>
      <c r="N429" s="176">
        <f>'Nine-Ten(Bangla)'!O32</f>
        <v>0</v>
      </c>
      <c r="O429" s="176">
        <f t="shared" si="148"/>
        <v>27800</v>
      </c>
      <c r="P429" s="176">
        <f t="shared" si="153"/>
        <v>0</v>
      </c>
      <c r="Q429" s="176">
        <f t="shared" si="149"/>
        <v>0</v>
      </c>
      <c r="R429" s="176">
        <f t="shared" si="150"/>
        <v>764.5</v>
      </c>
      <c r="S429" s="176">
        <f t="shared" si="154"/>
        <v>10.193333333333333</v>
      </c>
      <c r="T429" s="176">
        <f t="shared" si="151"/>
        <v>0</v>
      </c>
      <c r="U429" s="176">
        <f t="shared" si="155"/>
        <v>10.193333333333333</v>
      </c>
    </row>
    <row r="430" spans="1:21" s="43" customFormat="1" ht="21" customHeight="1">
      <c r="A430" s="176">
        <v>13</v>
      </c>
      <c r="B430" s="177" t="s">
        <v>99</v>
      </c>
      <c r="C430" s="173" t="s">
        <v>94</v>
      </c>
      <c r="D430" s="178">
        <v>24.5</v>
      </c>
      <c r="E430" s="176"/>
      <c r="F430" s="176">
        <v>6.25</v>
      </c>
      <c r="G430" s="176">
        <f t="shared" si="152"/>
        <v>0</v>
      </c>
      <c r="H430" s="10"/>
      <c r="I430" s="176">
        <f t="shared" si="144"/>
        <v>0</v>
      </c>
      <c r="J430" s="176">
        <f t="shared" si="145"/>
        <v>0</v>
      </c>
      <c r="K430" s="176">
        <f t="shared" si="146"/>
        <v>0</v>
      </c>
      <c r="L430" s="10"/>
      <c r="M430" s="176">
        <f t="shared" si="147"/>
        <v>0</v>
      </c>
      <c r="N430" s="176">
        <f>'Nine-Ten(Bangla)'!P32</f>
        <v>0</v>
      </c>
      <c r="O430" s="176">
        <f t="shared" si="148"/>
        <v>0</v>
      </c>
      <c r="P430" s="176">
        <f t="shared" si="153"/>
        <v>0</v>
      </c>
      <c r="Q430" s="176">
        <f t="shared" si="149"/>
        <v>0</v>
      </c>
      <c r="R430" s="176">
        <f t="shared" si="150"/>
        <v>0</v>
      </c>
      <c r="S430" s="176">
        <f t="shared" si="154"/>
        <v>0</v>
      </c>
      <c r="T430" s="176">
        <f t="shared" si="151"/>
        <v>0</v>
      </c>
      <c r="U430" s="176">
        <f t="shared" si="155"/>
        <v>0</v>
      </c>
    </row>
    <row r="431" spans="1:21" s="43" customFormat="1" ht="18.600000000000001" customHeight="1">
      <c r="A431" s="176">
        <v>14</v>
      </c>
      <c r="B431" s="177" t="s">
        <v>148</v>
      </c>
      <c r="C431" s="173" t="s">
        <v>94</v>
      </c>
      <c r="D431" s="178">
        <v>43</v>
      </c>
      <c r="E431" s="176"/>
      <c r="F431" s="176">
        <v>11.5</v>
      </c>
      <c r="G431" s="176">
        <f t="shared" si="152"/>
        <v>0</v>
      </c>
      <c r="H431" s="10"/>
      <c r="I431" s="176">
        <f t="shared" si="144"/>
        <v>0</v>
      </c>
      <c r="J431" s="176">
        <f t="shared" si="145"/>
        <v>0</v>
      </c>
      <c r="K431" s="176">
        <f t="shared" si="146"/>
        <v>0</v>
      </c>
      <c r="L431" s="10"/>
      <c r="M431" s="176">
        <f t="shared" si="147"/>
        <v>0</v>
      </c>
      <c r="N431" s="176">
        <f>'Nine-Ten(Bangla)'!Q32</f>
        <v>0</v>
      </c>
      <c r="O431" s="176">
        <f t="shared" si="148"/>
        <v>0</v>
      </c>
      <c r="P431" s="176">
        <f t="shared" si="153"/>
        <v>0</v>
      </c>
      <c r="Q431" s="176">
        <f t="shared" si="149"/>
        <v>0</v>
      </c>
      <c r="R431" s="176">
        <f t="shared" si="150"/>
        <v>0</v>
      </c>
      <c r="S431" s="176">
        <f t="shared" si="154"/>
        <v>0</v>
      </c>
      <c r="T431" s="176">
        <f t="shared" si="151"/>
        <v>0</v>
      </c>
      <c r="U431" s="176">
        <f t="shared" si="155"/>
        <v>0</v>
      </c>
    </row>
    <row r="432" spans="1:21" s="43" customFormat="1" ht="18.600000000000001" customHeight="1">
      <c r="A432" s="176">
        <v>15</v>
      </c>
      <c r="B432" s="177" t="s">
        <v>112</v>
      </c>
      <c r="C432" s="173" t="s">
        <v>94</v>
      </c>
      <c r="D432" s="178">
        <v>21.5</v>
      </c>
      <c r="E432" s="176"/>
      <c r="F432" s="176">
        <v>5.75</v>
      </c>
      <c r="G432" s="176">
        <f t="shared" si="152"/>
        <v>0</v>
      </c>
      <c r="H432" s="10"/>
      <c r="I432" s="176">
        <f t="shared" si="144"/>
        <v>0</v>
      </c>
      <c r="J432" s="176">
        <f t="shared" si="145"/>
        <v>0</v>
      </c>
      <c r="K432" s="176">
        <f t="shared" si="146"/>
        <v>0</v>
      </c>
      <c r="L432" s="10"/>
      <c r="M432" s="176">
        <f t="shared" si="147"/>
        <v>0</v>
      </c>
      <c r="N432" s="176">
        <f>'Nine-Ten(Bangla)'!R32</f>
        <v>0</v>
      </c>
      <c r="O432" s="176">
        <f t="shared" si="148"/>
        <v>0</v>
      </c>
      <c r="P432" s="176">
        <f t="shared" si="153"/>
        <v>0</v>
      </c>
      <c r="Q432" s="176">
        <f t="shared" si="149"/>
        <v>0</v>
      </c>
      <c r="R432" s="176">
        <f t="shared" si="150"/>
        <v>0</v>
      </c>
      <c r="S432" s="176">
        <f t="shared" si="154"/>
        <v>0</v>
      </c>
      <c r="T432" s="176">
        <f t="shared" si="151"/>
        <v>0</v>
      </c>
      <c r="U432" s="176">
        <f t="shared" si="155"/>
        <v>0</v>
      </c>
    </row>
    <row r="433" spans="1:21" s="43" customFormat="1" ht="15.75">
      <c r="A433" s="176">
        <v>16</v>
      </c>
      <c r="B433" s="177" t="s">
        <v>149</v>
      </c>
      <c r="C433" s="173" t="s">
        <v>94</v>
      </c>
      <c r="D433" s="178">
        <v>22.5</v>
      </c>
      <c r="E433" s="176"/>
      <c r="F433" s="176">
        <v>6.25</v>
      </c>
      <c r="G433" s="176">
        <f t="shared" si="152"/>
        <v>0</v>
      </c>
      <c r="H433" s="10"/>
      <c r="I433" s="176">
        <f t="shared" si="144"/>
        <v>0</v>
      </c>
      <c r="J433" s="176">
        <f t="shared" si="145"/>
        <v>0</v>
      </c>
      <c r="K433" s="176">
        <f t="shared" si="146"/>
        <v>0</v>
      </c>
      <c r="L433" s="10"/>
      <c r="M433" s="176">
        <f t="shared" si="147"/>
        <v>0</v>
      </c>
      <c r="N433" s="176">
        <f>'Nine-Ten(Bangla)'!S32</f>
        <v>0</v>
      </c>
      <c r="O433" s="176">
        <f t="shared" si="148"/>
        <v>0</v>
      </c>
      <c r="P433" s="176">
        <f t="shared" si="153"/>
        <v>0</v>
      </c>
      <c r="Q433" s="176">
        <f t="shared" si="149"/>
        <v>0</v>
      </c>
      <c r="R433" s="176">
        <f t="shared" si="150"/>
        <v>0</v>
      </c>
      <c r="S433" s="176">
        <f t="shared" si="154"/>
        <v>0</v>
      </c>
      <c r="T433" s="176">
        <f t="shared" si="151"/>
        <v>0</v>
      </c>
      <c r="U433" s="176">
        <f t="shared" si="155"/>
        <v>0</v>
      </c>
    </row>
    <row r="434" spans="1:21" s="43" customFormat="1" ht="15.75">
      <c r="A434" s="383" t="s">
        <v>67</v>
      </c>
      <c r="B434" s="383"/>
      <c r="C434" s="383"/>
      <c r="D434" s="383"/>
      <c r="E434" s="143">
        <f t="shared" ref="E434:U434" si="156">SUM(E418:E433)</f>
        <v>346380</v>
      </c>
      <c r="F434" s="143">
        <f t="shared" si="156"/>
        <v>111.75</v>
      </c>
      <c r="G434" s="143">
        <f t="shared" si="156"/>
        <v>2716987.5</v>
      </c>
      <c r="H434" s="143">
        <f t="shared" si="156"/>
        <v>0</v>
      </c>
      <c r="I434" s="143">
        <f t="shared" si="156"/>
        <v>2716987.5</v>
      </c>
      <c r="J434" s="143">
        <f t="shared" si="156"/>
        <v>0</v>
      </c>
      <c r="K434" s="143">
        <f t="shared" si="156"/>
        <v>346380</v>
      </c>
      <c r="L434" s="143">
        <f t="shared" si="156"/>
        <v>0</v>
      </c>
      <c r="M434" s="143">
        <f t="shared" si="156"/>
        <v>346380</v>
      </c>
      <c r="N434" s="143">
        <f t="shared" si="156"/>
        <v>0</v>
      </c>
      <c r="O434" s="143">
        <f t="shared" si="156"/>
        <v>346380</v>
      </c>
      <c r="P434" s="143">
        <f t="shared" si="156"/>
        <v>0</v>
      </c>
      <c r="Q434" s="143">
        <f t="shared" si="156"/>
        <v>0</v>
      </c>
      <c r="R434" s="143">
        <f t="shared" si="156"/>
        <v>10335.755000000001</v>
      </c>
      <c r="S434" s="143">
        <f t="shared" si="156"/>
        <v>137.81006666666667</v>
      </c>
      <c r="T434" s="143">
        <f t="shared" si="156"/>
        <v>0</v>
      </c>
      <c r="U434" s="143">
        <f t="shared" si="156"/>
        <v>137.81006666666667</v>
      </c>
    </row>
    <row r="435" spans="1:21" s="43" customFormat="1">
      <c r="A435" s="30"/>
      <c r="B435" s="28"/>
      <c r="C435" s="30"/>
      <c r="D435" s="31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</row>
    <row r="436" spans="1:21" s="43" customFormat="1">
      <c r="A436" s="30"/>
      <c r="B436" s="28"/>
      <c r="C436" s="30"/>
      <c r="D436" s="31"/>
      <c r="E436" s="30"/>
      <c r="F436" s="30"/>
      <c r="G436" s="30"/>
      <c r="H436" s="30"/>
      <c r="I436" s="30"/>
      <c r="J436" s="30"/>
      <c r="K436" s="30"/>
      <c r="L436" s="30"/>
      <c r="M436" s="122"/>
      <c r="N436" s="122"/>
      <c r="O436" s="122"/>
      <c r="P436" s="122"/>
      <c r="Q436" s="67"/>
      <c r="R436" s="67"/>
      <c r="S436" s="67"/>
      <c r="T436" s="67"/>
      <c r="U436" s="67"/>
    </row>
    <row r="437" spans="1:21" s="43" customFormat="1" ht="15.75">
      <c r="A437" s="61"/>
      <c r="B437" s="61"/>
      <c r="C437" s="61"/>
      <c r="D437" s="61"/>
      <c r="E437" s="62"/>
      <c r="F437" s="62"/>
      <c r="G437" s="62"/>
      <c r="H437" s="62"/>
      <c r="I437" s="62"/>
      <c r="J437" s="62"/>
      <c r="K437" s="62"/>
      <c r="L437" s="62"/>
      <c r="M437" s="63"/>
      <c r="N437" s="63"/>
      <c r="O437" s="63"/>
      <c r="P437" s="63"/>
      <c r="Q437" s="387" t="s">
        <v>254</v>
      </c>
      <c r="R437" s="387"/>
      <c r="S437" s="387"/>
      <c r="T437" s="387"/>
      <c r="U437" s="387"/>
    </row>
    <row r="438" spans="1:21" s="43" customFormat="1" ht="15.75">
      <c r="A438" s="61"/>
      <c r="B438" s="61"/>
      <c r="C438" s="61"/>
      <c r="D438" s="61"/>
      <c r="E438" s="62"/>
      <c r="F438" s="62"/>
      <c r="G438" s="62"/>
      <c r="H438" s="62"/>
      <c r="I438" s="62"/>
      <c r="J438" s="62"/>
      <c r="K438" s="62"/>
      <c r="L438" s="62"/>
      <c r="M438" s="63"/>
      <c r="N438" s="63"/>
      <c r="O438" s="63"/>
      <c r="P438" s="63"/>
      <c r="Q438" s="153"/>
      <c r="R438" s="153"/>
      <c r="S438" s="153"/>
      <c r="T438" s="153"/>
      <c r="U438" s="153"/>
    </row>
    <row r="439" spans="1:21" s="43" customFormat="1" ht="15.75">
      <c r="A439" s="61"/>
      <c r="B439" s="61"/>
      <c r="C439" s="61"/>
      <c r="D439" s="61"/>
      <c r="E439" s="62"/>
      <c r="F439" s="62"/>
      <c r="G439" s="62"/>
      <c r="H439" s="62"/>
      <c r="I439" s="62"/>
      <c r="J439" s="62"/>
      <c r="K439" s="62"/>
      <c r="L439" s="62"/>
      <c r="M439" s="63"/>
      <c r="N439" s="63"/>
      <c r="O439" s="63"/>
      <c r="P439" s="63"/>
      <c r="Q439" s="153"/>
      <c r="R439" s="153"/>
      <c r="S439" s="153"/>
      <c r="T439" s="153"/>
      <c r="U439" s="153"/>
    </row>
    <row r="440" spans="1:21" s="43" customFormat="1" ht="15.75">
      <c r="A440" s="61"/>
      <c r="B440" s="61"/>
      <c r="C440" s="61"/>
      <c r="D440" s="61"/>
      <c r="E440" s="62"/>
      <c r="F440" s="62"/>
      <c r="G440" s="62"/>
      <c r="H440" s="62"/>
      <c r="I440" s="62"/>
      <c r="J440" s="62"/>
      <c r="K440" s="62"/>
      <c r="L440" s="62"/>
      <c r="M440" s="63"/>
      <c r="N440" s="63"/>
      <c r="O440" s="63"/>
      <c r="P440" s="63"/>
      <c r="Q440" s="153"/>
      <c r="R440" s="153"/>
      <c r="S440" s="153"/>
      <c r="T440" s="153"/>
      <c r="U440" s="153"/>
    </row>
    <row r="441" spans="1:21" s="43" customFormat="1" ht="15.75">
      <c r="A441" s="61"/>
      <c r="B441" s="61"/>
      <c r="C441" s="61"/>
      <c r="D441" s="61"/>
      <c r="E441" s="62"/>
      <c r="F441" s="62"/>
      <c r="G441" s="62"/>
      <c r="H441" s="62"/>
      <c r="I441" s="62"/>
      <c r="J441" s="62"/>
      <c r="K441" s="62"/>
      <c r="L441" s="62"/>
      <c r="M441" s="63"/>
      <c r="N441" s="63"/>
      <c r="O441" s="63"/>
      <c r="P441" s="63"/>
      <c r="Q441" s="153"/>
      <c r="R441" s="153"/>
      <c r="S441" s="153"/>
      <c r="T441" s="153"/>
      <c r="U441" s="153"/>
    </row>
    <row r="442" spans="1:21" s="43" customFormat="1" ht="15.75">
      <c r="A442" s="61"/>
      <c r="B442" s="61"/>
      <c r="C442" s="61"/>
      <c r="D442" s="61"/>
      <c r="E442" s="62"/>
      <c r="F442" s="62"/>
      <c r="G442" s="62"/>
      <c r="H442" s="62"/>
      <c r="I442" s="62"/>
      <c r="J442" s="62"/>
      <c r="K442" s="62"/>
      <c r="L442" s="62"/>
      <c r="M442" s="63"/>
      <c r="N442" s="63"/>
      <c r="O442" s="63"/>
      <c r="P442" s="63"/>
      <c r="Q442" s="153"/>
      <c r="R442" s="153"/>
      <c r="S442" s="153"/>
      <c r="T442" s="153"/>
      <c r="U442" s="153"/>
    </row>
    <row r="443" spans="1:21" s="43" customFormat="1" ht="15.75">
      <c r="A443" s="61"/>
      <c r="B443" s="61"/>
      <c r="C443" s="61"/>
      <c r="D443" s="61"/>
      <c r="E443" s="62"/>
      <c r="F443" s="62"/>
      <c r="G443" s="62"/>
      <c r="H443" s="62"/>
      <c r="I443" s="62"/>
      <c r="J443" s="62"/>
      <c r="K443" s="62"/>
      <c r="L443" s="62"/>
      <c r="M443" s="63"/>
      <c r="N443" s="63"/>
      <c r="O443" s="63"/>
      <c r="P443" s="63"/>
      <c r="Q443" s="153"/>
      <c r="R443" s="153"/>
      <c r="S443" s="153"/>
      <c r="T443" s="153"/>
      <c r="U443" s="153"/>
    </row>
    <row r="444" spans="1:21" s="43" customFormat="1" ht="15.75">
      <c r="A444" s="61"/>
      <c r="B444" s="61"/>
      <c r="C444" s="61"/>
      <c r="D444" s="61"/>
      <c r="E444" s="62"/>
      <c r="F444" s="62"/>
      <c r="G444" s="62"/>
      <c r="H444" s="62"/>
      <c r="I444" s="62"/>
      <c r="J444" s="62"/>
      <c r="K444" s="62"/>
      <c r="L444" s="62"/>
      <c r="M444" s="63"/>
      <c r="N444" s="63"/>
      <c r="O444" s="63"/>
      <c r="P444" s="63"/>
      <c r="Q444" s="153"/>
      <c r="R444" s="153"/>
      <c r="S444" s="153"/>
      <c r="T444" s="153"/>
      <c r="U444" s="153"/>
    </row>
    <row r="445" spans="1:21" s="43" customFormat="1" ht="41.25">
      <c r="A445" s="388" t="s">
        <v>178</v>
      </c>
      <c r="B445" s="388"/>
      <c r="C445" s="388"/>
      <c r="D445" s="388"/>
      <c r="E445" s="388"/>
      <c r="F445" s="388"/>
      <c r="G445" s="388"/>
      <c r="H445" s="388"/>
      <c r="I445" s="388"/>
      <c r="J445" s="388"/>
      <c r="K445" s="388"/>
      <c r="L445" s="388"/>
      <c r="M445" s="388"/>
      <c r="N445" s="388"/>
      <c r="O445" s="388"/>
      <c r="P445" s="388"/>
      <c r="Q445" s="388"/>
      <c r="R445" s="388"/>
      <c r="S445" s="388"/>
      <c r="T445" s="388"/>
      <c r="U445" s="388"/>
    </row>
    <row r="446" spans="1:21" s="43" customFormat="1" ht="20.25">
      <c r="A446" s="379" t="s">
        <v>253</v>
      </c>
      <c r="B446" s="379"/>
      <c r="C446" s="379"/>
      <c r="D446" s="379"/>
      <c r="E446" s="379"/>
      <c r="F446" s="379"/>
      <c r="G446" s="379"/>
      <c r="H446" s="379"/>
      <c r="I446" s="379"/>
      <c r="J446" s="379"/>
      <c r="K446" s="379"/>
      <c r="L446" s="379"/>
      <c r="M446" s="379"/>
      <c r="N446" s="379"/>
      <c r="O446" s="379"/>
      <c r="P446" s="379"/>
      <c r="Q446" s="379"/>
      <c r="R446" s="379"/>
      <c r="S446" s="379"/>
      <c r="T446" s="379"/>
      <c r="U446" s="379"/>
    </row>
    <row r="447" spans="1:21" s="43" customFormat="1" ht="17.25">
      <c r="A447" s="313" t="s">
        <v>274</v>
      </c>
      <c r="B447" s="313"/>
      <c r="C447" s="313"/>
      <c r="D447" s="313"/>
      <c r="E447" s="313"/>
      <c r="F447" s="313"/>
      <c r="G447" s="313"/>
      <c r="H447" s="313"/>
      <c r="I447" s="313"/>
      <c r="J447" s="313"/>
      <c r="K447" s="313"/>
      <c r="L447" s="313"/>
      <c r="M447" s="313"/>
      <c r="N447" s="313"/>
      <c r="O447" s="313"/>
      <c r="P447" s="313"/>
      <c r="Q447" s="313"/>
      <c r="R447" s="313"/>
      <c r="S447" s="313"/>
      <c r="T447" s="313"/>
      <c r="U447" s="313"/>
    </row>
    <row r="448" spans="1:21" s="43" customFormat="1" ht="20.25">
      <c r="A448" s="386" t="s">
        <v>277</v>
      </c>
      <c r="B448" s="386"/>
      <c r="C448" s="386"/>
      <c r="D448" s="386"/>
      <c r="E448" s="386"/>
      <c r="F448" s="386"/>
      <c r="G448" s="386"/>
      <c r="H448" s="386"/>
      <c r="I448" s="386"/>
      <c r="J448" s="386"/>
      <c r="K448" s="386"/>
      <c r="L448" s="386"/>
      <c r="M448" s="386"/>
      <c r="N448" s="386"/>
      <c r="O448" s="386"/>
      <c r="P448" s="386"/>
      <c r="Q448" s="386"/>
      <c r="R448" s="378">
        <f>R74</f>
        <v>561.29999999999995</v>
      </c>
      <c r="S448" s="378"/>
      <c r="T448" s="378"/>
      <c r="U448" s="378"/>
    </row>
    <row r="449" spans="1:21" s="43" customFormat="1">
      <c r="A449" s="389" t="s">
        <v>15</v>
      </c>
      <c r="B449" s="389" t="s">
        <v>64</v>
      </c>
      <c r="C449" s="389" t="s">
        <v>65</v>
      </c>
      <c r="D449" s="380" t="s">
        <v>66</v>
      </c>
      <c r="E449" s="161" t="s">
        <v>88</v>
      </c>
      <c r="F449" s="145" t="s">
        <v>157</v>
      </c>
      <c r="G449" s="374" t="s">
        <v>138</v>
      </c>
      <c r="H449" s="375"/>
      <c r="I449" s="376"/>
      <c r="J449" s="377" t="s">
        <v>139</v>
      </c>
      <c r="K449" s="377"/>
      <c r="L449" s="377" t="s">
        <v>86</v>
      </c>
      <c r="M449" s="377"/>
      <c r="N449" s="377" t="s">
        <v>25</v>
      </c>
      <c r="O449" s="377"/>
      <c r="P449" s="377" t="s">
        <v>87</v>
      </c>
      <c r="Q449" s="382" t="s">
        <v>199</v>
      </c>
      <c r="R449" s="377" t="s">
        <v>140</v>
      </c>
      <c r="S449" s="377"/>
      <c r="T449" s="377"/>
      <c r="U449" s="377"/>
    </row>
    <row r="450" spans="1:21" s="43" customFormat="1" ht="21" customHeight="1">
      <c r="A450" s="390"/>
      <c r="B450" s="390"/>
      <c r="C450" s="390"/>
      <c r="D450" s="381"/>
      <c r="E450" s="145" t="s">
        <v>260</v>
      </c>
      <c r="F450" s="145"/>
      <c r="G450" s="139" t="s">
        <v>189</v>
      </c>
      <c r="H450" s="145" t="s">
        <v>85</v>
      </c>
      <c r="I450" s="145" t="s">
        <v>70</v>
      </c>
      <c r="J450" s="148" t="s">
        <v>85</v>
      </c>
      <c r="K450" s="148" t="s">
        <v>70</v>
      </c>
      <c r="L450" s="145" t="s">
        <v>86</v>
      </c>
      <c r="M450" s="148" t="s">
        <v>70</v>
      </c>
      <c r="N450" s="148" t="s">
        <v>25</v>
      </c>
      <c r="O450" s="148" t="s">
        <v>70</v>
      </c>
      <c r="P450" s="377"/>
      <c r="Q450" s="382"/>
      <c r="R450" s="148" t="s">
        <v>155</v>
      </c>
      <c r="S450" s="148" t="s">
        <v>156</v>
      </c>
      <c r="T450" s="148" t="s">
        <v>141</v>
      </c>
      <c r="U450" s="148" t="s">
        <v>70</v>
      </c>
    </row>
    <row r="451" spans="1:21" s="43" customFormat="1" ht="18.600000000000001" customHeight="1">
      <c r="A451" s="176">
        <v>1</v>
      </c>
      <c r="B451" s="177" t="s">
        <v>147</v>
      </c>
      <c r="C451" s="173" t="s">
        <v>94</v>
      </c>
      <c r="D451" s="178">
        <v>32.5</v>
      </c>
      <c r="E451" s="176">
        <v>48579</v>
      </c>
      <c r="F451" s="176">
        <v>8.25</v>
      </c>
      <c r="G451" s="176">
        <f>F451*E451</f>
        <v>400776.75</v>
      </c>
      <c r="H451" s="10"/>
      <c r="I451" s="176">
        <f t="shared" ref="I451:I466" si="157">G451-H451</f>
        <v>400776.75</v>
      </c>
      <c r="J451" s="176">
        <f t="shared" ref="J451:J466" si="158">H451/F451</f>
        <v>0</v>
      </c>
      <c r="K451" s="176">
        <f t="shared" ref="K451:K466" si="159">E451-J451</f>
        <v>48579</v>
      </c>
      <c r="L451" s="10"/>
      <c r="M451" s="176">
        <f t="shared" ref="M451:M466" si="160">E451-L451</f>
        <v>48579</v>
      </c>
      <c r="N451" s="176">
        <f>'Nine-Ten(Bangla)'!D62</f>
        <v>0</v>
      </c>
      <c r="O451" s="176">
        <f t="shared" ref="O451:O466" si="161">E451-N451</f>
        <v>48579</v>
      </c>
      <c r="P451" s="176">
        <f>L451-N451</f>
        <v>0</v>
      </c>
      <c r="Q451" s="176">
        <f t="shared" ref="Q451:Q466" si="162">D451*L451/1000</f>
        <v>0</v>
      </c>
      <c r="R451" s="176">
        <f t="shared" ref="R451:R466" si="163">D451*E451/1000</f>
        <v>1578.8175000000001</v>
      </c>
      <c r="S451" s="176">
        <f>R451/75</f>
        <v>21.050900000000002</v>
      </c>
      <c r="T451" s="176">
        <f t="shared" ref="T451:T466" si="164">D451*J451/1000/75</f>
        <v>0</v>
      </c>
      <c r="U451" s="176">
        <f>S451-T451</f>
        <v>21.050900000000002</v>
      </c>
    </row>
    <row r="452" spans="1:21" s="43" customFormat="1" ht="18.600000000000001" customHeight="1">
      <c r="A452" s="176">
        <v>2</v>
      </c>
      <c r="B452" s="177" t="s">
        <v>27</v>
      </c>
      <c r="C452" s="173" t="s">
        <v>94</v>
      </c>
      <c r="D452" s="178">
        <v>26.5</v>
      </c>
      <c r="E452" s="176">
        <v>48579</v>
      </c>
      <c r="F452" s="176">
        <v>7.25</v>
      </c>
      <c r="G452" s="176">
        <f t="shared" ref="G452:G466" si="165">F452*E452</f>
        <v>352197.75</v>
      </c>
      <c r="H452" s="10"/>
      <c r="I452" s="176">
        <f t="shared" si="157"/>
        <v>352197.75</v>
      </c>
      <c r="J452" s="176">
        <f t="shared" si="158"/>
        <v>0</v>
      </c>
      <c r="K452" s="176">
        <f t="shared" si="159"/>
        <v>48579</v>
      </c>
      <c r="L452" s="10"/>
      <c r="M452" s="176">
        <f t="shared" si="160"/>
        <v>48579</v>
      </c>
      <c r="N452" s="176">
        <f>'Nine-Ten(Bangla)'!E62</f>
        <v>0</v>
      </c>
      <c r="O452" s="176">
        <f t="shared" si="161"/>
        <v>48579</v>
      </c>
      <c r="P452" s="176">
        <f t="shared" ref="P452:P466" si="166">L452-N452</f>
        <v>0</v>
      </c>
      <c r="Q452" s="176">
        <f t="shared" si="162"/>
        <v>0</v>
      </c>
      <c r="R452" s="176">
        <f t="shared" si="163"/>
        <v>1287.3434999999999</v>
      </c>
      <c r="S452" s="176">
        <f t="shared" ref="S452:S466" si="167">R452/75</f>
        <v>17.164580000000001</v>
      </c>
      <c r="T452" s="176">
        <f t="shared" si="164"/>
        <v>0</v>
      </c>
      <c r="U452" s="176">
        <f t="shared" ref="U452:U466" si="168">S452-T452</f>
        <v>17.164580000000001</v>
      </c>
    </row>
    <row r="453" spans="1:21" s="43" customFormat="1" ht="15.75">
      <c r="A453" s="176">
        <v>3</v>
      </c>
      <c r="B453" s="177" t="s">
        <v>31</v>
      </c>
      <c r="C453" s="173" t="s">
        <v>94</v>
      </c>
      <c r="D453" s="178">
        <v>45</v>
      </c>
      <c r="E453" s="176">
        <v>48579</v>
      </c>
      <c r="F453" s="176">
        <v>11.5</v>
      </c>
      <c r="G453" s="176">
        <f t="shared" si="165"/>
        <v>558658.5</v>
      </c>
      <c r="H453" s="10"/>
      <c r="I453" s="176">
        <f t="shared" si="157"/>
        <v>558658.5</v>
      </c>
      <c r="J453" s="176">
        <f t="shared" si="158"/>
        <v>0</v>
      </c>
      <c r="K453" s="176">
        <f t="shared" si="159"/>
        <v>48579</v>
      </c>
      <c r="L453" s="10"/>
      <c r="M453" s="176">
        <f t="shared" si="160"/>
        <v>48579</v>
      </c>
      <c r="N453" s="176">
        <f>'Nine-Ten(Bangla)'!F62</f>
        <v>0</v>
      </c>
      <c r="O453" s="176">
        <f t="shared" si="161"/>
        <v>48579</v>
      </c>
      <c r="P453" s="176">
        <f t="shared" si="166"/>
        <v>0</v>
      </c>
      <c r="Q453" s="176">
        <f t="shared" si="162"/>
        <v>0</v>
      </c>
      <c r="R453" s="176">
        <f t="shared" si="163"/>
        <v>2186.0549999999998</v>
      </c>
      <c r="S453" s="176">
        <f t="shared" si="167"/>
        <v>29.147399999999998</v>
      </c>
      <c r="T453" s="176">
        <f t="shared" si="164"/>
        <v>0</v>
      </c>
      <c r="U453" s="176">
        <f t="shared" si="168"/>
        <v>29.147399999999998</v>
      </c>
    </row>
    <row r="454" spans="1:21" s="43" customFormat="1" ht="15.75">
      <c r="A454" s="176">
        <v>4</v>
      </c>
      <c r="B454" s="177" t="s">
        <v>48</v>
      </c>
      <c r="C454" s="173" t="s">
        <v>94</v>
      </c>
      <c r="D454" s="178">
        <v>25.5</v>
      </c>
      <c r="E454" s="176">
        <v>43636</v>
      </c>
      <c r="F454" s="176">
        <v>6.75</v>
      </c>
      <c r="G454" s="176">
        <f t="shared" si="165"/>
        <v>294543</v>
      </c>
      <c r="H454" s="10"/>
      <c r="I454" s="176">
        <f t="shared" si="157"/>
        <v>294543</v>
      </c>
      <c r="J454" s="176">
        <f t="shared" si="158"/>
        <v>0</v>
      </c>
      <c r="K454" s="176">
        <f t="shared" si="159"/>
        <v>43636</v>
      </c>
      <c r="L454" s="10"/>
      <c r="M454" s="176">
        <f t="shared" si="160"/>
        <v>43636</v>
      </c>
      <c r="N454" s="176">
        <f>'Nine-Ten(Bangla)'!G62</f>
        <v>0</v>
      </c>
      <c r="O454" s="176">
        <f t="shared" si="161"/>
        <v>43636</v>
      </c>
      <c r="P454" s="176">
        <f t="shared" si="166"/>
        <v>0</v>
      </c>
      <c r="Q454" s="176">
        <f t="shared" si="162"/>
        <v>0</v>
      </c>
      <c r="R454" s="176">
        <f t="shared" si="163"/>
        <v>1112.7180000000001</v>
      </c>
      <c r="S454" s="176">
        <f t="shared" si="167"/>
        <v>14.836240000000002</v>
      </c>
      <c r="T454" s="176">
        <f t="shared" si="164"/>
        <v>0</v>
      </c>
      <c r="U454" s="176">
        <f t="shared" si="168"/>
        <v>14.836240000000002</v>
      </c>
    </row>
    <row r="455" spans="1:21" s="43" customFormat="1" ht="15.75">
      <c r="A455" s="176">
        <v>5</v>
      </c>
      <c r="B455" s="177" t="s">
        <v>75</v>
      </c>
      <c r="C455" s="173" t="s">
        <v>94</v>
      </c>
      <c r="D455" s="178">
        <v>19.5</v>
      </c>
      <c r="E455" s="176">
        <v>4385</v>
      </c>
      <c r="F455" s="176">
        <v>5.75</v>
      </c>
      <c r="G455" s="176">
        <f t="shared" si="165"/>
        <v>25213.75</v>
      </c>
      <c r="H455" s="10"/>
      <c r="I455" s="176">
        <f t="shared" si="157"/>
        <v>25213.75</v>
      </c>
      <c r="J455" s="176">
        <f t="shared" si="158"/>
        <v>0</v>
      </c>
      <c r="K455" s="176">
        <f t="shared" si="159"/>
        <v>4385</v>
      </c>
      <c r="L455" s="10"/>
      <c r="M455" s="176">
        <f t="shared" si="160"/>
        <v>4385</v>
      </c>
      <c r="N455" s="176">
        <f>'Nine-Ten(Bangla)'!H62</f>
        <v>0</v>
      </c>
      <c r="O455" s="176">
        <f t="shared" si="161"/>
        <v>4385</v>
      </c>
      <c r="P455" s="176">
        <f t="shared" si="166"/>
        <v>0</v>
      </c>
      <c r="Q455" s="176">
        <f t="shared" si="162"/>
        <v>0</v>
      </c>
      <c r="R455" s="176">
        <f t="shared" si="163"/>
        <v>85.507499999999993</v>
      </c>
      <c r="S455" s="176">
        <f t="shared" si="167"/>
        <v>1.1400999999999999</v>
      </c>
      <c r="T455" s="176">
        <f t="shared" si="164"/>
        <v>0</v>
      </c>
      <c r="U455" s="176">
        <f t="shared" si="168"/>
        <v>1.1400999999999999</v>
      </c>
    </row>
    <row r="456" spans="1:21" s="43" customFormat="1" ht="15.75">
      <c r="A456" s="176">
        <v>6</v>
      </c>
      <c r="B456" s="177" t="s">
        <v>76</v>
      </c>
      <c r="C456" s="173" t="s">
        <v>94</v>
      </c>
      <c r="D456" s="178">
        <v>18.5</v>
      </c>
      <c r="E456" s="176">
        <v>559</v>
      </c>
      <c r="F456" s="176">
        <v>5.25</v>
      </c>
      <c r="G456" s="176">
        <f t="shared" si="165"/>
        <v>2934.75</v>
      </c>
      <c r="H456" s="10"/>
      <c r="I456" s="176">
        <f t="shared" si="157"/>
        <v>2934.75</v>
      </c>
      <c r="J456" s="176">
        <f t="shared" si="158"/>
        <v>0</v>
      </c>
      <c r="K456" s="176">
        <f t="shared" si="159"/>
        <v>559</v>
      </c>
      <c r="L456" s="10"/>
      <c r="M456" s="176">
        <f t="shared" si="160"/>
        <v>559</v>
      </c>
      <c r="N456" s="176">
        <f>'Nine-Ten(Bangla)'!I62</f>
        <v>0</v>
      </c>
      <c r="O456" s="176">
        <f t="shared" si="161"/>
        <v>559</v>
      </c>
      <c r="P456" s="176">
        <f t="shared" si="166"/>
        <v>0</v>
      </c>
      <c r="Q456" s="176">
        <f t="shared" si="162"/>
        <v>0</v>
      </c>
      <c r="R456" s="176">
        <f t="shared" si="163"/>
        <v>10.3415</v>
      </c>
      <c r="S456" s="176">
        <f t="shared" si="167"/>
        <v>0.13788666666666666</v>
      </c>
      <c r="T456" s="176">
        <f t="shared" si="164"/>
        <v>0</v>
      </c>
      <c r="U456" s="176">
        <f t="shared" si="168"/>
        <v>0.13788666666666666</v>
      </c>
    </row>
    <row r="457" spans="1:21" s="43" customFormat="1" ht="15.75">
      <c r="A457" s="176">
        <v>7</v>
      </c>
      <c r="B457" s="177" t="s">
        <v>51</v>
      </c>
      <c r="C457" s="173" t="s">
        <v>94</v>
      </c>
      <c r="D457" s="178">
        <v>19.5</v>
      </c>
      <c r="E457" s="176"/>
      <c r="F457" s="176">
        <v>5.75</v>
      </c>
      <c r="G457" s="176">
        <f t="shared" si="165"/>
        <v>0</v>
      </c>
      <c r="H457" s="10"/>
      <c r="I457" s="176">
        <f t="shared" si="157"/>
        <v>0</v>
      </c>
      <c r="J457" s="176">
        <f t="shared" si="158"/>
        <v>0</v>
      </c>
      <c r="K457" s="176">
        <f t="shared" si="159"/>
        <v>0</v>
      </c>
      <c r="L457" s="10"/>
      <c r="M457" s="176">
        <f t="shared" si="160"/>
        <v>0</v>
      </c>
      <c r="N457" s="176">
        <f>'Nine-Ten(Bangla)'!J62</f>
        <v>0</v>
      </c>
      <c r="O457" s="176">
        <f t="shared" si="161"/>
        <v>0</v>
      </c>
      <c r="P457" s="176">
        <f t="shared" si="166"/>
        <v>0</v>
      </c>
      <c r="Q457" s="176">
        <f t="shared" si="162"/>
        <v>0</v>
      </c>
      <c r="R457" s="176">
        <f t="shared" si="163"/>
        <v>0</v>
      </c>
      <c r="S457" s="176">
        <f t="shared" si="167"/>
        <v>0</v>
      </c>
      <c r="T457" s="176">
        <f t="shared" si="164"/>
        <v>0</v>
      </c>
      <c r="U457" s="176">
        <f t="shared" si="168"/>
        <v>0</v>
      </c>
    </row>
    <row r="458" spans="1:21" s="43" customFormat="1" ht="15.75">
      <c r="A458" s="176">
        <v>8</v>
      </c>
      <c r="B458" s="177" t="s">
        <v>95</v>
      </c>
      <c r="C458" s="173" t="s">
        <v>94</v>
      </c>
      <c r="D458" s="178">
        <v>29.5</v>
      </c>
      <c r="E458" s="176">
        <v>30179</v>
      </c>
      <c r="F458" s="176">
        <v>7.75</v>
      </c>
      <c r="G458" s="176">
        <f t="shared" si="165"/>
        <v>233887.25</v>
      </c>
      <c r="H458" s="10"/>
      <c r="I458" s="176">
        <f t="shared" si="157"/>
        <v>233887.25</v>
      </c>
      <c r="J458" s="176">
        <f t="shared" si="158"/>
        <v>0</v>
      </c>
      <c r="K458" s="176">
        <f t="shared" si="159"/>
        <v>30179</v>
      </c>
      <c r="L458" s="10"/>
      <c r="M458" s="176">
        <f t="shared" si="160"/>
        <v>30179</v>
      </c>
      <c r="N458" s="176">
        <f>'Nine-Ten(Bangla)'!K62</f>
        <v>0</v>
      </c>
      <c r="O458" s="176">
        <f t="shared" si="161"/>
        <v>30179</v>
      </c>
      <c r="P458" s="176">
        <f t="shared" si="166"/>
        <v>0</v>
      </c>
      <c r="Q458" s="176">
        <f t="shared" si="162"/>
        <v>0</v>
      </c>
      <c r="R458" s="176">
        <f t="shared" si="163"/>
        <v>890.28049999999996</v>
      </c>
      <c r="S458" s="176">
        <f t="shared" si="167"/>
        <v>11.870406666666666</v>
      </c>
      <c r="T458" s="176">
        <f t="shared" si="164"/>
        <v>0</v>
      </c>
      <c r="U458" s="176">
        <f t="shared" si="168"/>
        <v>11.870406666666666</v>
      </c>
    </row>
    <row r="459" spans="1:21" s="43" customFormat="1" ht="15.75">
      <c r="A459" s="176">
        <v>9</v>
      </c>
      <c r="B459" s="177" t="s">
        <v>109</v>
      </c>
      <c r="C459" s="173" t="s">
        <v>94</v>
      </c>
      <c r="D459" s="178">
        <v>16.5</v>
      </c>
      <c r="E459" s="176">
        <v>23498</v>
      </c>
      <c r="F459" s="176">
        <v>4.25</v>
      </c>
      <c r="G459" s="176">
        <f t="shared" si="165"/>
        <v>99866.5</v>
      </c>
      <c r="H459" s="10"/>
      <c r="I459" s="176">
        <f t="shared" si="157"/>
        <v>99866.5</v>
      </c>
      <c r="J459" s="176">
        <f t="shared" si="158"/>
        <v>0</v>
      </c>
      <c r="K459" s="176">
        <f t="shared" si="159"/>
        <v>23498</v>
      </c>
      <c r="L459" s="10"/>
      <c r="M459" s="176">
        <f t="shared" si="160"/>
        <v>23498</v>
      </c>
      <c r="N459" s="176">
        <f>'Nine-Ten(Bangla)'!L62</f>
        <v>0</v>
      </c>
      <c r="O459" s="176">
        <f t="shared" si="161"/>
        <v>23498</v>
      </c>
      <c r="P459" s="176">
        <f t="shared" si="166"/>
        <v>0</v>
      </c>
      <c r="Q459" s="176">
        <f t="shared" si="162"/>
        <v>0</v>
      </c>
      <c r="R459" s="176">
        <f t="shared" si="163"/>
        <v>387.71699999999998</v>
      </c>
      <c r="S459" s="176">
        <f t="shared" si="167"/>
        <v>5.1695599999999997</v>
      </c>
      <c r="T459" s="176">
        <f t="shared" si="164"/>
        <v>0</v>
      </c>
      <c r="U459" s="176">
        <f t="shared" si="168"/>
        <v>5.1695599999999997</v>
      </c>
    </row>
    <row r="460" spans="1:21" s="43" customFormat="1" ht="15.75">
      <c r="A460" s="176">
        <v>10</v>
      </c>
      <c r="B460" s="177" t="s">
        <v>96</v>
      </c>
      <c r="C460" s="173" t="s">
        <v>94</v>
      </c>
      <c r="D460" s="178">
        <v>24</v>
      </c>
      <c r="E460" s="176">
        <v>30179</v>
      </c>
      <c r="F460" s="176">
        <v>6</v>
      </c>
      <c r="G460" s="176">
        <f t="shared" si="165"/>
        <v>181074</v>
      </c>
      <c r="H460" s="10"/>
      <c r="I460" s="176">
        <f t="shared" si="157"/>
        <v>181074</v>
      </c>
      <c r="J460" s="176">
        <f t="shared" si="158"/>
        <v>0</v>
      </c>
      <c r="K460" s="176">
        <f t="shared" si="159"/>
        <v>30179</v>
      </c>
      <c r="L460" s="10"/>
      <c r="M460" s="176">
        <f t="shared" si="160"/>
        <v>30179</v>
      </c>
      <c r="N460" s="176">
        <f>'Nine-Ten(Bangla)'!M62</f>
        <v>0</v>
      </c>
      <c r="O460" s="176">
        <f t="shared" si="161"/>
        <v>30179</v>
      </c>
      <c r="P460" s="176">
        <f t="shared" si="166"/>
        <v>0</v>
      </c>
      <c r="Q460" s="176">
        <f t="shared" si="162"/>
        <v>0</v>
      </c>
      <c r="R460" s="176">
        <f t="shared" si="163"/>
        <v>724.29600000000005</v>
      </c>
      <c r="S460" s="176">
        <f t="shared" si="167"/>
        <v>9.6572800000000001</v>
      </c>
      <c r="T460" s="176">
        <f t="shared" si="164"/>
        <v>0</v>
      </c>
      <c r="U460" s="176">
        <f t="shared" si="168"/>
        <v>9.6572800000000001</v>
      </c>
    </row>
    <row r="461" spans="1:21" s="43" customFormat="1" ht="15.75">
      <c r="A461" s="176">
        <v>11</v>
      </c>
      <c r="B461" s="177" t="s">
        <v>97</v>
      </c>
      <c r="C461" s="173" t="s">
        <v>94</v>
      </c>
      <c r="D461" s="178">
        <v>19.5</v>
      </c>
      <c r="E461" s="176">
        <v>8196</v>
      </c>
      <c r="F461" s="176">
        <v>5.75</v>
      </c>
      <c r="G461" s="176">
        <f t="shared" si="165"/>
        <v>47127</v>
      </c>
      <c r="H461" s="10"/>
      <c r="I461" s="176">
        <f t="shared" si="157"/>
        <v>47127</v>
      </c>
      <c r="J461" s="176">
        <f t="shared" si="158"/>
        <v>0</v>
      </c>
      <c r="K461" s="176">
        <f t="shared" si="159"/>
        <v>8196</v>
      </c>
      <c r="L461" s="10"/>
      <c r="M461" s="176">
        <f t="shared" si="160"/>
        <v>8196</v>
      </c>
      <c r="N461" s="176">
        <f>'Nine-Ten(Bangla)'!N62</f>
        <v>0</v>
      </c>
      <c r="O461" s="176">
        <f t="shared" si="161"/>
        <v>8196</v>
      </c>
      <c r="P461" s="176">
        <f t="shared" si="166"/>
        <v>0</v>
      </c>
      <c r="Q461" s="176">
        <f t="shared" si="162"/>
        <v>0</v>
      </c>
      <c r="R461" s="176">
        <f t="shared" si="163"/>
        <v>159.822</v>
      </c>
      <c r="S461" s="176">
        <f t="shared" si="167"/>
        <v>2.13096</v>
      </c>
      <c r="T461" s="176">
        <f t="shared" si="164"/>
        <v>0</v>
      </c>
      <c r="U461" s="176">
        <f t="shared" si="168"/>
        <v>2.13096</v>
      </c>
    </row>
    <row r="462" spans="1:21" s="43" customFormat="1" ht="15.75">
      <c r="A462" s="176">
        <v>12</v>
      </c>
      <c r="B462" s="177" t="s">
        <v>98</v>
      </c>
      <c r="C462" s="173" t="s">
        <v>94</v>
      </c>
      <c r="D462" s="178">
        <v>27.5</v>
      </c>
      <c r="E462" s="176">
        <v>1869</v>
      </c>
      <c r="F462" s="176">
        <v>7.75</v>
      </c>
      <c r="G462" s="176">
        <f t="shared" si="165"/>
        <v>14484.75</v>
      </c>
      <c r="H462" s="10"/>
      <c r="I462" s="176">
        <f t="shared" si="157"/>
        <v>14484.75</v>
      </c>
      <c r="J462" s="176">
        <f t="shared" si="158"/>
        <v>0</v>
      </c>
      <c r="K462" s="176">
        <f t="shared" si="159"/>
        <v>1869</v>
      </c>
      <c r="L462" s="10"/>
      <c r="M462" s="176">
        <f t="shared" si="160"/>
        <v>1869</v>
      </c>
      <c r="N462" s="176">
        <f>'Nine-Ten(Bangla)'!O62</f>
        <v>0</v>
      </c>
      <c r="O462" s="176">
        <f t="shared" si="161"/>
        <v>1869</v>
      </c>
      <c r="P462" s="176">
        <f t="shared" si="166"/>
        <v>0</v>
      </c>
      <c r="Q462" s="176">
        <f t="shared" si="162"/>
        <v>0</v>
      </c>
      <c r="R462" s="176">
        <f t="shared" si="163"/>
        <v>51.397500000000001</v>
      </c>
      <c r="S462" s="176">
        <f t="shared" si="167"/>
        <v>0.68530000000000002</v>
      </c>
      <c r="T462" s="176">
        <f t="shared" si="164"/>
        <v>0</v>
      </c>
      <c r="U462" s="176">
        <f t="shared" si="168"/>
        <v>0.68530000000000002</v>
      </c>
    </row>
    <row r="463" spans="1:21" s="43" customFormat="1" ht="21" customHeight="1">
      <c r="A463" s="176">
        <v>13</v>
      </c>
      <c r="B463" s="177" t="s">
        <v>99</v>
      </c>
      <c r="C463" s="173" t="s">
        <v>94</v>
      </c>
      <c r="D463" s="178">
        <v>24.5</v>
      </c>
      <c r="E463" s="176"/>
      <c r="F463" s="176">
        <v>6.25</v>
      </c>
      <c r="G463" s="176">
        <f t="shared" si="165"/>
        <v>0</v>
      </c>
      <c r="H463" s="10"/>
      <c r="I463" s="176">
        <f t="shared" si="157"/>
        <v>0</v>
      </c>
      <c r="J463" s="176">
        <f t="shared" si="158"/>
        <v>0</v>
      </c>
      <c r="K463" s="176">
        <f t="shared" si="159"/>
        <v>0</v>
      </c>
      <c r="L463" s="10"/>
      <c r="M463" s="176">
        <f t="shared" si="160"/>
        <v>0</v>
      </c>
      <c r="N463" s="176">
        <f>'Nine-Ten(Bangla)'!P62</f>
        <v>0</v>
      </c>
      <c r="O463" s="176">
        <f t="shared" si="161"/>
        <v>0</v>
      </c>
      <c r="P463" s="176">
        <f t="shared" si="166"/>
        <v>0</v>
      </c>
      <c r="Q463" s="176">
        <f t="shared" si="162"/>
        <v>0</v>
      </c>
      <c r="R463" s="176">
        <f t="shared" si="163"/>
        <v>0</v>
      </c>
      <c r="S463" s="176">
        <f t="shared" si="167"/>
        <v>0</v>
      </c>
      <c r="T463" s="176">
        <f t="shared" si="164"/>
        <v>0</v>
      </c>
      <c r="U463" s="176">
        <f t="shared" si="168"/>
        <v>0</v>
      </c>
    </row>
    <row r="464" spans="1:21" s="43" customFormat="1" ht="18.600000000000001" customHeight="1">
      <c r="A464" s="176">
        <v>14</v>
      </c>
      <c r="B464" s="177" t="s">
        <v>148</v>
      </c>
      <c r="C464" s="173" t="s">
        <v>94</v>
      </c>
      <c r="D464" s="178">
        <v>43</v>
      </c>
      <c r="E464" s="176"/>
      <c r="F464" s="176">
        <v>11.5</v>
      </c>
      <c r="G464" s="176">
        <f t="shared" si="165"/>
        <v>0</v>
      </c>
      <c r="H464" s="10"/>
      <c r="I464" s="176">
        <f t="shared" si="157"/>
        <v>0</v>
      </c>
      <c r="J464" s="176">
        <f t="shared" si="158"/>
        <v>0</v>
      </c>
      <c r="K464" s="176">
        <f t="shared" si="159"/>
        <v>0</v>
      </c>
      <c r="L464" s="10"/>
      <c r="M464" s="176">
        <f t="shared" si="160"/>
        <v>0</v>
      </c>
      <c r="N464" s="176">
        <f>'Nine-Ten(Bangla)'!Q62</f>
        <v>0</v>
      </c>
      <c r="O464" s="176">
        <f t="shared" si="161"/>
        <v>0</v>
      </c>
      <c r="P464" s="176">
        <f t="shared" si="166"/>
        <v>0</v>
      </c>
      <c r="Q464" s="176">
        <f t="shared" si="162"/>
        <v>0</v>
      </c>
      <c r="R464" s="176">
        <f t="shared" si="163"/>
        <v>0</v>
      </c>
      <c r="S464" s="176">
        <f t="shared" si="167"/>
        <v>0</v>
      </c>
      <c r="T464" s="176">
        <f t="shared" si="164"/>
        <v>0</v>
      </c>
      <c r="U464" s="176">
        <f t="shared" si="168"/>
        <v>0</v>
      </c>
    </row>
    <row r="465" spans="1:21" s="43" customFormat="1" ht="18.600000000000001" customHeight="1">
      <c r="A465" s="176">
        <v>15</v>
      </c>
      <c r="B465" s="177" t="s">
        <v>112</v>
      </c>
      <c r="C465" s="173" t="s">
        <v>94</v>
      </c>
      <c r="D465" s="178">
        <v>21.5</v>
      </c>
      <c r="E465" s="176"/>
      <c r="F465" s="176">
        <v>5.75</v>
      </c>
      <c r="G465" s="176">
        <f t="shared" si="165"/>
        <v>0</v>
      </c>
      <c r="H465" s="10"/>
      <c r="I465" s="176">
        <f t="shared" si="157"/>
        <v>0</v>
      </c>
      <c r="J465" s="176">
        <f t="shared" si="158"/>
        <v>0</v>
      </c>
      <c r="K465" s="176">
        <f t="shared" si="159"/>
        <v>0</v>
      </c>
      <c r="L465" s="10"/>
      <c r="M465" s="176">
        <f t="shared" si="160"/>
        <v>0</v>
      </c>
      <c r="N465" s="176">
        <f>'Nine-Ten(Bangla)'!R62</f>
        <v>0</v>
      </c>
      <c r="O465" s="176">
        <f t="shared" si="161"/>
        <v>0</v>
      </c>
      <c r="P465" s="176">
        <f t="shared" si="166"/>
        <v>0</v>
      </c>
      <c r="Q465" s="176">
        <f t="shared" si="162"/>
        <v>0</v>
      </c>
      <c r="R465" s="176">
        <f t="shared" si="163"/>
        <v>0</v>
      </c>
      <c r="S465" s="176">
        <f t="shared" si="167"/>
        <v>0</v>
      </c>
      <c r="T465" s="176">
        <f t="shared" si="164"/>
        <v>0</v>
      </c>
      <c r="U465" s="176">
        <f t="shared" si="168"/>
        <v>0</v>
      </c>
    </row>
    <row r="466" spans="1:21" s="43" customFormat="1" ht="15.75">
      <c r="A466" s="176">
        <v>16</v>
      </c>
      <c r="B466" s="177" t="s">
        <v>149</v>
      </c>
      <c r="C466" s="173" t="s">
        <v>94</v>
      </c>
      <c r="D466" s="178">
        <v>22.5</v>
      </c>
      <c r="E466" s="176"/>
      <c r="F466" s="176">
        <v>6.25</v>
      </c>
      <c r="G466" s="176">
        <f t="shared" si="165"/>
        <v>0</v>
      </c>
      <c r="H466" s="10"/>
      <c r="I466" s="176">
        <f t="shared" si="157"/>
        <v>0</v>
      </c>
      <c r="J466" s="176">
        <f t="shared" si="158"/>
        <v>0</v>
      </c>
      <c r="K466" s="176">
        <f t="shared" si="159"/>
        <v>0</v>
      </c>
      <c r="L466" s="10"/>
      <c r="M466" s="176">
        <f t="shared" si="160"/>
        <v>0</v>
      </c>
      <c r="N466" s="176">
        <f>'Nine-Ten(Bangla)'!S62</f>
        <v>0</v>
      </c>
      <c r="O466" s="176">
        <f t="shared" si="161"/>
        <v>0</v>
      </c>
      <c r="P466" s="176">
        <f t="shared" si="166"/>
        <v>0</v>
      </c>
      <c r="Q466" s="176">
        <f t="shared" si="162"/>
        <v>0</v>
      </c>
      <c r="R466" s="176">
        <f t="shared" si="163"/>
        <v>0</v>
      </c>
      <c r="S466" s="176">
        <f t="shared" si="167"/>
        <v>0</v>
      </c>
      <c r="T466" s="176">
        <f t="shared" si="164"/>
        <v>0</v>
      </c>
      <c r="U466" s="176">
        <f t="shared" si="168"/>
        <v>0</v>
      </c>
    </row>
    <row r="467" spans="1:21" s="43" customFormat="1" ht="15.75">
      <c r="A467" s="383" t="s">
        <v>67</v>
      </c>
      <c r="B467" s="383"/>
      <c r="C467" s="383"/>
      <c r="D467" s="383"/>
      <c r="E467" s="143">
        <f t="shared" ref="E467:U467" si="169">SUM(E451:E466)</f>
        <v>288238</v>
      </c>
      <c r="F467" s="143">
        <f t="shared" si="169"/>
        <v>111.75</v>
      </c>
      <c r="G467" s="143">
        <f t="shared" si="169"/>
        <v>2210764</v>
      </c>
      <c r="H467" s="143">
        <f t="shared" si="169"/>
        <v>0</v>
      </c>
      <c r="I467" s="143">
        <f t="shared" si="169"/>
        <v>2210764</v>
      </c>
      <c r="J467" s="143">
        <f t="shared" si="169"/>
        <v>0</v>
      </c>
      <c r="K467" s="143">
        <f t="shared" si="169"/>
        <v>288238</v>
      </c>
      <c r="L467" s="143">
        <f t="shared" si="169"/>
        <v>0</v>
      </c>
      <c r="M467" s="143">
        <f t="shared" si="169"/>
        <v>288238</v>
      </c>
      <c r="N467" s="143">
        <f t="shared" si="169"/>
        <v>0</v>
      </c>
      <c r="O467" s="143">
        <f t="shared" si="169"/>
        <v>288238</v>
      </c>
      <c r="P467" s="143">
        <f t="shared" si="169"/>
        <v>0</v>
      </c>
      <c r="Q467" s="143">
        <f t="shared" si="169"/>
        <v>0</v>
      </c>
      <c r="R467" s="143">
        <f t="shared" si="169"/>
        <v>8474.2959999999985</v>
      </c>
      <c r="S467" s="143">
        <f t="shared" si="169"/>
        <v>112.99061333333333</v>
      </c>
      <c r="T467" s="143">
        <f t="shared" si="169"/>
        <v>0</v>
      </c>
      <c r="U467" s="143">
        <f t="shared" si="169"/>
        <v>112.99061333333333</v>
      </c>
    </row>
    <row r="468" spans="1:21" s="43" customFormat="1">
      <c r="A468" s="30"/>
      <c r="B468" s="28"/>
      <c r="C468" s="30"/>
      <c r="D468" s="31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</row>
    <row r="469" spans="1:21" s="43" customFormat="1">
      <c r="A469" s="30"/>
      <c r="B469" s="28"/>
      <c r="C469" s="30"/>
      <c r="D469" s="31"/>
      <c r="E469" s="30"/>
      <c r="F469" s="30"/>
      <c r="G469" s="30"/>
      <c r="H469" s="30"/>
      <c r="I469" s="30"/>
      <c r="J469" s="30"/>
      <c r="K469" s="30"/>
      <c r="L469" s="30"/>
      <c r="M469" s="122"/>
      <c r="N469" s="122"/>
      <c r="O469" s="122"/>
      <c r="P469" s="122"/>
      <c r="Q469" s="67"/>
      <c r="R469" s="67"/>
      <c r="S469" s="67"/>
      <c r="T469" s="67"/>
      <c r="U469" s="67"/>
    </row>
    <row r="470" spans="1:21" s="43" customFormat="1" ht="15.75">
      <c r="A470" s="61"/>
      <c r="B470" s="61"/>
      <c r="C470" s="61"/>
      <c r="D470" s="61"/>
      <c r="E470" s="62"/>
      <c r="F470" s="62"/>
      <c r="G470" s="62"/>
      <c r="H470" s="62"/>
      <c r="I470" s="62"/>
      <c r="J470" s="62"/>
      <c r="K470" s="62"/>
      <c r="L470" s="62"/>
      <c r="M470" s="63"/>
      <c r="N470" s="63"/>
      <c r="O470" s="63"/>
      <c r="P470" s="63"/>
      <c r="Q470" s="387" t="s">
        <v>254</v>
      </c>
      <c r="R470" s="387"/>
      <c r="S470" s="387"/>
      <c r="T470" s="387"/>
      <c r="U470" s="387"/>
    </row>
    <row r="471" spans="1:21" s="43" customFormat="1" ht="15.75">
      <c r="A471" s="61"/>
      <c r="B471" s="61"/>
      <c r="C471" s="61"/>
      <c r="D471" s="61"/>
      <c r="E471" s="62"/>
      <c r="F471" s="62"/>
      <c r="G471" s="62"/>
      <c r="H471" s="62"/>
      <c r="I471" s="62"/>
      <c r="J471" s="62"/>
      <c r="K471" s="62"/>
      <c r="L471" s="62"/>
      <c r="M471" s="63"/>
      <c r="N471" s="63"/>
      <c r="O471" s="63"/>
      <c r="P471" s="63"/>
      <c r="Q471" s="153"/>
      <c r="R471" s="153"/>
      <c r="S471" s="153"/>
      <c r="T471" s="153"/>
      <c r="U471" s="153"/>
    </row>
    <row r="472" spans="1:21" s="43" customFormat="1" ht="15.75">
      <c r="A472" s="61"/>
      <c r="B472" s="61"/>
      <c r="C472" s="61"/>
      <c r="D472" s="61"/>
      <c r="E472" s="62"/>
      <c r="F472" s="62"/>
      <c r="G472" s="62"/>
      <c r="H472" s="62"/>
      <c r="I472" s="62"/>
      <c r="J472" s="62"/>
      <c r="K472" s="62"/>
      <c r="L472" s="62"/>
      <c r="M472" s="63"/>
      <c r="N472" s="63"/>
      <c r="O472" s="63"/>
      <c r="P472" s="63"/>
      <c r="Q472" s="153"/>
      <c r="R472" s="153"/>
      <c r="S472" s="153"/>
      <c r="T472" s="153"/>
      <c r="U472" s="153"/>
    </row>
    <row r="473" spans="1:21" s="43" customFormat="1" ht="15.75">
      <c r="A473" s="61"/>
      <c r="B473" s="61"/>
      <c r="C473" s="61"/>
      <c r="D473" s="61"/>
      <c r="E473" s="62"/>
      <c r="F473" s="62"/>
      <c r="G473" s="62"/>
      <c r="H473" s="62"/>
      <c r="I473" s="62"/>
      <c r="J473" s="62"/>
      <c r="K473" s="62"/>
      <c r="L473" s="62"/>
      <c r="M473" s="63"/>
      <c r="N473" s="63"/>
      <c r="O473" s="63"/>
      <c r="P473" s="63"/>
      <c r="Q473" s="153"/>
      <c r="R473" s="153"/>
      <c r="S473" s="153"/>
      <c r="T473" s="153"/>
      <c r="U473" s="153"/>
    </row>
    <row r="474" spans="1:21" s="43" customFormat="1" ht="15.75">
      <c r="A474" s="61"/>
      <c r="B474" s="61"/>
      <c r="C474" s="61"/>
      <c r="D474" s="61"/>
      <c r="E474" s="62"/>
      <c r="F474" s="62"/>
      <c r="G474" s="62"/>
      <c r="H474" s="62"/>
      <c r="I474" s="62"/>
      <c r="J474" s="62"/>
      <c r="K474" s="62"/>
      <c r="L474" s="62"/>
      <c r="M474" s="63"/>
      <c r="N474" s="63"/>
      <c r="O474" s="63"/>
      <c r="P474" s="63"/>
      <c r="Q474" s="153"/>
      <c r="R474" s="153"/>
      <c r="S474" s="153"/>
      <c r="T474" s="153"/>
      <c r="U474" s="153"/>
    </row>
    <row r="475" spans="1:21" s="43" customFormat="1" ht="15.75">
      <c r="A475" s="61"/>
      <c r="B475" s="61"/>
      <c r="C475" s="61"/>
      <c r="D475" s="61"/>
      <c r="E475" s="62"/>
      <c r="F475" s="62"/>
      <c r="G475" s="62"/>
      <c r="H475" s="62"/>
      <c r="I475" s="62"/>
      <c r="J475" s="62"/>
      <c r="K475" s="62"/>
      <c r="L475" s="62"/>
      <c r="M475" s="63"/>
      <c r="N475" s="63"/>
      <c r="O475" s="63"/>
      <c r="P475" s="63"/>
      <c r="Q475" s="153"/>
      <c r="R475" s="153"/>
      <c r="S475" s="153"/>
      <c r="T475" s="153"/>
      <c r="U475" s="153"/>
    </row>
    <row r="476" spans="1:21" s="43" customFormat="1" ht="41.25">
      <c r="A476" s="388" t="s">
        <v>178</v>
      </c>
      <c r="B476" s="388"/>
      <c r="C476" s="388"/>
      <c r="D476" s="388"/>
      <c r="E476" s="388"/>
      <c r="F476" s="388"/>
      <c r="G476" s="388"/>
      <c r="H476" s="388"/>
      <c r="I476" s="388"/>
      <c r="J476" s="388"/>
      <c r="K476" s="388"/>
      <c r="L476" s="388"/>
      <c r="M476" s="388"/>
      <c r="N476" s="388"/>
      <c r="O476" s="388"/>
      <c r="P476" s="388"/>
      <c r="Q476" s="388"/>
      <c r="R476" s="388"/>
      <c r="S476" s="388"/>
      <c r="T476" s="388"/>
      <c r="U476" s="388"/>
    </row>
    <row r="477" spans="1:21" s="43" customFormat="1" ht="20.25">
      <c r="A477" s="379" t="s">
        <v>253</v>
      </c>
      <c r="B477" s="379"/>
      <c r="C477" s="379"/>
      <c r="D477" s="379"/>
      <c r="E477" s="379"/>
      <c r="F477" s="379"/>
      <c r="G477" s="379"/>
      <c r="H477" s="379"/>
      <c r="I477" s="379"/>
      <c r="J477" s="379"/>
      <c r="K477" s="379"/>
      <c r="L477" s="379"/>
      <c r="M477" s="379"/>
      <c r="N477" s="379"/>
      <c r="O477" s="379"/>
      <c r="P477" s="379"/>
      <c r="Q477" s="379"/>
      <c r="R477" s="379"/>
      <c r="S477" s="379"/>
      <c r="T477" s="379"/>
      <c r="U477" s="379"/>
    </row>
    <row r="478" spans="1:21" s="43" customFormat="1" ht="17.25">
      <c r="A478" s="313" t="s">
        <v>274</v>
      </c>
      <c r="B478" s="313"/>
      <c r="C478" s="313"/>
      <c r="D478" s="313"/>
      <c r="E478" s="313"/>
      <c r="F478" s="313"/>
      <c r="G478" s="313"/>
      <c r="H478" s="313"/>
      <c r="I478" s="313"/>
      <c r="J478" s="313"/>
      <c r="K478" s="313"/>
      <c r="L478" s="313"/>
      <c r="M478" s="313"/>
      <c r="N478" s="313"/>
      <c r="O478" s="313"/>
      <c r="P478" s="313"/>
      <c r="Q478" s="313"/>
      <c r="R478" s="313"/>
      <c r="S478" s="313"/>
      <c r="T478" s="313"/>
      <c r="U478" s="313"/>
    </row>
    <row r="479" spans="1:21" s="43" customFormat="1" ht="20.25">
      <c r="A479" s="386" t="s">
        <v>277</v>
      </c>
      <c r="B479" s="386"/>
      <c r="C479" s="386"/>
      <c r="D479" s="386"/>
      <c r="E479" s="386"/>
      <c r="F479" s="386"/>
      <c r="G479" s="386"/>
      <c r="H479" s="386"/>
      <c r="I479" s="386"/>
      <c r="J479" s="386"/>
      <c r="K479" s="386"/>
      <c r="L479" s="386"/>
      <c r="M479" s="386"/>
      <c r="N479" s="386"/>
      <c r="O479" s="386"/>
      <c r="P479" s="386"/>
      <c r="Q479" s="386"/>
      <c r="R479" s="378">
        <f>R104</f>
        <v>12465.441999999999</v>
      </c>
      <c r="S479" s="378"/>
      <c r="T479" s="378"/>
      <c r="U479" s="378"/>
    </row>
    <row r="480" spans="1:21" s="43" customFormat="1">
      <c r="A480" s="389" t="s">
        <v>15</v>
      </c>
      <c r="B480" s="389" t="s">
        <v>64</v>
      </c>
      <c r="C480" s="389" t="s">
        <v>65</v>
      </c>
      <c r="D480" s="380" t="s">
        <v>66</v>
      </c>
      <c r="E480" s="161" t="s">
        <v>88</v>
      </c>
      <c r="F480" s="145" t="s">
        <v>157</v>
      </c>
      <c r="G480" s="374" t="s">
        <v>138</v>
      </c>
      <c r="H480" s="375"/>
      <c r="I480" s="376"/>
      <c r="J480" s="377" t="s">
        <v>139</v>
      </c>
      <c r="K480" s="377"/>
      <c r="L480" s="377" t="s">
        <v>86</v>
      </c>
      <c r="M480" s="377"/>
      <c r="N480" s="377" t="s">
        <v>25</v>
      </c>
      <c r="O480" s="377"/>
      <c r="P480" s="377" t="s">
        <v>87</v>
      </c>
      <c r="Q480" s="382" t="s">
        <v>199</v>
      </c>
      <c r="R480" s="377" t="s">
        <v>140</v>
      </c>
      <c r="S480" s="377"/>
      <c r="T480" s="377"/>
      <c r="U480" s="377"/>
    </row>
    <row r="481" spans="1:21" s="43" customFormat="1" ht="21" customHeight="1">
      <c r="A481" s="390"/>
      <c r="B481" s="390"/>
      <c r="C481" s="390"/>
      <c r="D481" s="381"/>
      <c r="E481" s="145" t="s">
        <v>261</v>
      </c>
      <c r="F481" s="145"/>
      <c r="G481" s="139" t="s">
        <v>189</v>
      </c>
      <c r="H481" s="145" t="s">
        <v>85</v>
      </c>
      <c r="I481" s="145" t="s">
        <v>70</v>
      </c>
      <c r="J481" s="148" t="s">
        <v>85</v>
      </c>
      <c r="K481" s="148" t="s">
        <v>70</v>
      </c>
      <c r="L481" s="145" t="s">
        <v>86</v>
      </c>
      <c r="M481" s="148" t="s">
        <v>70</v>
      </c>
      <c r="N481" s="148" t="s">
        <v>25</v>
      </c>
      <c r="O481" s="148" t="s">
        <v>70</v>
      </c>
      <c r="P481" s="377"/>
      <c r="Q481" s="382"/>
      <c r="R481" s="148" t="s">
        <v>155</v>
      </c>
      <c r="S481" s="148" t="s">
        <v>156</v>
      </c>
      <c r="T481" s="148" t="s">
        <v>141</v>
      </c>
      <c r="U481" s="148" t="s">
        <v>70</v>
      </c>
    </row>
    <row r="482" spans="1:21" s="43" customFormat="1" ht="18.600000000000001" customHeight="1">
      <c r="A482" s="176">
        <v>1</v>
      </c>
      <c r="B482" s="177" t="s">
        <v>147</v>
      </c>
      <c r="C482" s="173" t="s">
        <v>94</v>
      </c>
      <c r="D482" s="178">
        <v>32.5</v>
      </c>
      <c r="E482" s="176">
        <v>51473</v>
      </c>
      <c r="F482" s="176">
        <v>8.25</v>
      </c>
      <c r="G482" s="176">
        <f>F482*E482</f>
        <v>424652.25</v>
      </c>
      <c r="H482" s="10"/>
      <c r="I482" s="176">
        <f t="shared" ref="I482:I497" si="170">G482-H482</f>
        <v>424652.25</v>
      </c>
      <c r="J482" s="176">
        <f t="shared" ref="J482:J497" si="171">H482/F482</f>
        <v>0</v>
      </c>
      <c r="K482" s="176">
        <f t="shared" ref="K482:K497" si="172">E482-J482</f>
        <v>51473</v>
      </c>
      <c r="L482" s="10"/>
      <c r="M482" s="176">
        <f t="shared" ref="M482:M497" si="173">E482-L482</f>
        <v>51473</v>
      </c>
      <c r="N482" s="176">
        <f>'Nine-Ten(Bangla)'!D108</f>
        <v>0</v>
      </c>
      <c r="O482" s="176">
        <f t="shared" ref="O482:O497" si="174">E482-N482</f>
        <v>51473</v>
      </c>
      <c r="P482" s="176">
        <f>L482-N482</f>
        <v>0</v>
      </c>
      <c r="Q482" s="176">
        <f t="shared" ref="Q482:Q497" si="175">D482*L482/1000</f>
        <v>0</v>
      </c>
      <c r="R482" s="176">
        <f t="shared" ref="R482:R497" si="176">D482*E482/1000</f>
        <v>1672.8724999999999</v>
      </c>
      <c r="S482" s="176">
        <f>R482/75</f>
        <v>22.304966666666665</v>
      </c>
      <c r="T482" s="176">
        <f t="shared" ref="T482:T497" si="177">D482*J482/1000/75</f>
        <v>0</v>
      </c>
      <c r="U482" s="176">
        <f>S482-T482</f>
        <v>22.304966666666665</v>
      </c>
    </row>
    <row r="483" spans="1:21" s="43" customFormat="1" ht="18.600000000000001" customHeight="1">
      <c r="A483" s="176">
        <v>2</v>
      </c>
      <c r="B483" s="177" t="s">
        <v>27</v>
      </c>
      <c r="C483" s="173" t="s">
        <v>94</v>
      </c>
      <c r="D483" s="178">
        <v>26.5</v>
      </c>
      <c r="E483" s="176">
        <v>51473</v>
      </c>
      <c r="F483" s="176">
        <v>7.25</v>
      </c>
      <c r="G483" s="176">
        <f t="shared" ref="G483:G497" si="178">F483*E483</f>
        <v>373179.25</v>
      </c>
      <c r="H483" s="10"/>
      <c r="I483" s="176">
        <f t="shared" si="170"/>
        <v>373179.25</v>
      </c>
      <c r="J483" s="176">
        <f t="shared" si="171"/>
        <v>0</v>
      </c>
      <c r="K483" s="176">
        <f t="shared" si="172"/>
        <v>51473</v>
      </c>
      <c r="L483" s="10"/>
      <c r="M483" s="176">
        <f t="shared" si="173"/>
        <v>51473</v>
      </c>
      <c r="N483" s="176">
        <f>'Nine-Ten(Bangla)'!E108</f>
        <v>0</v>
      </c>
      <c r="O483" s="176">
        <f t="shared" si="174"/>
        <v>51473</v>
      </c>
      <c r="P483" s="176">
        <f t="shared" ref="P483:P497" si="179">L483-N483</f>
        <v>0</v>
      </c>
      <c r="Q483" s="176">
        <f t="shared" si="175"/>
        <v>0</v>
      </c>
      <c r="R483" s="176">
        <f t="shared" si="176"/>
        <v>1364.0345</v>
      </c>
      <c r="S483" s="176">
        <f t="shared" ref="S483:S497" si="180">R483/75</f>
        <v>18.187126666666668</v>
      </c>
      <c r="T483" s="176">
        <f t="shared" si="177"/>
        <v>0</v>
      </c>
      <c r="U483" s="176">
        <f t="shared" ref="U483:U497" si="181">S483-T483</f>
        <v>18.187126666666668</v>
      </c>
    </row>
    <row r="484" spans="1:21" s="43" customFormat="1" ht="15.75">
      <c r="A484" s="176">
        <v>3</v>
      </c>
      <c r="B484" s="177" t="s">
        <v>31</v>
      </c>
      <c r="C484" s="173" t="s">
        <v>94</v>
      </c>
      <c r="D484" s="178">
        <v>45</v>
      </c>
      <c r="E484" s="176">
        <v>51473</v>
      </c>
      <c r="F484" s="176">
        <v>11.5</v>
      </c>
      <c r="G484" s="176">
        <f t="shared" si="178"/>
        <v>591939.5</v>
      </c>
      <c r="H484" s="10"/>
      <c r="I484" s="176">
        <f t="shared" si="170"/>
        <v>591939.5</v>
      </c>
      <c r="J484" s="176">
        <f t="shared" si="171"/>
        <v>0</v>
      </c>
      <c r="K484" s="176">
        <f t="shared" si="172"/>
        <v>51473</v>
      </c>
      <c r="L484" s="10"/>
      <c r="M484" s="176">
        <f t="shared" si="173"/>
        <v>51473</v>
      </c>
      <c r="N484" s="176">
        <f>'Nine-Ten(Bangla)'!F108</f>
        <v>0</v>
      </c>
      <c r="O484" s="176">
        <f t="shared" si="174"/>
        <v>51473</v>
      </c>
      <c r="P484" s="176">
        <f t="shared" si="179"/>
        <v>0</v>
      </c>
      <c r="Q484" s="176">
        <f t="shared" si="175"/>
        <v>0</v>
      </c>
      <c r="R484" s="176">
        <f t="shared" si="176"/>
        <v>2316.2849999999999</v>
      </c>
      <c r="S484" s="176">
        <f t="shared" si="180"/>
        <v>30.883799999999997</v>
      </c>
      <c r="T484" s="176">
        <f t="shared" si="177"/>
        <v>0</v>
      </c>
      <c r="U484" s="176">
        <f t="shared" si="181"/>
        <v>30.883799999999997</v>
      </c>
    </row>
    <row r="485" spans="1:21" s="43" customFormat="1" ht="15.75">
      <c r="A485" s="176">
        <v>4</v>
      </c>
      <c r="B485" s="177" t="s">
        <v>48</v>
      </c>
      <c r="C485" s="173" t="s">
        <v>94</v>
      </c>
      <c r="D485" s="178">
        <v>25.5</v>
      </c>
      <c r="E485" s="176">
        <v>36618</v>
      </c>
      <c r="F485" s="176">
        <v>6.75</v>
      </c>
      <c r="G485" s="176">
        <f t="shared" si="178"/>
        <v>247171.5</v>
      </c>
      <c r="H485" s="10"/>
      <c r="I485" s="176">
        <f t="shared" si="170"/>
        <v>247171.5</v>
      </c>
      <c r="J485" s="176">
        <f t="shared" si="171"/>
        <v>0</v>
      </c>
      <c r="K485" s="176">
        <f t="shared" si="172"/>
        <v>36618</v>
      </c>
      <c r="L485" s="10"/>
      <c r="M485" s="176">
        <f t="shared" si="173"/>
        <v>36618</v>
      </c>
      <c r="N485" s="176">
        <f>'Nine-Ten(Bangla)'!G108</f>
        <v>0</v>
      </c>
      <c r="O485" s="176">
        <f t="shared" si="174"/>
        <v>36618</v>
      </c>
      <c r="P485" s="176">
        <f t="shared" si="179"/>
        <v>0</v>
      </c>
      <c r="Q485" s="176">
        <f t="shared" si="175"/>
        <v>0</v>
      </c>
      <c r="R485" s="176">
        <f t="shared" si="176"/>
        <v>933.75900000000001</v>
      </c>
      <c r="S485" s="176">
        <f t="shared" si="180"/>
        <v>12.45012</v>
      </c>
      <c r="T485" s="176">
        <f t="shared" si="177"/>
        <v>0</v>
      </c>
      <c r="U485" s="176">
        <f t="shared" si="181"/>
        <v>12.45012</v>
      </c>
    </row>
    <row r="486" spans="1:21" s="43" customFormat="1" ht="15.75">
      <c r="A486" s="176">
        <v>5</v>
      </c>
      <c r="B486" s="177" t="s">
        <v>75</v>
      </c>
      <c r="C486" s="173" t="s">
        <v>94</v>
      </c>
      <c r="D486" s="178">
        <v>19.5</v>
      </c>
      <c r="E486" s="176">
        <v>13603</v>
      </c>
      <c r="F486" s="176">
        <v>5.75</v>
      </c>
      <c r="G486" s="176">
        <f t="shared" si="178"/>
        <v>78217.25</v>
      </c>
      <c r="H486" s="10"/>
      <c r="I486" s="176">
        <f t="shared" si="170"/>
        <v>78217.25</v>
      </c>
      <c r="J486" s="176">
        <f t="shared" si="171"/>
        <v>0</v>
      </c>
      <c r="K486" s="176">
        <f t="shared" si="172"/>
        <v>13603</v>
      </c>
      <c r="L486" s="10"/>
      <c r="M486" s="176">
        <f t="shared" si="173"/>
        <v>13603</v>
      </c>
      <c r="N486" s="176">
        <f>'Nine-Ten(Bangla)'!H108</f>
        <v>0</v>
      </c>
      <c r="O486" s="176">
        <f t="shared" si="174"/>
        <v>13603</v>
      </c>
      <c r="P486" s="176">
        <f t="shared" si="179"/>
        <v>0</v>
      </c>
      <c r="Q486" s="176">
        <f t="shared" si="175"/>
        <v>0</v>
      </c>
      <c r="R486" s="176">
        <f t="shared" si="176"/>
        <v>265.25850000000003</v>
      </c>
      <c r="S486" s="176">
        <f t="shared" si="180"/>
        <v>3.5367800000000003</v>
      </c>
      <c r="T486" s="176">
        <f t="shared" si="177"/>
        <v>0</v>
      </c>
      <c r="U486" s="176">
        <f t="shared" si="181"/>
        <v>3.5367800000000003</v>
      </c>
    </row>
    <row r="487" spans="1:21" s="43" customFormat="1" ht="15.75">
      <c r="A487" s="176">
        <v>6</v>
      </c>
      <c r="B487" s="177" t="s">
        <v>76</v>
      </c>
      <c r="C487" s="173" t="s">
        <v>94</v>
      </c>
      <c r="D487" s="178">
        <v>18.5</v>
      </c>
      <c r="E487" s="176">
        <v>809</v>
      </c>
      <c r="F487" s="176">
        <v>5.25</v>
      </c>
      <c r="G487" s="176">
        <f t="shared" si="178"/>
        <v>4247.25</v>
      </c>
      <c r="H487" s="10"/>
      <c r="I487" s="176">
        <f t="shared" si="170"/>
        <v>4247.25</v>
      </c>
      <c r="J487" s="176">
        <f t="shared" si="171"/>
        <v>0</v>
      </c>
      <c r="K487" s="176">
        <f t="shared" si="172"/>
        <v>809</v>
      </c>
      <c r="L487" s="10"/>
      <c r="M487" s="176">
        <f t="shared" si="173"/>
        <v>809</v>
      </c>
      <c r="N487" s="176">
        <f>'Nine-Ten(Bangla)'!I108</f>
        <v>0</v>
      </c>
      <c r="O487" s="176">
        <f t="shared" si="174"/>
        <v>809</v>
      </c>
      <c r="P487" s="176">
        <f t="shared" si="179"/>
        <v>0</v>
      </c>
      <c r="Q487" s="176">
        <f t="shared" si="175"/>
        <v>0</v>
      </c>
      <c r="R487" s="176">
        <f t="shared" si="176"/>
        <v>14.9665</v>
      </c>
      <c r="S487" s="176">
        <f t="shared" si="180"/>
        <v>0.19955333333333333</v>
      </c>
      <c r="T487" s="176">
        <f t="shared" si="177"/>
        <v>0</v>
      </c>
      <c r="U487" s="176">
        <f t="shared" si="181"/>
        <v>0.19955333333333333</v>
      </c>
    </row>
    <row r="488" spans="1:21" s="43" customFormat="1" ht="15.75">
      <c r="A488" s="176">
        <v>7</v>
      </c>
      <c r="B488" s="177" t="s">
        <v>51</v>
      </c>
      <c r="C488" s="173" t="s">
        <v>94</v>
      </c>
      <c r="D488" s="178">
        <v>19.5</v>
      </c>
      <c r="E488" s="176">
        <v>47</v>
      </c>
      <c r="F488" s="176">
        <v>5.75</v>
      </c>
      <c r="G488" s="176">
        <f t="shared" si="178"/>
        <v>270.25</v>
      </c>
      <c r="H488" s="10"/>
      <c r="I488" s="176">
        <f t="shared" si="170"/>
        <v>270.25</v>
      </c>
      <c r="J488" s="176">
        <f t="shared" si="171"/>
        <v>0</v>
      </c>
      <c r="K488" s="176">
        <f t="shared" si="172"/>
        <v>47</v>
      </c>
      <c r="L488" s="10"/>
      <c r="M488" s="176">
        <f t="shared" si="173"/>
        <v>47</v>
      </c>
      <c r="N488" s="176">
        <f>'Nine-Ten(Bangla)'!J108</f>
        <v>0</v>
      </c>
      <c r="O488" s="176">
        <f t="shared" si="174"/>
        <v>47</v>
      </c>
      <c r="P488" s="176">
        <f t="shared" si="179"/>
        <v>0</v>
      </c>
      <c r="Q488" s="176">
        <f t="shared" si="175"/>
        <v>0</v>
      </c>
      <c r="R488" s="176">
        <f t="shared" si="176"/>
        <v>0.91649999999999998</v>
      </c>
      <c r="S488" s="176">
        <f t="shared" si="180"/>
        <v>1.222E-2</v>
      </c>
      <c r="T488" s="176">
        <f t="shared" si="177"/>
        <v>0</v>
      </c>
      <c r="U488" s="176">
        <f t="shared" si="181"/>
        <v>1.222E-2</v>
      </c>
    </row>
    <row r="489" spans="1:21" s="43" customFormat="1" ht="15.75">
      <c r="A489" s="176">
        <v>8</v>
      </c>
      <c r="B489" s="177" t="s">
        <v>95</v>
      </c>
      <c r="C489" s="173" t="s">
        <v>94</v>
      </c>
      <c r="D489" s="178">
        <v>29.5</v>
      </c>
      <c r="E489" s="176">
        <v>29523</v>
      </c>
      <c r="F489" s="176">
        <v>7.75</v>
      </c>
      <c r="G489" s="176">
        <f t="shared" si="178"/>
        <v>228803.25</v>
      </c>
      <c r="H489" s="10"/>
      <c r="I489" s="176">
        <f t="shared" si="170"/>
        <v>228803.25</v>
      </c>
      <c r="J489" s="176">
        <f t="shared" si="171"/>
        <v>0</v>
      </c>
      <c r="K489" s="176">
        <f t="shared" si="172"/>
        <v>29523</v>
      </c>
      <c r="L489" s="10"/>
      <c r="M489" s="176">
        <f t="shared" si="173"/>
        <v>29523</v>
      </c>
      <c r="N489" s="176">
        <f>'Nine-Ten(Bangla)'!K108</f>
        <v>0</v>
      </c>
      <c r="O489" s="176">
        <f t="shared" si="174"/>
        <v>29523</v>
      </c>
      <c r="P489" s="176">
        <f t="shared" si="179"/>
        <v>0</v>
      </c>
      <c r="Q489" s="176">
        <f t="shared" si="175"/>
        <v>0</v>
      </c>
      <c r="R489" s="176">
        <f t="shared" si="176"/>
        <v>870.92849999999999</v>
      </c>
      <c r="S489" s="176">
        <f t="shared" si="180"/>
        <v>11.61238</v>
      </c>
      <c r="T489" s="176">
        <f t="shared" si="177"/>
        <v>0</v>
      </c>
      <c r="U489" s="176">
        <f t="shared" si="181"/>
        <v>11.61238</v>
      </c>
    </row>
    <row r="490" spans="1:21" s="43" customFormat="1" ht="15.75">
      <c r="A490" s="176">
        <v>9</v>
      </c>
      <c r="B490" s="177" t="s">
        <v>109</v>
      </c>
      <c r="C490" s="173" t="s">
        <v>94</v>
      </c>
      <c r="D490" s="178">
        <v>16.5</v>
      </c>
      <c r="E490" s="176">
        <v>19299</v>
      </c>
      <c r="F490" s="176">
        <v>4.25</v>
      </c>
      <c r="G490" s="176">
        <f t="shared" si="178"/>
        <v>82020.75</v>
      </c>
      <c r="H490" s="10"/>
      <c r="I490" s="176">
        <f t="shared" si="170"/>
        <v>82020.75</v>
      </c>
      <c r="J490" s="176">
        <f t="shared" si="171"/>
        <v>0</v>
      </c>
      <c r="K490" s="176">
        <f t="shared" si="172"/>
        <v>19299</v>
      </c>
      <c r="L490" s="10"/>
      <c r="M490" s="176">
        <f t="shared" si="173"/>
        <v>19299</v>
      </c>
      <c r="N490" s="176">
        <f>'Nine-Ten(Bangla)'!L108</f>
        <v>0</v>
      </c>
      <c r="O490" s="176">
        <f t="shared" si="174"/>
        <v>19299</v>
      </c>
      <c r="P490" s="176">
        <f t="shared" si="179"/>
        <v>0</v>
      </c>
      <c r="Q490" s="176">
        <f t="shared" si="175"/>
        <v>0</v>
      </c>
      <c r="R490" s="176">
        <f t="shared" si="176"/>
        <v>318.43349999999998</v>
      </c>
      <c r="S490" s="176">
        <f t="shared" si="180"/>
        <v>4.2457799999999999</v>
      </c>
      <c r="T490" s="176">
        <f t="shared" si="177"/>
        <v>0</v>
      </c>
      <c r="U490" s="176">
        <f t="shared" si="181"/>
        <v>4.2457799999999999</v>
      </c>
    </row>
    <row r="491" spans="1:21" s="43" customFormat="1" ht="15.75">
      <c r="A491" s="176">
        <v>10</v>
      </c>
      <c r="B491" s="177" t="s">
        <v>96</v>
      </c>
      <c r="C491" s="173" t="s">
        <v>94</v>
      </c>
      <c r="D491" s="178">
        <v>24</v>
      </c>
      <c r="E491" s="176">
        <v>29448</v>
      </c>
      <c r="F491" s="176">
        <v>6</v>
      </c>
      <c r="G491" s="176">
        <f t="shared" si="178"/>
        <v>176688</v>
      </c>
      <c r="H491" s="10"/>
      <c r="I491" s="176">
        <f t="shared" si="170"/>
        <v>176688</v>
      </c>
      <c r="J491" s="176">
        <f t="shared" si="171"/>
        <v>0</v>
      </c>
      <c r="K491" s="176">
        <f t="shared" si="172"/>
        <v>29448</v>
      </c>
      <c r="L491" s="10"/>
      <c r="M491" s="176">
        <f t="shared" si="173"/>
        <v>29448</v>
      </c>
      <c r="N491" s="176">
        <f>'Nine-Ten(Bangla)'!M108</f>
        <v>0</v>
      </c>
      <c r="O491" s="176">
        <f t="shared" si="174"/>
        <v>29448</v>
      </c>
      <c r="P491" s="176">
        <f t="shared" si="179"/>
        <v>0</v>
      </c>
      <c r="Q491" s="176">
        <f t="shared" si="175"/>
        <v>0</v>
      </c>
      <c r="R491" s="176">
        <f t="shared" si="176"/>
        <v>706.75199999999995</v>
      </c>
      <c r="S491" s="176">
        <f t="shared" si="180"/>
        <v>9.4233599999999988</v>
      </c>
      <c r="T491" s="176">
        <f t="shared" si="177"/>
        <v>0</v>
      </c>
      <c r="U491" s="176">
        <f t="shared" si="181"/>
        <v>9.4233599999999988</v>
      </c>
    </row>
    <row r="492" spans="1:21" s="43" customFormat="1" ht="15.75">
      <c r="A492" s="176">
        <v>11</v>
      </c>
      <c r="B492" s="177" t="s">
        <v>97</v>
      </c>
      <c r="C492" s="173" t="s">
        <v>94</v>
      </c>
      <c r="D492" s="178">
        <v>19.5</v>
      </c>
      <c r="E492" s="176">
        <v>11741</v>
      </c>
      <c r="F492" s="176">
        <v>5.75</v>
      </c>
      <c r="G492" s="176">
        <f t="shared" si="178"/>
        <v>67510.75</v>
      </c>
      <c r="H492" s="10"/>
      <c r="I492" s="176">
        <f t="shared" si="170"/>
        <v>67510.75</v>
      </c>
      <c r="J492" s="176">
        <f t="shared" si="171"/>
        <v>0</v>
      </c>
      <c r="K492" s="176">
        <f t="shared" si="172"/>
        <v>11741</v>
      </c>
      <c r="L492" s="10"/>
      <c r="M492" s="176">
        <f t="shared" si="173"/>
        <v>11741</v>
      </c>
      <c r="N492" s="176">
        <f>'Nine-Ten(Bangla)'!N108</f>
        <v>0</v>
      </c>
      <c r="O492" s="176">
        <f t="shared" si="174"/>
        <v>11741</v>
      </c>
      <c r="P492" s="176">
        <f t="shared" si="179"/>
        <v>0</v>
      </c>
      <c r="Q492" s="176">
        <f t="shared" si="175"/>
        <v>0</v>
      </c>
      <c r="R492" s="176">
        <f t="shared" si="176"/>
        <v>228.9495</v>
      </c>
      <c r="S492" s="176">
        <f t="shared" si="180"/>
        <v>3.0526599999999999</v>
      </c>
      <c r="T492" s="176">
        <f t="shared" si="177"/>
        <v>0</v>
      </c>
      <c r="U492" s="176">
        <f t="shared" si="181"/>
        <v>3.0526599999999999</v>
      </c>
    </row>
    <row r="493" spans="1:21" s="43" customFormat="1" ht="15.75">
      <c r="A493" s="176">
        <v>12</v>
      </c>
      <c r="B493" s="177" t="s">
        <v>98</v>
      </c>
      <c r="C493" s="173" t="s">
        <v>94</v>
      </c>
      <c r="D493" s="178">
        <v>27.5</v>
      </c>
      <c r="E493" s="176">
        <v>10753</v>
      </c>
      <c r="F493" s="176">
        <v>7.75</v>
      </c>
      <c r="G493" s="176">
        <f t="shared" si="178"/>
        <v>83335.75</v>
      </c>
      <c r="H493" s="10"/>
      <c r="I493" s="176">
        <f t="shared" si="170"/>
        <v>83335.75</v>
      </c>
      <c r="J493" s="176">
        <f t="shared" si="171"/>
        <v>0</v>
      </c>
      <c r="K493" s="176">
        <f t="shared" si="172"/>
        <v>10753</v>
      </c>
      <c r="L493" s="10"/>
      <c r="M493" s="176">
        <f t="shared" si="173"/>
        <v>10753</v>
      </c>
      <c r="N493" s="176">
        <f>'Nine-Ten(Bangla)'!O108</f>
        <v>0</v>
      </c>
      <c r="O493" s="176">
        <f t="shared" si="174"/>
        <v>10753</v>
      </c>
      <c r="P493" s="176">
        <f t="shared" si="179"/>
        <v>0</v>
      </c>
      <c r="Q493" s="176">
        <f t="shared" si="175"/>
        <v>0</v>
      </c>
      <c r="R493" s="176">
        <f t="shared" si="176"/>
        <v>295.70749999999998</v>
      </c>
      <c r="S493" s="176">
        <f t="shared" si="180"/>
        <v>3.9427666666666665</v>
      </c>
      <c r="T493" s="176">
        <f t="shared" si="177"/>
        <v>0</v>
      </c>
      <c r="U493" s="176">
        <f t="shared" si="181"/>
        <v>3.9427666666666665</v>
      </c>
    </row>
    <row r="494" spans="1:21" s="43" customFormat="1" ht="21" customHeight="1">
      <c r="A494" s="176">
        <v>13</v>
      </c>
      <c r="B494" s="177" t="s">
        <v>99</v>
      </c>
      <c r="C494" s="173" t="s">
        <v>94</v>
      </c>
      <c r="D494" s="178">
        <v>24.5</v>
      </c>
      <c r="E494" s="176"/>
      <c r="F494" s="176">
        <v>6.25</v>
      </c>
      <c r="G494" s="176">
        <f t="shared" si="178"/>
        <v>0</v>
      </c>
      <c r="H494" s="10"/>
      <c r="I494" s="176">
        <f t="shared" si="170"/>
        <v>0</v>
      </c>
      <c r="J494" s="176">
        <f t="shared" si="171"/>
        <v>0</v>
      </c>
      <c r="K494" s="176">
        <f t="shared" si="172"/>
        <v>0</v>
      </c>
      <c r="L494" s="10"/>
      <c r="M494" s="176">
        <f t="shared" si="173"/>
        <v>0</v>
      </c>
      <c r="N494" s="176">
        <f>'Nine-Ten(Bangla)'!P108</f>
        <v>0</v>
      </c>
      <c r="O494" s="176">
        <f t="shared" si="174"/>
        <v>0</v>
      </c>
      <c r="P494" s="176">
        <f t="shared" si="179"/>
        <v>0</v>
      </c>
      <c r="Q494" s="176">
        <f t="shared" si="175"/>
        <v>0</v>
      </c>
      <c r="R494" s="176">
        <f t="shared" si="176"/>
        <v>0</v>
      </c>
      <c r="S494" s="176">
        <f t="shared" si="180"/>
        <v>0</v>
      </c>
      <c r="T494" s="176">
        <f t="shared" si="177"/>
        <v>0</v>
      </c>
      <c r="U494" s="176">
        <f t="shared" si="181"/>
        <v>0</v>
      </c>
    </row>
    <row r="495" spans="1:21" s="43" customFormat="1" ht="18.600000000000001" customHeight="1">
      <c r="A495" s="176">
        <v>14</v>
      </c>
      <c r="B495" s="177" t="s">
        <v>148</v>
      </c>
      <c r="C495" s="173" t="s">
        <v>94</v>
      </c>
      <c r="D495" s="178">
        <v>43</v>
      </c>
      <c r="E495" s="176"/>
      <c r="F495" s="176">
        <v>11.5</v>
      </c>
      <c r="G495" s="176">
        <f t="shared" si="178"/>
        <v>0</v>
      </c>
      <c r="H495" s="10"/>
      <c r="I495" s="176">
        <f t="shared" si="170"/>
        <v>0</v>
      </c>
      <c r="J495" s="176">
        <f t="shared" si="171"/>
        <v>0</v>
      </c>
      <c r="K495" s="176">
        <f t="shared" si="172"/>
        <v>0</v>
      </c>
      <c r="L495" s="10"/>
      <c r="M495" s="176">
        <f t="shared" si="173"/>
        <v>0</v>
      </c>
      <c r="N495" s="176">
        <f>'Nine-Ten(Bangla)'!Q108</f>
        <v>0</v>
      </c>
      <c r="O495" s="176">
        <f t="shared" si="174"/>
        <v>0</v>
      </c>
      <c r="P495" s="176">
        <f t="shared" si="179"/>
        <v>0</v>
      </c>
      <c r="Q495" s="176">
        <f t="shared" si="175"/>
        <v>0</v>
      </c>
      <c r="R495" s="176">
        <f t="shared" si="176"/>
        <v>0</v>
      </c>
      <c r="S495" s="176">
        <f t="shared" si="180"/>
        <v>0</v>
      </c>
      <c r="T495" s="176">
        <f t="shared" si="177"/>
        <v>0</v>
      </c>
      <c r="U495" s="176">
        <f t="shared" si="181"/>
        <v>0</v>
      </c>
    </row>
    <row r="496" spans="1:21" s="43" customFormat="1" ht="18.600000000000001" customHeight="1">
      <c r="A496" s="176">
        <v>15</v>
      </c>
      <c r="B496" s="177" t="s">
        <v>112</v>
      </c>
      <c r="C496" s="173" t="s">
        <v>94</v>
      </c>
      <c r="D496" s="178">
        <v>21.5</v>
      </c>
      <c r="E496" s="176"/>
      <c r="F496" s="176">
        <v>5.75</v>
      </c>
      <c r="G496" s="176">
        <f t="shared" si="178"/>
        <v>0</v>
      </c>
      <c r="H496" s="10"/>
      <c r="I496" s="176">
        <f t="shared" si="170"/>
        <v>0</v>
      </c>
      <c r="J496" s="176">
        <f t="shared" si="171"/>
        <v>0</v>
      </c>
      <c r="K496" s="176">
        <f t="shared" si="172"/>
        <v>0</v>
      </c>
      <c r="L496" s="10"/>
      <c r="M496" s="176">
        <f t="shared" si="173"/>
        <v>0</v>
      </c>
      <c r="N496" s="176">
        <f>'Nine-Ten(Bangla)'!R108</f>
        <v>0</v>
      </c>
      <c r="O496" s="176">
        <f t="shared" si="174"/>
        <v>0</v>
      </c>
      <c r="P496" s="176">
        <f t="shared" si="179"/>
        <v>0</v>
      </c>
      <c r="Q496" s="176">
        <f t="shared" si="175"/>
        <v>0</v>
      </c>
      <c r="R496" s="176">
        <f t="shared" si="176"/>
        <v>0</v>
      </c>
      <c r="S496" s="176">
        <f t="shared" si="180"/>
        <v>0</v>
      </c>
      <c r="T496" s="176">
        <f t="shared" si="177"/>
        <v>0</v>
      </c>
      <c r="U496" s="176">
        <f t="shared" si="181"/>
        <v>0</v>
      </c>
    </row>
    <row r="497" spans="1:21" s="43" customFormat="1" ht="15.75">
      <c r="A497" s="176">
        <v>16</v>
      </c>
      <c r="B497" s="177" t="s">
        <v>149</v>
      </c>
      <c r="C497" s="173" t="s">
        <v>94</v>
      </c>
      <c r="D497" s="178">
        <v>22.5</v>
      </c>
      <c r="E497" s="176"/>
      <c r="F497" s="176">
        <v>6.25</v>
      </c>
      <c r="G497" s="176">
        <f t="shared" si="178"/>
        <v>0</v>
      </c>
      <c r="H497" s="10"/>
      <c r="I497" s="176">
        <f t="shared" si="170"/>
        <v>0</v>
      </c>
      <c r="J497" s="176">
        <f t="shared" si="171"/>
        <v>0</v>
      </c>
      <c r="K497" s="176">
        <f t="shared" si="172"/>
        <v>0</v>
      </c>
      <c r="L497" s="10"/>
      <c r="M497" s="176">
        <f t="shared" si="173"/>
        <v>0</v>
      </c>
      <c r="N497" s="176">
        <f>'Nine-Ten(Bangla)'!S108</f>
        <v>0</v>
      </c>
      <c r="O497" s="176">
        <f t="shared" si="174"/>
        <v>0</v>
      </c>
      <c r="P497" s="176">
        <f t="shared" si="179"/>
        <v>0</v>
      </c>
      <c r="Q497" s="176">
        <f t="shared" si="175"/>
        <v>0</v>
      </c>
      <c r="R497" s="176">
        <f t="shared" si="176"/>
        <v>0</v>
      </c>
      <c r="S497" s="176">
        <f t="shared" si="180"/>
        <v>0</v>
      </c>
      <c r="T497" s="176">
        <f t="shared" si="177"/>
        <v>0</v>
      </c>
      <c r="U497" s="176">
        <f t="shared" si="181"/>
        <v>0</v>
      </c>
    </row>
    <row r="498" spans="1:21" s="43" customFormat="1" ht="15.75">
      <c r="A498" s="383" t="s">
        <v>67</v>
      </c>
      <c r="B498" s="383"/>
      <c r="C498" s="383"/>
      <c r="D498" s="383"/>
      <c r="E498" s="143">
        <f t="shared" ref="E498:U498" si="182">SUM(E482:E497)</f>
        <v>306260</v>
      </c>
      <c r="F498" s="143">
        <f t="shared" si="182"/>
        <v>111.75</v>
      </c>
      <c r="G498" s="143">
        <f t="shared" si="182"/>
        <v>2358035.75</v>
      </c>
      <c r="H498" s="143">
        <f t="shared" si="182"/>
        <v>0</v>
      </c>
      <c r="I498" s="143">
        <f t="shared" si="182"/>
        <v>2358035.75</v>
      </c>
      <c r="J498" s="143">
        <f t="shared" si="182"/>
        <v>0</v>
      </c>
      <c r="K498" s="143">
        <f t="shared" si="182"/>
        <v>306260</v>
      </c>
      <c r="L498" s="143">
        <f t="shared" si="182"/>
        <v>0</v>
      </c>
      <c r="M498" s="143">
        <f t="shared" si="182"/>
        <v>306260</v>
      </c>
      <c r="N498" s="143">
        <f t="shared" si="182"/>
        <v>0</v>
      </c>
      <c r="O498" s="143">
        <f t="shared" si="182"/>
        <v>306260</v>
      </c>
      <c r="P498" s="143">
        <f t="shared" si="182"/>
        <v>0</v>
      </c>
      <c r="Q498" s="143">
        <f t="shared" si="182"/>
        <v>0</v>
      </c>
      <c r="R498" s="143">
        <f t="shared" si="182"/>
        <v>8988.8635000000013</v>
      </c>
      <c r="S498" s="143">
        <f t="shared" si="182"/>
        <v>119.85151333333332</v>
      </c>
      <c r="T498" s="143">
        <f t="shared" si="182"/>
        <v>0</v>
      </c>
      <c r="U498" s="143">
        <f t="shared" si="182"/>
        <v>119.85151333333332</v>
      </c>
    </row>
    <row r="499" spans="1:21" s="43" customFormat="1">
      <c r="A499" s="30"/>
      <c r="B499" s="28"/>
      <c r="C499" s="30"/>
      <c r="D499" s="31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</row>
    <row r="500" spans="1:21" s="43" customFormat="1">
      <c r="A500" s="30"/>
      <c r="B500" s="28"/>
      <c r="C500" s="30"/>
      <c r="D500" s="31"/>
      <c r="E500" s="30"/>
      <c r="F500" s="30"/>
      <c r="G500" s="30"/>
      <c r="H500" s="30"/>
      <c r="I500" s="30"/>
      <c r="J500" s="30"/>
      <c r="K500" s="30"/>
      <c r="L500" s="30"/>
      <c r="M500" s="122"/>
      <c r="N500" s="122"/>
      <c r="O500" s="122"/>
      <c r="P500" s="122"/>
      <c r="Q500" s="67"/>
      <c r="R500" s="67"/>
      <c r="S500" s="67"/>
      <c r="T500" s="67"/>
      <c r="U500" s="67"/>
    </row>
    <row r="501" spans="1:21" s="43" customFormat="1" ht="15.75">
      <c r="A501" s="61"/>
      <c r="B501" s="61"/>
      <c r="C501" s="61"/>
      <c r="D501" s="61"/>
      <c r="E501" s="62"/>
      <c r="F501" s="62"/>
      <c r="G501" s="62"/>
      <c r="H501" s="62"/>
      <c r="I501" s="62"/>
      <c r="J501" s="62"/>
      <c r="K501" s="62"/>
      <c r="L501" s="62"/>
      <c r="M501" s="63"/>
      <c r="N501" s="63"/>
      <c r="O501" s="63"/>
      <c r="P501" s="63"/>
      <c r="Q501" s="387" t="s">
        <v>254</v>
      </c>
      <c r="R501" s="387"/>
      <c r="S501" s="387"/>
      <c r="T501" s="387"/>
      <c r="U501" s="387"/>
    </row>
    <row r="502" spans="1:21" s="43" customFormat="1" ht="15.75">
      <c r="A502" s="61"/>
      <c r="B502" s="61"/>
      <c r="C502" s="61"/>
      <c r="D502" s="61"/>
      <c r="E502" s="62"/>
      <c r="F502" s="62"/>
      <c r="G502" s="62"/>
      <c r="H502" s="62"/>
      <c r="I502" s="62"/>
      <c r="J502" s="62"/>
      <c r="K502" s="62"/>
      <c r="L502" s="62"/>
      <c r="M502" s="63"/>
      <c r="N502" s="63"/>
      <c r="O502" s="63"/>
      <c r="P502" s="63"/>
      <c r="Q502" s="153"/>
      <c r="R502" s="153"/>
      <c r="S502" s="153"/>
      <c r="T502" s="153"/>
      <c r="U502" s="153"/>
    </row>
    <row r="503" spans="1:21" s="43" customFormat="1" ht="15.75">
      <c r="A503" s="61"/>
      <c r="B503" s="61"/>
      <c r="C503" s="61"/>
      <c r="D503" s="61"/>
      <c r="E503" s="62"/>
      <c r="F503" s="62"/>
      <c r="G503" s="62"/>
      <c r="H503" s="62"/>
      <c r="I503" s="62"/>
      <c r="J503" s="62"/>
      <c r="K503" s="62"/>
      <c r="L503" s="62"/>
      <c r="M503" s="63"/>
      <c r="N503" s="63"/>
      <c r="O503" s="63"/>
      <c r="P503" s="63"/>
      <c r="Q503" s="153"/>
      <c r="R503" s="153"/>
      <c r="S503" s="153"/>
      <c r="T503" s="153"/>
      <c r="U503" s="153"/>
    </row>
    <row r="504" spans="1:21" s="43" customFormat="1" ht="15.75">
      <c r="A504" s="61"/>
      <c r="B504" s="61"/>
      <c r="C504" s="61"/>
      <c r="D504" s="61"/>
      <c r="E504" s="62"/>
      <c r="F504" s="62"/>
      <c r="G504" s="62"/>
      <c r="H504" s="62"/>
      <c r="I504" s="62"/>
      <c r="J504" s="62"/>
      <c r="K504" s="62"/>
      <c r="L504" s="62"/>
      <c r="M504" s="63"/>
      <c r="N504" s="63"/>
      <c r="O504" s="63"/>
      <c r="P504" s="63"/>
      <c r="Q504" s="153"/>
      <c r="R504" s="153"/>
      <c r="S504" s="153"/>
      <c r="T504" s="153"/>
      <c r="U504" s="153"/>
    </row>
    <row r="505" spans="1:21" s="43" customFormat="1" ht="15.75">
      <c r="A505" s="61"/>
      <c r="B505" s="61"/>
      <c r="C505" s="61"/>
      <c r="D505" s="61"/>
      <c r="E505" s="62"/>
      <c r="F505" s="62"/>
      <c r="G505" s="62"/>
      <c r="H505" s="62"/>
      <c r="I505" s="62"/>
      <c r="J505" s="62"/>
      <c r="K505" s="62"/>
      <c r="L505" s="62"/>
      <c r="M505" s="63"/>
      <c r="N505" s="63"/>
      <c r="O505" s="63"/>
      <c r="P505" s="63"/>
      <c r="Q505" s="153"/>
      <c r="R505" s="153"/>
      <c r="S505" s="153"/>
      <c r="T505" s="153"/>
      <c r="U505" s="153"/>
    </row>
    <row r="506" spans="1:21" s="43" customFormat="1" ht="15.75">
      <c r="A506" s="61"/>
      <c r="B506" s="61"/>
      <c r="C506" s="61"/>
      <c r="D506" s="61"/>
      <c r="E506" s="62"/>
      <c r="F506" s="62"/>
      <c r="G506" s="62"/>
      <c r="H506" s="62"/>
      <c r="I506" s="62"/>
      <c r="J506" s="62"/>
      <c r="K506" s="62"/>
      <c r="L506" s="62"/>
      <c r="M506" s="63"/>
      <c r="N506" s="63"/>
      <c r="O506" s="63"/>
      <c r="P506" s="63"/>
      <c r="Q506" s="153"/>
      <c r="R506" s="153"/>
      <c r="S506" s="153"/>
      <c r="T506" s="153"/>
      <c r="U506" s="153"/>
    </row>
    <row r="507" spans="1:21" s="43" customFormat="1" ht="15.75">
      <c r="A507" s="61"/>
      <c r="B507" s="61"/>
      <c r="C507" s="61"/>
      <c r="D507" s="61"/>
      <c r="E507" s="62"/>
      <c r="F507" s="62"/>
      <c r="G507" s="62"/>
      <c r="H507" s="62"/>
      <c r="I507" s="62"/>
      <c r="J507" s="62"/>
      <c r="K507" s="62"/>
      <c r="L507" s="62"/>
      <c r="M507" s="63"/>
      <c r="N507" s="63"/>
      <c r="O507" s="63"/>
      <c r="P507" s="63"/>
      <c r="Q507" s="153"/>
      <c r="R507" s="153"/>
      <c r="S507" s="153"/>
      <c r="T507" s="153"/>
      <c r="U507" s="153"/>
    </row>
    <row r="508" spans="1:21" s="43" customFormat="1" ht="15.75">
      <c r="A508" s="61"/>
      <c r="B508" s="61"/>
      <c r="C508" s="61"/>
      <c r="D508" s="61"/>
      <c r="E508" s="62"/>
      <c r="F508" s="62"/>
      <c r="G508" s="62"/>
      <c r="H508" s="62"/>
      <c r="I508" s="62"/>
      <c r="J508" s="62"/>
      <c r="K508" s="62"/>
      <c r="L508" s="62"/>
      <c r="M508" s="63"/>
      <c r="N508" s="63"/>
      <c r="O508" s="63"/>
      <c r="P508" s="63"/>
      <c r="Q508" s="153"/>
      <c r="R508" s="153"/>
      <c r="S508" s="153"/>
      <c r="T508" s="153"/>
      <c r="U508" s="153"/>
    </row>
    <row r="509" spans="1:21" s="23" customFormat="1" ht="41.25">
      <c r="A509" s="388" t="s">
        <v>178</v>
      </c>
      <c r="B509" s="388"/>
      <c r="C509" s="388"/>
      <c r="D509" s="388"/>
      <c r="E509" s="388"/>
      <c r="F509" s="388"/>
      <c r="G509" s="388"/>
      <c r="H509" s="388"/>
      <c r="I509" s="388"/>
      <c r="J509" s="388"/>
      <c r="K509" s="388"/>
      <c r="L509" s="388"/>
      <c r="M509" s="388"/>
      <c r="N509" s="388"/>
      <c r="O509" s="388"/>
      <c r="P509" s="388"/>
      <c r="Q509" s="388"/>
      <c r="R509" s="388"/>
      <c r="S509" s="388"/>
      <c r="T509" s="388"/>
      <c r="U509" s="388"/>
    </row>
    <row r="510" spans="1:21" s="23" customFormat="1" ht="20.25">
      <c r="A510" s="379" t="s">
        <v>253</v>
      </c>
      <c r="B510" s="379"/>
      <c r="C510" s="379"/>
      <c r="D510" s="379"/>
      <c r="E510" s="379"/>
      <c r="F510" s="379"/>
      <c r="G510" s="379"/>
      <c r="H510" s="379"/>
      <c r="I510" s="379"/>
      <c r="J510" s="379"/>
      <c r="K510" s="379"/>
      <c r="L510" s="379"/>
      <c r="M510" s="379"/>
      <c r="N510" s="379"/>
      <c r="O510" s="379"/>
      <c r="P510" s="379"/>
      <c r="Q510" s="379"/>
      <c r="R510" s="379"/>
      <c r="S510" s="379"/>
      <c r="T510" s="379"/>
      <c r="U510" s="379"/>
    </row>
    <row r="511" spans="1:21" s="23" customFormat="1" ht="17.25">
      <c r="A511" s="313" t="s">
        <v>274</v>
      </c>
      <c r="B511" s="313"/>
      <c r="C511" s="313"/>
      <c r="D511" s="313"/>
      <c r="E511" s="313"/>
      <c r="F511" s="313"/>
      <c r="G511" s="313"/>
      <c r="H511" s="313"/>
      <c r="I511" s="313"/>
      <c r="J511" s="313"/>
      <c r="K511" s="313"/>
      <c r="L511" s="313"/>
      <c r="M511" s="313"/>
      <c r="N511" s="313"/>
      <c r="O511" s="313"/>
      <c r="P511" s="313"/>
      <c r="Q511" s="313"/>
      <c r="R511" s="313"/>
      <c r="S511" s="313"/>
      <c r="T511" s="313"/>
      <c r="U511" s="313"/>
    </row>
    <row r="512" spans="1:21" s="23" customFormat="1" ht="20.25">
      <c r="A512" s="386" t="s">
        <v>278</v>
      </c>
      <c r="B512" s="386"/>
      <c r="C512" s="386"/>
      <c r="D512" s="386"/>
      <c r="E512" s="386"/>
      <c r="F512" s="386"/>
      <c r="G512" s="386"/>
      <c r="H512" s="386"/>
      <c r="I512" s="386"/>
      <c r="J512" s="386"/>
      <c r="K512" s="386"/>
      <c r="L512" s="386"/>
      <c r="M512" s="386"/>
      <c r="N512" s="386"/>
      <c r="O512" s="386"/>
      <c r="P512" s="386"/>
      <c r="Q512" s="386"/>
      <c r="R512" s="378" t="str">
        <f>R4</f>
        <v>ZvwiLt-02/08/26</v>
      </c>
      <c r="S512" s="378"/>
      <c r="T512" s="378"/>
      <c r="U512" s="378"/>
    </row>
    <row r="513" spans="1:21" s="23" customFormat="1">
      <c r="A513" s="389" t="s">
        <v>15</v>
      </c>
      <c r="B513" s="389" t="s">
        <v>64</v>
      </c>
      <c r="C513" s="389" t="s">
        <v>65</v>
      </c>
      <c r="D513" s="380" t="s">
        <v>66</v>
      </c>
      <c r="E513" s="161" t="s">
        <v>88</v>
      </c>
      <c r="F513" s="145" t="s">
        <v>157</v>
      </c>
      <c r="G513" s="374" t="s">
        <v>138</v>
      </c>
      <c r="H513" s="375"/>
      <c r="I513" s="376"/>
      <c r="J513" s="377" t="s">
        <v>139</v>
      </c>
      <c r="K513" s="377"/>
      <c r="L513" s="377" t="s">
        <v>86</v>
      </c>
      <c r="M513" s="377"/>
      <c r="N513" s="377" t="s">
        <v>25</v>
      </c>
      <c r="O513" s="377"/>
      <c r="P513" s="377" t="s">
        <v>87</v>
      </c>
      <c r="Q513" s="382" t="s">
        <v>199</v>
      </c>
      <c r="R513" s="377" t="s">
        <v>140</v>
      </c>
      <c r="S513" s="377"/>
      <c r="T513" s="377"/>
      <c r="U513" s="377"/>
    </row>
    <row r="514" spans="1:21" s="23" customFormat="1" ht="18" customHeight="1">
      <c r="A514" s="390"/>
      <c r="B514" s="390"/>
      <c r="C514" s="390"/>
      <c r="D514" s="381"/>
      <c r="E514" s="145" t="s">
        <v>256</v>
      </c>
      <c r="F514" s="145"/>
      <c r="G514" s="139" t="s">
        <v>189</v>
      </c>
      <c r="H514" s="145" t="s">
        <v>85</v>
      </c>
      <c r="I514" s="145" t="s">
        <v>70</v>
      </c>
      <c r="J514" s="148" t="s">
        <v>85</v>
      </c>
      <c r="K514" s="148" t="s">
        <v>70</v>
      </c>
      <c r="L514" s="145" t="s">
        <v>86</v>
      </c>
      <c r="M514" s="148" t="s">
        <v>70</v>
      </c>
      <c r="N514" s="148" t="s">
        <v>25</v>
      </c>
      <c r="O514" s="148" t="s">
        <v>70</v>
      </c>
      <c r="P514" s="377"/>
      <c r="Q514" s="382"/>
      <c r="R514" s="148" t="s">
        <v>155</v>
      </c>
      <c r="S514" s="148" t="s">
        <v>156</v>
      </c>
      <c r="T514" s="148" t="s">
        <v>141</v>
      </c>
      <c r="U514" s="148" t="s">
        <v>70</v>
      </c>
    </row>
    <row r="515" spans="1:21" s="23" customFormat="1" ht="15.75">
      <c r="A515" s="176">
        <v>1</v>
      </c>
      <c r="B515" s="177" t="s">
        <v>32</v>
      </c>
      <c r="C515" s="173" t="s">
        <v>116</v>
      </c>
      <c r="D515" s="178">
        <v>31.5</v>
      </c>
      <c r="E515" s="176">
        <v>34711</v>
      </c>
      <c r="F515" s="176">
        <v>2</v>
      </c>
      <c r="G515" s="176">
        <f t="shared" ref="G515:G523" si="183">D515/F515*E515</f>
        <v>546698.25</v>
      </c>
      <c r="H515" s="10"/>
      <c r="I515" s="176">
        <f t="shared" ref="I515:I523" si="184">G515-H515</f>
        <v>546698.25</v>
      </c>
      <c r="J515" s="176">
        <f t="shared" ref="J515:J523" si="185">H515/D515*2</f>
        <v>0</v>
      </c>
      <c r="K515" s="176">
        <f t="shared" ref="K515:K523" si="186">E515-J515</f>
        <v>34711</v>
      </c>
      <c r="L515" s="10"/>
      <c r="M515" s="176">
        <f t="shared" ref="M515:M523" si="187">E515-L515</f>
        <v>34711</v>
      </c>
      <c r="N515" s="176">
        <f>'Nine-Ten(Shuko)'!D42</f>
        <v>0</v>
      </c>
      <c r="O515" s="176">
        <f>E515-N515</f>
        <v>34711</v>
      </c>
      <c r="P515" s="176">
        <f>L515-N515</f>
        <v>0</v>
      </c>
      <c r="Q515" s="176">
        <f t="shared" ref="Q515:Q523" si="188">D515*L515/1000</f>
        <v>0</v>
      </c>
      <c r="R515" s="176">
        <f t="shared" ref="R515:R523" si="189">D515*E515/1000</f>
        <v>1093.3965000000001</v>
      </c>
      <c r="S515" s="176">
        <f>R515/75</f>
        <v>14.578620000000001</v>
      </c>
      <c r="T515" s="176">
        <f t="shared" ref="T515:T523" si="190">D515*J515/1000/75</f>
        <v>0</v>
      </c>
      <c r="U515" s="176">
        <f>S515-T515</f>
        <v>14.578620000000001</v>
      </c>
    </row>
    <row r="516" spans="1:21" s="23" customFormat="1" ht="15.75">
      <c r="A516" s="176">
        <v>2</v>
      </c>
      <c r="B516" s="177" t="s">
        <v>73</v>
      </c>
      <c r="C516" s="173" t="s">
        <v>116</v>
      </c>
      <c r="D516" s="178">
        <v>17.5</v>
      </c>
      <c r="E516" s="176">
        <v>77151</v>
      </c>
      <c r="F516" s="176">
        <v>2</v>
      </c>
      <c r="G516" s="176">
        <f t="shared" si="183"/>
        <v>675071.25</v>
      </c>
      <c r="H516" s="10"/>
      <c r="I516" s="176">
        <f t="shared" si="184"/>
        <v>675071.25</v>
      </c>
      <c r="J516" s="176">
        <f t="shared" si="185"/>
        <v>0</v>
      </c>
      <c r="K516" s="176">
        <f t="shared" si="186"/>
        <v>77151</v>
      </c>
      <c r="L516" s="10"/>
      <c r="M516" s="176">
        <f t="shared" si="187"/>
        <v>77151</v>
      </c>
      <c r="N516" s="176">
        <f>'Nine-Ten(Shuko)'!E42</f>
        <v>0</v>
      </c>
      <c r="O516" s="176">
        <f t="shared" ref="O516:O523" si="191">E516-N516</f>
        <v>77151</v>
      </c>
      <c r="P516" s="176">
        <f t="shared" ref="P516:P523" si="192">L516-N516</f>
        <v>0</v>
      </c>
      <c r="Q516" s="176">
        <f t="shared" si="188"/>
        <v>0</v>
      </c>
      <c r="R516" s="176">
        <f t="shared" si="189"/>
        <v>1350.1424999999999</v>
      </c>
      <c r="S516" s="176">
        <f t="shared" ref="S516:S523" si="193">R516/75</f>
        <v>18.001899999999999</v>
      </c>
      <c r="T516" s="176">
        <f t="shared" si="190"/>
        <v>0</v>
      </c>
      <c r="U516" s="176">
        <f t="shared" ref="U516:U523" si="194">S516-T516</f>
        <v>18.001899999999999</v>
      </c>
    </row>
    <row r="517" spans="1:21" s="23" customFormat="1" ht="15.75">
      <c r="A517" s="176">
        <v>3</v>
      </c>
      <c r="B517" s="177" t="s">
        <v>152</v>
      </c>
      <c r="C517" s="173" t="s">
        <v>116</v>
      </c>
      <c r="D517" s="178">
        <v>45.5</v>
      </c>
      <c r="E517" s="176">
        <v>43005</v>
      </c>
      <c r="F517" s="176">
        <v>2</v>
      </c>
      <c r="G517" s="176">
        <f t="shared" si="183"/>
        <v>978363.75</v>
      </c>
      <c r="H517" s="10"/>
      <c r="I517" s="176">
        <f t="shared" si="184"/>
        <v>978363.75</v>
      </c>
      <c r="J517" s="176">
        <f t="shared" si="185"/>
        <v>0</v>
      </c>
      <c r="K517" s="176">
        <f t="shared" si="186"/>
        <v>43005</v>
      </c>
      <c r="L517" s="10"/>
      <c r="M517" s="176">
        <f t="shared" si="187"/>
        <v>43005</v>
      </c>
      <c r="N517" s="176">
        <f>'Nine-Ten(Shuko)'!F42</f>
        <v>0</v>
      </c>
      <c r="O517" s="176">
        <f t="shared" si="191"/>
        <v>43005</v>
      </c>
      <c r="P517" s="176">
        <f t="shared" si="192"/>
        <v>0</v>
      </c>
      <c r="Q517" s="176">
        <f t="shared" si="188"/>
        <v>0</v>
      </c>
      <c r="R517" s="176">
        <f t="shared" si="189"/>
        <v>1956.7275</v>
      </c>
      <c r="S517" s="176">
        <f t="shared" si="193"/>
        <v>26.089700000000001</v>
      </c>
      <c r="T517" s="176">
        <f t="shared" si="190"/>
        <v>0</v>
      </c>
      <c r="U517" s="176">
        <f t="shared" si="194"/>
        <v>26.089700000000001</v>
      </c>
    </row>
    <row r="518" spans="1:21" s="23" customFormat="1" ht="21" customHeight="1">
      <c r="A518" s="176">
        <v>4</v>
      </c>
      <c r="B518" s="177" t="s">
        <v>93</v>
      </c>
      <c r="C518" s="173" t="s">
        <v>116</v>
      </c>
      <c r="D518" s="178">
        <v>38.5</v>
      </c>
      <c r="E518" s="176">
        <v>43005</v>
      </c>
      <c r="F518" s="176">
        <v>2</v>
      </c>
      <c r="G518" s="176">
        <f t="shared" si="183"/>
        <v>827846.25</v>
      </c>
      <c r="H518" s="10"/>
      <c r="I518" s="176">
        <f t="shared" si="184"/>
        <v>827846.25</v>
      </c>
      <c r="J518" s="176">
        <f t="shared" si="185"/>
        <v>0</v>
      </c>
      <c r="K518" s="176">
        <f t="shared" si="186"/>
        <v>43005</v>
      </c>
      <c r="L518" s="10"/>
      <c r="M518" s="176">
        <f t="shared" si="187"/>
        <v>43005</v>
      </c>
      <c r="N518" s="176">
        <f>'Nine-Ten(Shuko)'!G42</f>
        <v>0</v>
      </c>
      <c r="O518" s="176">
        <f t="shared" si="191"/>
        <v>43005</v>
      </c>
      <c r="P518" s="176">
        <f t="shared" si="192"/>
        <v>0</v>
      </c>
      <c r="Q518" s="176">
        <f t="shared" si="188"/>
        <v>0</v>
      </c>
      <c r="R518" s="176">
        <f t="shared" si="189"/>
        <v>1655.6925000000001</v>
      </c>
      <c r="S518" s="176">
        <f t="shared" si="193"/>
        <v>22.075900000000001</v>
      </c>
      <c r="T518" s="176">
        <f t="shared" si="190"/>
        <v>0</v>
      </c>
      <c r="U518" s="176">
        <f t="shared" si="194"/>
        <v>22.075900000000001</v>
      </c>
    </row>
    <row r="519" spans="1:21" s="23" customFormat="1" ht="18.600000000000001" customHeight="1">
      <c r="A519" s="176">
        <v>5</v>
      </c>
      <c r="B519" s="177" t="s">
        <v>153</v>
      </c>
      <c r="C519" s="173" t="s">
        <v>116</v>
      </c>
      <c r="D519" s="178">
        <v>40.5</v>
      </c>
      <c r="E519" s="176">
        <v>43005</v>
      </c>
      <c r="F519" s="176">
        <v>2</v>
      </c>
      <c r="G519" s="176">
        <f t="shared" si="183"/>
        <v>870851.25</v>
      </c>
      <c r="H519" s="10"/>
      <c r="I519" s="176">
        <f t="shared" si="184"/>
        <v>870851.25</v>
      </c>
      <c r="J519" s="176">
        <f t="shared" si="185"/>
        <v>0</v>
      </c>
      <c r="K519" s="176">
        <f t="shared" si="186"/>
        <v>43005</v>
      </c>
      <c r="L519" s="10"/>
      <c r="M519" s="176">
        <f t="shared" si="187"/>
        <v>43005</v>
      </c>
      <c r="N519" s="176">
        <f>'Nine-Ten(Shuko)'!H42</f>
        <v>0</v>
      </c>
      <c r="O519" s="176">
        <f t="shared" si="191"/>
        <v>43005</v>
      </c>
      <c r="P519" s="176">
        <f t="shared" si="192"/>
        <v>0</v>
      </c>
      <c r="Q519" s="176">
        <f t="shared" si="188"/>
        <v>0</v>
      </c>
      <c r="R519" s="176">
        <f t="shared" si="189"/>
        <v>1741.7025000000001</v>
      </c>
      <c r="S519" s="176">
        <f t="shared" si="193"/>
        <v>23.2227</v>
      </c>
      <c r="T519" s="176">
        <f t="shared" si="190"/>
        <v>0</v>
      </c>
      <c r="U519" s="176">
        <f t="shared" si="194"/>
        <v>23.2227</v>
      </c>
    </row>
    <row r="520" spans="1:21" s="23" customFormat="1" ht="18.600000000000001" customHeight="1">
      <c r="A520" s="176">
        <v>6</v>
      </c>
      <c r="B520" s="177" t="s">
        <v>73</v>
      </c>
      <c r="C520" s="173" t="s">
        <v>117</v>
      </c>
      <c r="D520" s="178">
        <v>17.5</v>
      </c>
      <c r="E520" s="176">
        <v>26602</v>
      </c>
      <c r="F520" s="176">
        <v>2</v>
      </c>
      <c r="G520" s="176">
        <f t="shared" si="183"/>
        <v>232767.5</v>
      </c>
      <c r="H520" s="10"/>
      <c r="I520" s="176">
        <f t="shared" si="184"/>
        <v>232767.5</v>
      </c>
      <c r="J520" s="176">
        <f t="shared" si="185"/>
        <v>0</v>
      </c>
      <c r="K520" s="176">
        <f t="shared" si="186"/>
        <v>26602</v>
      </c>
      <c r="L520" s="10"/>
      <c r="M520" s="176">
        <f t="shared" si="187"/>
        <v>26602</v>
      </c>
      <c r="N520" s="176">
        <f>'Nine-Ten(Shuko)'!I42</f>
        <v>0</v>
      </c>
      <c r="O520" s="176">
        <f t="shared" si="191"/>
        <v>26602</v>
      </c>
      <c r="P520" s="176">
        <f t="shared" si="192"/>
        <v>0</v>
      </c>
      <c r="Q520" s="176">
        <f t="shared" si="188"/>
        <v>0</v>
      </c>
      <c r="R520" s="176">
        <f t="shared" si="189"/>
        <v>465.53500000000003</v>
      </c>
      <c r="S520" s="176">
        <f t="shared" si="193"/>
        <v>6.2071333333333341</v>
      </c>
      <c r="T520" s="176">
        <f t="shared" si="190"/>
        <v>0</v>
      </c>
      <c r="U520" s="176">
        <f t="shared" si="194"/>
        <v>6.2071333333333341</v>
      </c>
    </row>
    <row r="521" spans="1:21" s="23" customFormat="1" ht="15.75">
      <c r="A521" s="176">
        <v>7</v>
      </c>
      <c r="B521" s="177" t="s">
        <v>152</v>
      </c>
      <c r="C521" s="173" t="s">
        <v>117</v>
      </c>
      <c r="D521" s="178">
        <v>45.5</v>
      </c>
      <c r="E521" s="176">
        <v>9265</v>
      </c>
      <c r="F521" s="176">
        <v>2</v>
      </c>
      <c r="G521" s="176">
        <f t="shared" si="183"/>
        <v>210778.75</v>
      </c>
      <c r="H521" s="10"/>
      <c r="I521" s="176">
        <f t="shared" si="184"/>
        <v>210778.75</v>
      </c>
      <c r="J521" s="176">
        <f t="shared" si="185"/>
        <v>0</v>
      </c>
      <c r="K521" s="176">
        <f t="shared" si="186"/>
        <v>9265</v>
      </c>
      <c r="L521" s="10"/>
      <c r="M521" s="176">
        <f t="shared" si="187"/>
        <v>9265</v>
      </c>
      <c r="N521" s="176">
        <f>'Nine-Ten(Shuko)'!J42</f>
        <v>0</v>
      </c>
      <c r="O521" s="176">
        <f t="shared" si="191"/>
        <v>9265</v>
      </c>
      <c r="P521" s="176">
        <f t="shared" si="192"/>
        <v>0</v>
      </c>
      <c r="Q521" s="176">
        <f t="shared" si="188"/>
        <v>0</v>
      </c>
      <c r="R521" s="176">
        <f t="shared" si="189"/>
        <v>421.5575</v>
      </c>
      <c r="S521" s="176">
        <f t="shared" si="193"/>
        <v>5.6207666666666665</v>
      </c>
      <c r="T521" s="176">
        <f t="shared" si="190"/>
        <v>0</v>
      </c>
      <c r="U521" s="176">
        <f t="shared" si="194"/>
        <v>5.6207666666666665</v>
      </c>
    </row>
    <row r="522" spans="1:21" s="23" customFormat="1" ht="15.75">
      <c r="A522" s="176">
        <v>8</v>
      </c>
      <c r="B522" s="177" t="s">
        <v>93</v>
      </c>
      <c r="C522" s="173" t="s">
        <v>117</v>
      </c>
      <c r="D522" s="178">
        <v>38.5</v>
      </c>
      <c r="E522" s="176">
        <v>9265</v>
      </c>
      <c r="F522" s="176">
        <v>2</v>
      </c>
      <c r="G522" s="176">
        <f t="shared" si="183"/>
        <v>178351.25</v>
      </c>
      <c r="H522" s="10"/>
      <c r="I522" s="176">
        <f t="shared" si="184"/>
        <v>178351.25</v>
      </c>
      <c r="J522" s="176">
        <f t="shared" si="185"/>
        <v>0</v>
      </c>
      <c r="K522" s="176">
        <f t="shared" si="186"/>
        <v>9265</v>
      </c>
      <c r="L522" s="10"/>
      <c r="M522" s="176">
        <f t="shared" si="187"/>
        <v>9265</v>
      </c>
      <c r="N522" s="176">
        <f>'Nine-Ten(Shuko)'!K42</f>
        <v>0</v>
      </c>
      <c r="O522" s="176">
        <f t="shared" si="191"/>
        <v>9265</v>
      </c>
      <c r="P522" s="176">
        <f t="shared" si="192"/>
        <v>0</v>
      </c>
      <c r="Q522" s="176">
        <f t="shared" si="188"/>
        <v>0</v>
      </c>
      <c r="R522" s="176">
        <f t="shared" si="189"/>
        <v>356.70249999999999</v>
      </c>
      <c r="S522" s="176">
        <f t="shared" si="193"/>
        <v>4.7560333333333329</v>
      </c>
      <c r="T522" s="176">
        <f t="shared" si="190"/>
        <v>0</v>
      </c>
      <c r="U522" s="176">
        <f t="shared" si="194"/>
        <v>4.7560333333333329</v>
      </c>
    </row>
    <row r="523" spans="1:21" s="23" customFormat="1" ht="15.75">
      <c r="A523" s="176">
        <v>9</v>
      </c>
      <c r="B523" s="177" t="s">
        <v>153</v>
      </c>
      <c r="C523" s="173" t="s">
        <v>117</v>
      </c>
      <c r="D523" s="178">
        <v>40.5</v>
      </c>
      <c r="E523" s="176">
        <v>9265</v>
      </c>
      <c r="F523" s="176">
        <v>2</v>
      </c>
      <c r="G523" s="176">
        <f t="shared" si="183"/>
        <v>187616.25</v>
      </c>
      <c r="H523" s="10"/>
      <c r="I523" s="176">
        <f t="shared" si="184"/>
        <v>187616.25</v>
      </c>
      <c r="J523" s="176">
        <f t="shared" si="185"/>
        <v>0</v>
      </c>
      <c r="K523" s="176">
        <f t="shared" si="186"/>
        <v>9265</v>
      </c>
      <c r="L523" s="10"/>
      <c r="M523" s="176">
        <f t="shared" si="187"/>
        <v>9265</v>
      </c>
      <c r="N523" s="176">
        <f>'Nine-Ten(Shuko)'!L42</f>
        <v>0</v>
      </c>
      <c r="O523" s="176">
        <f t="shared" si="191"/>
        <v>9265</v>
      </c>
      <c r="P523" s="176">
        <f t="shared" si="192"/>
        <v>0</v>
      </c>
      <c r="Q523" s="176">
        <f t="shared" si="188"/>
        <v>0</v>
      </c>
      <c r="R523" s="176">
        <f t="shared" si="189"/>
        <v>375.23250000000002</v>
      </c>
      <c r="S523" s="176">
        <f t="shared" si="193"/>
        <v>5.0030999999999999</v>
      </c>
      <c r="T523" s="176">
        <f t="shared" si="190"/>
        <v>0</v>
      </c>
      <c r="U523" s="176">
        <f t="shared" si="194"/>
        <v>5.0030999999999999</v>
      </c>
    </row>
    <row r="524" spans="1:21" s="23" customFormat="1" ht="15.75">
      <c r="A524" s="383" t="s">
        <v>67</v>
      </c>
      <c r="B524" s="383"/>
      <c r="C524" s="383"/>
      <c r="D524" s="383"/>
      <c r="E524" s="143">
        <f t="shared" ref="E524:U524" si="195">SUM(E515:E523)</f>
        <v>295274</v>
      </c>
      <c r="F524" s="143">
        <f t="shared" si="195"/>
        <v>18</v>
      </c>
      <c r="G524" s="143">
        <f t="shared" si="195"/>
        <v>4708344.5</v>
      </c>
      <c r="H524" s="143">
        <f t="shared" si="195"/>
        <v>0</v>
      </c>
      <c r="I524" s="143">
        <f t="shared" si="195"/>
        <v>4708344.5</v>
      </c>
      <c r="J524" s="143">
        <f t="shared" si="195"/>
        <v>0</v>
      </c>
      <c r="K524" s="143">
        <f t="shared" si="195"/>
        <v>295274</v>
      </c>
      <c r="L524" s="143">
        <f t="shared" si="195"/>
        <v>0</v>
      </c>
      <c r="M524" s="143">
        <f t="shared" si="195"/>
        <v>295274</v>
      </c>
      <c r="N524" s="143">
        <f t="shared" si="195"/>
        <v>0</v>
      </c>
      <c r="O524" s="143">
        <f t="shared" si="195"/>
        <v>295274</v>
      </c>
      <c r="P524" s="143">
        <f t="shared" si="195"/>
        <v>0</v>
      </c>
      <c r="Q524" s="143">
        <f t="shared" si="195"/>
        <v>0</v>
      </c>
      <c r="R524" s="143">
        <f t="shared" si="195"/>
        <v>9416.6890000000003</v>
      </c>
      <c r="S524" s="143">
        <f t="shared" si="195"/>
        <v>125.55585333333335</v>
      </c>
      <c r="T524" s="143">
        <f t="shared" si="195"/>
        <v>0</v>
      </c>
      <c r="U524" s="143">
        <f t="shared" si="195"/>
        <v>125.55585333333335</v>
      </c>
    </row>
    <row r="525" spans="1:21" s="23" customFormat="1">
      <c r="A525" s="30"/>
      <c r="B525" s="28"/>
      <c r="C525" s="30"/>
      <c r="D525" s="31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</row>
    <row r="526" spans="1:21" s="23" customFormat="1">
      <c r="A526" s="30"/>
      <c r="B526" s="28"/>
      <c r="C526" s="30"/>
      <c r="D526" s="31"/>
      <c r="E526" s="30"/>
      <c r="F526" s="30"/>
      <c r="G526" s="30"/>
      <c r="H526" s="30"/>
      <c r="I526" s="30"/>
      <c r="J526" s="30"/>
      <c r="K526" s="30"/>
      <c r="L526" s="30"/>
      <c r="M526" s="122"/>
      <c r="N526" s="122"/>
      <c r="O526" s="122"/>
      <c r="P526" s="122"/>
      <c r="Q526" s="67"/>
      <c r="R526" s="67"/>
      <c r="S526" s="67"/>
      <c r="T526" s="67"/>
      <c r="U526" s="67"/>
    </row>
    <row r="527" spans="1:21" s="23" customFormat="1" ht="15.75">
      <c r="A527" s="61"/>
      <c r="B527" s="61"/>
      <c r="C527" s="61"/>
      <c r="D527" s="61"/>
      <c r="E527" s="62"/>
      <c r="F527" s="62"/>
      <c r="G527" s="62"/>
      <c r="H527" s="62"/>
      <c r="I527" s="62"/>
      <c r="J527" s="62"/>
      <c r="K527" s="62"/>
      <c r="L527" s="62"/>
      <c r="M527" s="63"/>
      <c r="N527" s="63"/>
      <c r="O527" s="63"/>
      <c r="P527" s="63"/>
      <c r="Q527" s="387" t="s">
        <v>254</v>
      </c>
      <c r="R527" s="387"/>
      <c r="S527" s="387"/>
      <c r="T527" s="387"/>
      <c r="U527" s="387"/>
    </row>
    <row r="528" spans="1:21" s="23" customFormat="1" ht="15.75">
      <c r="A528" s="64"/>
      <c r="B528" s="64"/>
      <c r="C528" s="64"/>
      <c r="D528" s="64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</row>
    <row r="529" spans="1:21" s="23" customFormat="1" ht="15.75">
      <c r="A529" s="64"/>
      <c r="B529" s="64"/>
      <c r="C529" s="64"/>
      <c r="D529" s="64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</row>
    <row r="530" spans="1:21" s="23" customFormat="1" ht="15.75">
      <c r="A530" s="64"/>
      <c r="B530" s="64"/>
      <c r="C530" s="64"/>
      <c r="D530" s="64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</row>
    <row r="531" spans="1:21" s="1" customFormat="1" ht="15.75">
      <c r="A531" s="64"/>
      <c r="B531" s="64"/>
      <c r="C531" s="64"/>
      <c r="D531" s="64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</row>
    <row r="532" spans="1:21" s="1" customFormat="1" ht="18.600000000000001" customHeight="1">
      <c r="A532" s="64"/>
      <c r="B532" s="64"/>
      <c r="C532" s="64"/>
      <c r="D532" s="64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</row>
    <row r="533" spans="1:21" s="1" customFormat="1" ht="18.600000000000001" customHeight="1">
      <c r="A533" s="64"/>
      <c r="B533" s="64"/>
      <c r="C533" s="64"/>
      <c r="D533" s="64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</row>
    <row r="534" spans="1:21" s="5" customFormat="1" ht="14.25">
      <c r="A534" s="64"/>
      <c r="B534" s="64"/>
      <c r="C534" s="64"/>
      <c r="D534" s="64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</row>
    <row r="535" spans="1:21" s="5" customFormat="1" ht="14.25">
      <c r="A535" s="64"/>
      <c r="B535" s="64"/>
      <c r="C535" s="64"/>
      <c r="D535" s="64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</row>
    <row r="536" spans="1:21" s="5" customFormat="1" ht="14.25">
      <c r="A536" s="64"/>
      <c r="B536" s="64"/>
      <c r="C536" s="64"/>
      <c r="D536" s="64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</row>
    <row r="537" spans="1:21" s="5" customFormat="1" ht="14.25">
      <c r="A537" s="64"/>
      <c r="B537" s="64"/>
      <c r="C537" s="64"/>
      <c r="D537" s="64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</row>
    <row r="538" spans="1:21" s="5" customFormat="1" ht="14.25">
      <c r="A538" s="64"/>
      <c r="B538" s="64"/>
      <c r="C538" s="64"/>
      <c r="D538" s="64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</row>
    <row r="539" spans="1:21" s="5" customFormat="1" ht="14.25">
      <c r="A539" s="64"/>
      <c r="B539" s="64"/>
      <c r="C539" s="64"/>
      <c r="D539" s="64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</row>
    <row r="540" spans="1:21" s="5" customFormat="1" ht="14.25">
      <c r="A540" s="64"/>
      <c r="B540" s="64"/>
      <c r="C540" s="64"/>
      <c r="D540" s="64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</row>
    <row r="541" spans="1:21" s="5" customFormat="1" ht="14.25">
      <c r="A541" s="64"/>
      <c r="B541" s="64"/>
      <c r="C541" s="64"/>
      <c r="D541" s="64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</row>
    <row r="542" spans="1:21" s="5" customFormat="1" ht="14.25">
      <c r="A542" s="64"/>
      <c r="B542" s="64"/>
      <c r="C542" s="64"/>
      <c r="D542" s="64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</row>
    <row r="543" spans="1:21" s="5" customFormat="1" ht="41.25">
      <c r="A543" s="388" t="s">
        <v>178</v>
      </c>
      <c r="B543" s="388"/>
      <c r="C543" s="388"/>
      <c r="D543" s="388"/>
      <c r="E543" s="388"/>
      <c r="F543" s="388"/>
      <c r="G543" s="388"/>
      <c r="H543" s="388"/>
      <c r="I543" s="388"/>
      <c r="J543" s="388"/>
      <c r="K543" s="388"/>
      <c r="L543" s="388"/>
      <c r="M543" s="388"/>
      <c r="N543" s="388"/>
      <c r="O543" s="388"/>
      <c r="P543" s="388"/>
      <c r="Q543" s="388"/>
      <c r="R543" s="388"/>
      <c r="S543" s="388"/>
      <c r="T543" s="388"/>
      <c r="U543" s="388"/>
    </row>
    <row r="544" spans="1:21" s="5" customFormat="1" ht="20.25">
      <c r="A544" s="379" t="s">
        <v>253</v>
      </c>
      <c r="B544" s="379"/>
      <c r="C544" s="379"/>
      <c r="D544" s="379"/>
      <c r="E544" s="379"/>
      <c r="F544" s="379"/>
      <c r="G544" s="379"/>
      <c r="H544" s="379"/>
      <c r="I544" s="379"/>
      <c r="J544" s="379"/>
      <c r="K544" s="379"/>
      <c r="L544" s="379"/>
      <c r="M544" s="379"/>
      <c r="N544" s="379"/>
      <c r="O544" s="379"/>
      <c r="P544" s="379"/>
      <c r="Q544" s="379"/>
      <c r="R544" s="379"/>
      <c r="S544" s="379"/>
      <c r="T544" s="379"/>
      <c r="U544" s="379"/>
    </row>
    <row r="545" spans="1:21" s="5" customFormat="1" ht="17.25">
      <c r="A545" s="313" t="s">
        <v>274</v>
      </c>
      <c r="B545" s="313"/>
      <c r="C545" s="313"/>
      <c r="D545" s="313"/>
      <c r="E545" s="313"/>
      <c r="F545" s="313"/>
      <c r="G545" s="313"/>
      <c r="H545" s="313"/>
      <c r="I545" s="313"/>
      <c r="J545" s="313"/>
      <c r="K545" s="313"/>
      <c r="L545" s="313"/>
      <c r="M545" s="313"/>
      <c r="N545" s="313"/>
      <c r="O545" s="313"/>
      <c r="P545" s="313"/>
      <c r="Q545" s="313"/>
      <c r="R545" s="313"/>
      <c r="S545" s="313"/>
      <c r="T545" s="313"/>
      <c r="U545" s="313"/>
    </row>
    <row r="546" spans="1:21" s="5" customFormat="1" ht="20.25">
      <c r="A546" s="386" t="s">
        <v>279</v>
      </c>
      <c r="B546" s="386"/>
      <c r="C546" s="386"/>
      <c r="D546" s="386"/>
      <c r="E546" s="386"/>
      <c r="F546" s="386"/>
      <c r="G546" s="386"/>
      <c r="H546" s="386"/>
      <c r="I546" s="386"/>
      <c r="J546" s="386"/>
      <c r="K546" s="386"/>
      <c r="L546" s="386"/>
      <c r="M546" s="386"/>
      <c r="N546" s="386"/>
      <c r="O546" s="386"/>
      <c r="P546" s="386"/>
      <c r="Q546" s="386"/>
      <c r="R546" s="378" t="str">
        <f>R4</f>
        <v>ZvwiLt-02/08/26</v>
      </c>
      <c r="S546" s="378"/>
      <c r="T546" s="378"/>
      <c r="U546" s="378"/>
    </row>
    <row r="547" spans="1:21" s="5" customFormat="1" ht="14.25">
      <c r="A547" s="389" t="s">
        <v>15</v>
      </c>
      <c r="B547" s="389" t="s">
        <v>64</v>
      </c>
      <c r="C547" s="389" t="s">
        <v>65</v>
      </c>
      <c r="D547" s="380" t="s">
        <v>66</v>
      </c>
      <c r="E547" s="161" t="s">
        <v>88</v>
      </c>
      <c r="F547" s="145" t="s">
        <v>157</v>
      </c>
      <c r="G547" s="374" t="s">
        <v>138</v>
      </c>
      <c r="H547" s="375"/>
      <c r="I547" s="376"/>
      <c r="J547" s="377" t="s">
        <v>139</v>
      </c>
      <c r="K547" s="377"/>
      <c r="L547" s="377" t="s">
        <v>86</v>
      </c>
      <c r="M547" s="377"/>
      <c r="N547" s="377" t="s">
        <v>25</v>
      </c>
      <c r="O547" s="377"/>
      <c r="P547" s="377" t="s">
        <v>87</v>
      </c>
      <c r="Q547" s="382" t="s">
        <v>199</v>
      </c>
      <c r="R547" s="377" t="s">
        <v>140</v>
      </c>
      <c r="S547" s="377"/>
      <c r="T547" s="377"/>
      <c r="U547" s="377"/>
    </row>
    <row r="548" spans="1:21" s="5" customFormat="1" ht="17.25" customHeight="1">
      <c r="A548" s="390"/>
      <c r="B548" s="390"/>
      <c r="C548" s="390"/>
      <c r="D548" s="381"/>
      <c r="E548" s="145" t="s">
        <v>257</v>
      </c>
      <c r="F548" s="145"/>
      <c r="G548" s="139" t="s">
        <v>189</v>
      </c>
      <c r="H548" s="145" t="s">
        <v>85</v>
      </c>
      <c r="I548" s="145" t="s">
        <v>70</v>
      </c>
      <c r="J548" s="148" t="s">
        <v>85</v>
      </c>
      <c r="K548" s="148" t="s">
        <v>70</v>
      </c>
      <c r="L548" s="145" t="s">
        <v>86</v>
      </c>
      <c r="M548" s="148" t="s">
        <v>70</v>
      </c>
      <c r="N548" s="148" t="s">
        <v>25</v>
      </c>
      <c r="O548" s="148" t="s">
        <v>70</v>
      </c>
      <c r="P548" s="377"/>
      <c r="Q548" s="382"/>
      <c r="R548" s="148" t="s">
        <v>155</v>
      </c>
      <c r="S548" s="148" t="s">
        <v>156</v>
      </c>
      <c r="T548" s="148" t="s">
        <v>141</v>
      </c>
      <c r="U548" s="148" t="s">
        <v>70</v>
      </c>
    </row>
    <row r="549" spans="1:21" s="5" customFormat="1" ht="14.25">
      <c r="A549" s="176">
        <v>1</v>
      </c>
      <c r="B549" s="177" t="s">
        <v>28</v>
      </c>
      <c r="C549" s="173" t="s">
        <v>94</v>
      </c>
      <c r="D549" s="178">
        <v>57</v>
      </c>
      <c r="E549" s="176">
        <v>19075</v>
      </c>
      <c r="F549" s="176">
        <v>14.5</v>
      </c>
      <c r="G549" s="176">
        <f>E549*F549</f>
        <v>276587.5</v>
      </c>
      <c r="H549" s="10"/>
      <c r="I549" s="176">
        <f t="shared" ref="I549:I566" si="196">G549-H549</f>
        <v>276587.5</v>
      </c>
      <c r="J549" s="176">
        <f t="shared" ref="J549:J566" si="197">H549/F549</f>
        <v>0</v>
      </c>
      <c r="K549" s="176">
        <f t="shared" ref="K549:K566" si="198">E549-J549</f>
        <v>19075</v>
      </c>
      <c r="L549" s="10"/>
      <c r="M549" s="176">
        <f t="shared" ref="M549:M566" si="199">E549-L549</f>
        <v>19075</v>
      </c>
      <c r="N549" s="176">
        <f>'Dakhil-(9-10)'!D50</f>
        <v>0</v>
      </c>
      <c r="O549" s="176">
        <f t="shared" ref="O549:O566" si="200">E549-N549</f>
        <v>19075</v>
      </c>
      <c r="P549" s="176">
        <f>L549-N549</f>
        <v>0</v>
      </c>
      <c r="Q549" s="176">
        <f t="shared" ref="Q549:Q566" si="201">D549*L549/1000</f>
        <v>0</v>
      </c>
      <c r="R549" s="176">
        <f t="shared" ref="R549:R566" si="202">D549*E549/1000</f>
        <v>1087.2750000000001</v>
      </c>
      <c r="S549" s="176">
        <f>R549/75</f>
        <v>14.497000000000002</v>
      </c>
      <c r="T549" s="176">
        <f t="shared" ref="T549:T566" si="203">D549*J549/1000/75</f>
        <v>0</v>
      </c>
      <c r="U549" s="176">
        <f>S549-T549</f>
        <v>14.497000000000002</v>
      </c>
    </row>
    <row r="550" spans="1:21" s="1" customFormat="1" ht="15.75">
      <c r="A550" s="176">
        <v>2</v>
      </c>
      <c r="B550" s="177" t="s">
        <v>182</v>
      </c>
      <c r="C550" s="173" t="s">
        <v>94</v>
      </c>
      <c r="D550" s="178">
        <v>46</v>
      </c>
      <c r="E550" s="176">
        <v>19075</v>
      </c>
      <c r="F550" s="176">
        <v>12</v>
      </c>
      <c r="G550" s="176">
        <f t="shared" ref="G550:G566" si="204">E550*F550</f>
        <v>228900</v>
      </c>
      <c r="H550" s="10"/>
      <c r="I550" s="176">
        <f t="shared" si="196"/>
        <v>228900</v>
      </c>
      <c r="J550" s="176">
        <f t="shared" si="197"/>
        <v>0</v>
      </c>
      <c r="K550" s="176">
        <f t="shared" si="198"/>
        <v>19075</v>
      </c>
      <c r="L550" s="10"/>
      <c r="M550" s="176">
        <f t="shared" si="199"/>
        <v>19075</v>
      </c>
      <c r="N550" s="176">
        <f>'Dakhil-(9-10)'!E50</f>
        <v>0</v>
      </c>
      <c r="O550" s="176">
        <f t="shared" si="200"/>
        <v>19075</v>
      </c>
      <c r="P550" s="176">
        <f t="shared" ref="P550:P566" si="205">L550-N550</f>
        <v>0</v>
      </c>
      <c r="Q550" s="176">
        <f t="shared" si="201"/>
        <v>0</v>
      </c>
      <c r="R550" s="176">
        <f t="shared" si="202"/>
        <v>877.45</v>
      </c>
      <c r="S550" s="176">
        <f t="shared" ref="S550:S566" si="206">R550/75</f>
        <v>11.699333333333334</v>
      </c>
      <c r="T550" s="176">
        <f t="shared" si="203"/>
        <v>0</v>
      </c>
      <c r="U550" s="176">
        <f t="shared" ref="U550:U566" si="207">S550-T550</f>
        <v>11.699333333333334</v>
      </c>
    </row>
    <row r="551" spans="1:21" s="1" customFormat="1" ht="15.75">
      <c r="A551" s="176">
        <v>3</v>
      </c>
      <c r="B551" s="177" t="s">
        <v>29</v>
      </c>
      <c r="C551" s="173" t="s">
        <v>94</v>
      </c>
      <c r="D551" s="178">
        <v>33.5</v>
      </c>
      <c r="E551" s="176">
        <v>19075</v>
      </c>
      <c r="F551" s="176">
        <v>8.75</v>
      </c>
      <c r="G551" s="176">
        <f t="shared" si="204"/>
        <v>166906.25</v>
      </c>
      <c r="H551" s="10"/>
      <c r="I551" s="176">
        <f t="shared" si="196"/>
        <v>166906.25</v>
      </c>
      <c r="J551" s="176">
        <f t="shared" si="197"/>
        <v>0</v>
      </c>
      <c r="K551" s="176">
        <f t="shared" si="198"/>
        <v>19075</v>
      </c>
      <c r="L551" s="10"/>
      <c r="M551" s="176">
        <f t="shared" si="199"/>
        <v>19075</v>
      </c>
      <c r="N551" s="176">
        <f>'Dakhil-(9-10)'!F50</f>
        <v>0</v>
      </c>
      <c r="O551" s="176">
        <f t="shared" si="200"/>
        <v>19075</v>
      </c>
      <c r="P551" s="176">
        <f t="shared" si="205"/>
        <v>0</v>
      </c>
      <c r="Q551" s="176">
        <f t="shared" si="201"/>
        <v>0</v>
      </c>
      <c r="R551" s="176">
        <f t="shared" si="202"/>
        <v>639.01250000000005</v>
      </c>
      <c r="S551" s="176">
        <f t="shared" si="206"/>
        <v>8.5201666666666664</v>
      </c>
      <c r="T551" s="176">
        <f t="shared" si="203"/>
        <v>0</v>
      </c>
      <c r="U551" s="176">
        <f t="shared" si="207"/>
        <v>8.5201666666666664</v>
      </c>
    </row>
    <row r="552" spans="1:21" s="1" customFormat="1" ht="18.600000000000001" customHeight="1">
      <c r="A552" s="176">
        <v>4</v>
      </c>
      <c r="B552" s="177" t="s">
        <v>183</v>
      </c>
      <c r="C552" s="173" t="s">
        <v>94</v>
      </c>
      <c r="D552" s="178">
        <v>20.5</v>
      </c>
      <c r="E552" s="176">
        <v>19075</v>
      </c>
      <c r="F552" s="176">
        <v>6.25</v>
      </c>
      <c r="G552" s="176">
        <f t="shared" si="204"/>
        <v>119218.75</v>
      </c>
      <c r="H552" s="10"/>
      <c r="I552" s="176">
        <f t="shared" si="196"/>
        <v>119218.75</v>
      </c>
      <c r="J552" s="176">
        <f t="shared" si="197"/>
        <v>0</v>
      </c>
      <c r="K552" s="176">
        <f t="shared" si="198"/>
        <v>19075</v>
      </c>
      <c r="L552" s="10"/>
      <c r="M552" s="176">
        <f t="shared" si="199"/>
        <v>19075</v>
      </c>
      <c r="N552" s="176">
        <f>'Dakhil-(9-10)'!G50</f>
        <v>0</v>
      </c>
      <c r="O552" s="176">
        <f t="shared" si="200"/>
        <v>19075</v>
      </c>
      <c r="P552" s="176">
        <f t="shared" si="205"/>
        <v>0</v>
      </c>
      <c r="Q552" s="176">
        <f t="shared" si="201"/>
        <v>0</v>
      </c>
      <c r="R552" s="176">
        <f t="shared" si="202"/>
        <v>391.03750000000002</v>
      </c>
      <c r="S552" s="176">
        <f t="shared" si="206"/>
        <v>5.2138333333333335</v>
      </c>
      <c r="T552" s="176">
        <f t="shared" si="203"/>
        <v>0</v>
      </c>
      <c r="U552" s="176">
        <f t="shared" si="207"/>
        <v>5.2138333333333335</v>
      </c>
    </row>
    <row r="553" spans="1:21" s="1" customFormat="1" ht="18.600000000000001" customHeight="1">
      <c r="A553" s="176">
        <v>5</v>
      </c>
      <c r="B553" s="177" t="s">
        <v>184</v>
      </c>
      <c r="C553" s="173" t="s">
        <v>94</v>
      </c>
      <c r="D553" s="178">
        <v>32.5</v>
      </c>
      <c r="E553" s="176">
        <v>19075</v>
      </c>
      <c r="F553" s="176">
        <v>8.25</v>
      </c>
      <c r="G553" s="176">
        <f t="shared" si="204"/>
        <v>157368.75</v>
      </c>
      <c r="H553" s="10"/>
      <c r="I553" s="176">
        <f t="shared" si="196"/>
        <v>157368.75</v>
      </c>
      <c r="J553" s="176">
        <f t="shared" si="197"/>
        <v>0</v>
      </c>
      <c r="K553" s="176">
        <f t="shared" si="198"/>
        <v>19075</v>
      </c>
      <c r="L553" s="10"/>
      <c r="M553" s="176">
        <f t="shared" si="199"/>
        <v>19075</v>
      </c>
      <c r="N553" s="176">
        <f>'Dakhil-(9-10)'!H50</f>
        <v>0</v>
      </c>
      <c r="O553" s="176">
        <f t="shared" si="200"/>
        <v>19075</v>
      </c>
      <c r="P553" s="176">
        <f t="shared" si="205"/>
        <v>0</v>
      </c>
      <c r="Q553" s="176">
        <f t="shared" si="201"/>
        <v>0</v>
      </c>
      <c r="R553" s="176">
        <f t="shared" si="202"/>
        <v>619.9375</v>
      </c>
      <c r="S553" s="176">
        <f t="shared" si="206"/>
        <v>8.2658333333333331</v>
      </c>
      <c r="T553" s="176">
        <f t="shared" si="203"/>
        <v>0</v>
      </c>
      <c r="U553" s="176">
        <f t="shared" si="207"/>
        <v>8.2658333333333331</v>
      </c>
    </row>
    <row r="554" spans="1:21" s="5" customFormat="1" ht="14.25">
      <c r="A554" s="176">
        <v>6</v>
      </c>
      <c r="B554" s="177" t="s">
        <v>26</v>
      </c>
      <c r="C554" s="173" t="s">
        <v>94</v>
      </c>
      <c r="D554" s="178">
        <v>32.5</v>
      </c>
      <c r="E554" s="176">
        <v>19075</v>
      </c>
      <c r="F554" s="176">
        <v>8.25</v>
      </c>
      <c r="G554" s="176">
        <f t="shared" si="204"/>
        <v>157368.75</v>
      </c>
      <c r="H554" s="10"/>
      <c r="I554" s="176">
        <f t="shared" si="196"/>
        <v>157368.75</v>
      </c>
      <c r="J554" s="176">
        <f t="shared" si="197"/>
        <v>0</v>
      </c>
      <c r="K554" s="176">
        <f t="shared" si="198"/>
        <v>19075</v>
      </c>
      <c r="L554" s="10"/>
      <c r="M554" s="176">
        <f t="shared" si="199"/>
        <v>19075</v>
      </c>
      <c r="N554" s="176">
        <f>'Dakhil-(9-10)'!I50</f>
        <v>0</v>
      </c>
      <c r="O554" s="176">
        <f t="shared" si="200"/>
        <v>19075</v>
      </c>
      <c r="P554" s="176">
        <f t="shared" si="205"/>
        <v>0</v>
      </c>
      <c r="Q554" s="176">
        <f t="shared" si="201"/>
        <v>0</v>
      </c>
      <c r="R554" s="176">
        <f t="shared" si="202"/>
        <v>619.9375</v>
      </c>
      <c r="S554" s="176">
        <f t="shared" si="206"/>
        <v>8.2658333333333331</v>
      </c>
      <c r="T554" s="176">
        <f t="shared" si="203"/>
        <v>0</v>
      </c>
      <c r="U554" s="176">
        <f t="shared" si="207"/>
        <v>8.2658333333333331</v>
      </c>
    </row>
    <row r="555" spans="1:21" s="5" customFormat="1" ht="14.25">
      <c r="A555" s="176">
        <v>7</v>
      </c>
      <c r="B555" s="177" t="s">
        <v>27</v>
      </c>
      <c r="C555" s="173" t="s">
        <v>94</v>
      </c>
      <c r="D555" s="178">
        <v>26.5</v>
      </c>
      <c r="E555" s="176">
        <v>19075</v>
      </c>
      <c r="F555" s="176">
        <v>7.25</v>
      </c>
      <c r="G555" s="176">
        <f t="shared" si="204"/>
        <v>138293.75</v>
      </c>
      <c r="H555" s="10"/>
      <c r="I555" s="176">
        <f t="shared" si="196"/>
        <v>138293.75</v>
      </c>
      <c r="J555" s="176">
        <f t="shared" si="197"/>
        <v>0</v>
      </c>
      <c r="K555" s="176">
        <f t="shared" si="198"/>
        <v>19075</v>
      </c>
      <c r="L555" s="10"/>
      <c r="M555" s="176">
        <f t="shared" si="199"/>
        <v>19075</v>
      </c>
      <c r="N555" s="176">
        <f>'Dakhil-(9-10)'!J50</f>
        <v>0</v>
      </c>
      <c r="O555" s="176">
        <f t="shared" si="200"/>
        <v>19075</v>
      </c>
      <c r="P555" s="176">
        <f t="shared" si="205"/>
        <v>0</v>
      </c>
      <c r="Q555" s="176">
        <f t="shared" si="201"/>
        <v>0</v>
      </c>
      <c r="R555" s="176">
        <f t="shared" si="202"/>
        <v>505.48750000000001</v>
      </c>
      <c r="S555" s="176">
        <f t="shared" si="206"/>
        <v>6.7398333333333333</v>
      </c>
      <c r="T555" s="176">
        <f t="shared" si="203"/>
        <v>0</v>
      </c>
      <c r="U555" s="176">
        <f t="shared" si="207"/>
        <v>6.7398333333333333</v>
      </c>
    </row>
    <row r="556" spans="1:21" s="5" customFormat="1" ht="14.25">
      <c r="A556" s="176">
        <v>8</v>
      </c>
      <c r="B556" s="177" t="s">
        <v>31</v>
      </c>
      <c r="C556" s="173" t="s">
        <v>94</v>
      </c>
      <c r="D556" s="178">
        <v>45</v>
      </c>
      <c r="E556" s="176">
        <v>19075</v>
      </c>
      <c r="F556" s="176">
        <v>11.5</v>
      </c>
      <c r="G556" s="176">
        <f t="shared" si="204"/>
        <v>219362.5</v>
      </c>
      <c r="H556" s="10"/>
      <c r="I556" s="176">
        <f t="shared" si="196"/>
        <v>219362.5</v>
      </c>
      <c r="J556" s="176">
        <f t="shared" si="197"/>
        <v>0</v>
      </c>
      <c r="K556" s="176">
        <f t="shared" si="198"/>
        <v>19075</v>
      </c>
      <c r="L556" s="10"/>
      <c r="M556" s="176">
        <f t="shared" si="199"/>
        <v>19075</v>
      </c>
      <c r="N556" s="176">
        <f>'Dakhil-(9-10)'!K50</f>
        <v>0</v>
      </c>
      <c r="O556" s="176">
        <f t="shared" si="200"/>
        <v>19075</v>
      </c>
      <c r="P556" s="176">
        <f t="shared" si="205"/>
        <v>0</v>
      </c>
      <c r="Q556" s="176">
        <f t="shared" si="201"/>
        <v>0</v>
      </c>
      <c r="R556" s="176">
        <f t="shared" si="202"/>
        <v>858.375</v>
      </c>
      <c r="S556" s="176">
        <f t="shared" si="206"/>
        <v>11.445</v>
      </c>
      <c r="T556" s="176">
        <f t="shared" si="203"/>
        <v>0</v>
      </c>
      <c r="U556" s="176">
        <f t="shared" si="207"/>
        <v>11.445</v>
      </c>
    </row>
    <row r="557" spans="1:21" s="5" customFormat="1" ht="14.25">
      <c r="A557" s="176">
        <v>9</v>
      </c>
      <c r="B557" s="177" t="s">
        <v>56</v>
      </c>
      <c r="C557" s="173" t="s">
        <v>94</v>
      </c>
      <c r="D557" s="178">
        <v>27</v>
      </c>
      <c r="E557" s="176">
        <v>19075</v>
      </c>
      <c r="F557" s="176">
        <v>7.5</v>
      </c>
      <c r="G557" s="176">
        <f t="shared" si="204"/>
        <v>143062.5</v>
      </c>
      <c r="H557" s="10"/>
      <c r="I557" s="176">
        <f t="shared" si="196"/>
        <v>143062.5</v>
      </c>
      <c r="J557" s="176">
        <f t="shared" si="197"/>
        <v>0</v>
      </c>
      <c r="K557" s="176">
        <f t="shared" si="198"/>
        <v>19075</v>
      </c>
      <c r="L557" s="10"/>
      <c r="M557" s="176">
        <f t="shared" si="199"/>
        <v>19075</v>
      </c>
      <c r="N557" s="176">
        <f>'Dakhil-(9-10)'!L50</f>
        <v>0</v>
      </c>
      <c r="O557" s="176">
        <f t="shared" si="200"/>
        <v>19075</v>
      </c>
      <c r="P557" s="176">
        <f t="shared" si="205"/>
        <v>0</v>
      </c>
      <c r="Q557" s="176">
        <f t="shared" si="201"/>
        <v>0</v>
      </c>
      <c r="R557" s="176">
        <f t="shared" si="202"/>
        <v>515.02499999999998</v>
      </c>
      <c r="S557" s="176">
        <f t="shared" si="206"/>
        <v>6.867</v>
      </c>
      <c r="T557" s="176">
        <f t="shared" si="203"/>
        <v>0</v>
      </c>
      <c r="U557" s="176">
        <f t="shared" si="207"/>
        <v>6.867</v>
      </c>
    </row>
    <row r="558" spans="1:21" s="5" customFormat="1" ht="14.25">
      <c r="A558" s="176">
        <v>10</v>
      </c>
      <c r="B558" s="177" t="s">
        <v>175</v>
      </c>
      <c r="C558" s="173" t="s">
        <v>94</v>
      </c>
      <c r="D558" s="178">
        <v>40</v>
      </c>
      <c r="E558" s="176">
        <v>19075</v>
      </c>
      <c r="F558" s="176">
        <v>10</v>
      </c>
      <c r="G558" s="176">
        <f t="shared" si="204"/>
        <v>190750</v>
      </c>
      <c r="H558" s="10"/>
      <c r="I558" s="176">
        <f t="shared" si="196"/>
        <v>190750</v>
      </c>
      <c r="J558" s="176">
        <f t="shared" si="197"/>
        <v>0</v>
      </c>
      <c r="K558" s="176">
        <f t="shared" si="198"/>
        <v>19075</v>
      </c>
      <c r="L558" s="10"/>
      <c r="M558" s="176">
        <f t="shared" si="199"/>
        <v>19075</v>
      </c>
      <c r="N558" s="176">
        <f>'Dakhil-(9-10)'!M50</f>
        <v>0</v>
      </c>
      <c r="O558" s="176">
        <f t="shared" si="200"/>
        <v>19075</v>
      </c>
      <c r="P558" s="176">
        <f t="shared" si="205"/>
        <v>0</v>
      </c>
      <c r="Q558" s="176">
        <f t="shared" si="201"/>
        <v>0</v>
      </c>
      <c r="R558" s="176">
        <f t="shared" si="202"/>
        <v>763</v>
      </c>
      <c r="S558" s="176">
        <f t="shared" si="206"/>
        <v>10.173333333333334</v>
      </c>
      <c r="T558" s="176">
        <f t="shared" si="203"/>
        <v>0</v>
      </c>
      <c r="U558" s="176">
        <f t="shared" si="207"/>
        <v>10.173333333333334</v>
      </c>
    </row>
    <row r="559" spans="1:21" s="5" customFormat="1" ht="14.25">
      <c r="A559" s="176">
        <v>11</v>
      </c>
      <c r="B559" s="177" t="s">
        <v>185</v>
      </c>
      <c r="C559" s="173" t="s">
        <v>94</v>
      </c>
      <c r="D559" s="178">
        <v>25.5</v>
      </c>
      <c r="E559" s="176">
        <v>12145</v>
      </c>
      <c r="F559" s="176">
        <v>6.75</v>
      </c>
      <c r="G559" s="176">
        <f t="shared" si="204"/>
        <v>81978.75</v>
      </c>
      <c r="H559" s="10"/>
      <c r="I559" s="176">
        <f t="shared" si="196"/>
        <v>81978.75</v>
      </c>
      <c r="J559" s="176">
        <f t="shared" si="197"/>
        <v>0</v>
      </c>
      <c r="K559" s="176">
        <f t="shared" si="198"/>
        <v>12145</v>
      </c>
      <c r="L559" s="10"/>
      <c r="M559" s="176">
        <f t="shared" si="199"/>
        <v>12145</v>
      </c>
      <c r="N559" s="176">
        <f>'Dakhil-(9-10)'!N50</f>
        <v>0</v>
      </c>
      <c r="O559" s="176">
        <f t="shared" si="200"/>
        <v>12145</v>
      </c>
      <c r="P559" s="176">
        <f t="shared" si="205"/>
        <v>0</v>
      </c>
      <c r="Q559" s="176">
        <f t="shared" si="201"/>
        <v>0</v>
      </c>
      <c r="R559" s="176">
        <f t="shared" si="202"/>
        <v>309.69749999999999</v>
      </c>
      <c r="S559" s="176">
        <f t="shared" si="206"/>
        <v>4.1292999999999997</v>
      </c>
      <c r="T559" s="176">
        <f t="shared" si="203"/>
        <v>0</v>
      </c>
      <c r="U559" s="176">
        <f t="shared" si="207"/>
        <v>4.1292999999999997</v>
      </c>
    </row>
    <row r="560" spans="1:21" s="5" customFormat="1" ht="14.25">
      <c r="A560" s="176">
        <v>12</v>
      </c>
      <c r="B560" s="177" t="s">
        <v>186</v>
      </c>
      <c r="C560" s="173" t="s">
        <v>94</v>
      </c>
      <c r="D560" s="178">
        <v>23.5</v>
      </c>
      <c r="E560" s="176">
        <v>18090</v>
      </c>
      <c r="F560" s="176">
        <v>6.75</v>
      </c>
      <c r="G560" s="176">
        <f t="shared" si="204"/>
        <v>122107.5</v>
      </c>
      <c r="H560" s="10"/>
      <c r="I560" s="176">
        <f t="shared" si="196"/>
        <v>122107.5</v>
      </c>
      <c r="J560" s="176">
        <f t="shared" si="197"/>
        <v>0</v>
      </c>
      <c r="K560" s="176">
        <f t="shared" si="198"/>
        <v>18090</v>
      </c>
      <c r="L560" s="10"/>
      <c r="M560" s="176">
        <f t="shared" si="199"/>
        <v>18090</v>
      </c>
      <c r="N560" s="176">
        <f>'Dakhil-(9-10)'!O50</f>
        <v>0</v>
      </c>
      <c r="O560" s="176">
        <f t="shared" si="200"/>
        <v>18090</v>
      </c>
      <c r="P560" s="176">
        <f t="shared" si="205"/>
        <v>0</v>
      </c>
      <c r="Q560" s="176">
        <f t="shared" si="201"/>
        <v>0</v>
      </c>
      <c r="R560" s="176">
        <f t="shared" si="202"/>
        <v>425.11500000000001</v>
      </c>
      <c r="S560" s="176">
        <f t="shared" si="206"/>
        <v>5.6681999999999997</v>
      </c>
      <c r="T560" s="176">
        <f t="shared" si="203"/>
        <v>0</v>
      </c>
      <c r="U560" s="176">
        <f t="shared" si="207"/>
        <v>5.6681999999999997</v>
      </c>
    </row>
    <row r="561" spans="1:21" s="5" customFormat="1" ht="14.25">
      <c r="A561" s="176">
        <v>13</v>
      </c>
      <c r="B561" s="177" t="s">
        <v>91</v>
      </c>
      <c r="C561" s="173" t="s">
        <v>94</v>
      </c>
      <c r="D561" s="178">
        <v>11</v>
      </c>
      <c r="E561" s="176">
        <v>18635</v>
      </c>
      <c r="F561" s="176">
        <v>3.5</v>
      </c>
      <c r="G561" s="176">
        <f t="shared" si="204"/>
        <v>65222.5</v>
      </c>
      <c r="H561" s="10"/>
      <c r="I561" s="176">
        <f t="shared" si="196"/>
        <v>65222.5</v>
      </c>
      <c r="J561" s="176">
        <f t="shared" si="197"/>
        <v>0</v>
      </c>
      <c r="K561" s="176">
        <f t="shared" si="198"/>
        <v>18635</v>
      </c>
      <c r="L561" s="10"/>
      <c r="M561" s="176">
        <f t="shared" si="199"/>
        <v>18635</v>
      </c>
      <c r="N561" s="176">
        <f>'Dakhil-(9-10)'!P50</f>
        <v>0</v>
      </c>
      <c r="O561" s="176">
        <f t="shared" si="200"/>
        <v>18635</v>
      </c>
      <c r="P561" s="176">
        <f t="shared" si="205"/>
        <v>0</v>
      </c>
      <c r="Q561" s="176">
        <f t="shared" si="201"/>
        <v>0</v>
      </c>
      <c r="R561" s="176">
        <f t="shared" si="202"/>
        <v>204.98500000000001</v>
      </c>
      <c r="S561" s="176">
        <f t="shared" si="206"/>
        <v>2.7331333333333334</v>
      </c>
      <c r="T561" s="176">
        <f t="shared" si="203"/>
        <v>0</v>
      </c>
      <c r="U561" s="176">
        <f t="shared" si="207"/>
        <v>2.7331333333333334</v>
      </c>
    </row>
    <row r="562" spans="1:21" s="5" customFormat="1" ht="14.25">
      <c r="A562" s="176">
        <v>14</v>
      </c>
      <c r="B562" s="177" t="s">
        <v>43</v>
      </c>
      <c r="C562" s="173" t="s">
        <v>94</v>
      </c>
      <c r="D562" s="178">
        <v>19.5</v>
      </c>
      <c r="E562" s="176">
        <v>17020</v>
      </c>
      <c r="F562" s="176">
        <v>5.75</v>
      </c>
      <c r="G562" s="176">
        <f t="shared" si="204"/>
        <v>97865</v>
      </c>
      <c r="H562" s="10"/>
      <c r="I562" s="176">
        <f t="shared" si="196"/>
        <v>97865</v>
      </c>
      <c r="J562" s="176">
        <f t="shared" si="197"/>
        <v>0</v>
      </c>
      <c r="K562" s="176">
        <f t="shared" si="198"/>
        <v>17020</v>
      </c>
      <c r="L562" s="10"/>
      <c r="M562" s="176">
        <f t="shared" si="199"/>
        <v>17020</v>
      </c>
      <c r="N562" s="176">
        <f>'Dakhil-(9-10)'!Q50</f>
        <v>0</v>
      </c>
      <c r="O562" s="176">
        <f t="shared" si="200"/>
        <v>17020</v>
      </c>
      <c r="P562" s="176">
        <f t="shared" si="205"/>
        <v>0</v>
      </c>
      <c r="Q562" s="176">
        <f t="shared" si="201"/>
        <v>0</v>
      </c>
      <c r="R562" s="176">
        <f t="shared" si="202"/>
        <v>331.89</v>
      </c>
      <c r="S562" s="176">
        <f t="shared" si="206"/>
        <v>4.4252000000000002</v>
      </c>
      <c r="T562" s="176">
        <f t="shared" si="203"/>
        <v>0</v>
      </c>
      <c r="U562" s="176">
        <f t="shared" si="207"/>
        <v>4.4252000000000002</v>
      </c>
    </row>
    <row r="563" spans="1:21" s="5" customFormat="1" ht="14.25">
      <c r="A563" s="176">
        <v>15</v>
      </c>
      <c r="B563" s="177" t="s">
        <v>151</v>
      </c>
      <c r="C563" s="173" t="s">
        <v>94</v>
      </c>
      <c r="D563" s="178">
        <v>23.5</v>
      </c>
      <c r="E563" s="176">
        <v>310</v>
      </c>
      <c r="F563" s="176">
        <v>6.75</v>
      </c>
      <c r="G563" s="176">
        <f t="shared" si="204"/>
        <v>2092.5</v>
      </c>
      <c r="H563" s="10"/>
      <c r="I563" s="176">
        <f t="shared" si="196"/>
        <v>2092.5</v>
      </c>
      <c r="J563" s="176">
        <f t="shared" si="197"/>
        <v>0</v>
      </c>
      <c r="K563" s="176">
        <f t="shared" si="198"/>
        <v>310</v>
      </c>
      <c r="L563" s="10"/>
      <c r="M563" s="176">
        <f t="shared" si="199"/>
        <v>310</v>
      </c>
      <c r="N563" s="176">
        <f>'Dakhil-(9-10)'!R50</f>
        <v>0</v>
      </c>
      <c r="O563" s="176">
        <f t="shared" si="200"/>
        <v>310</v>
      </c>
      <c r="P563" s="176">
        <f t="shared" si="205"/>
        <v>0</v>
      </c>
      <c r="Q563" s="176">
        <f t="shared" si="201"/>
        <v>0</v>
      </c>
      <c r="R563" s="176">
        <f t="shared" si="202"/>
        <v>7.2850000000000001</v>
      </c>
      <c r="S563" s="176">
        <f t="shared" si="206"/>
        <v>9.7133333333333335E-2</v>
      </c>
      <c r="T563" s="176">
        <f t="shared" si="203"/>
        <v>0</v>
      </c>
      <c r="U563" s="176">
        <f t="shared" si="207"/>
        <v>9.7133333333333335E-2</v>
      </c>
    </row>
    <row r="564" spans="1:21" s="5" customFormat="1" ht="14.25">
      <c r="A564" s="176">
        <v>16</v>
      </c>
      <c r="B564" s="177" t="s">
        <v>187</v>
      </c>
      <c r="C564" s="173" t="s">
        <v>94</v>
      </c>
      <c r="D564" s="178">
        <v>29</v>
      </c>
      <c r="E564" s="176">
        <v>18090</v>
      </c>
      <c r="F564" s="176">
        <v>7.5</v>
      </c>
      <c r="G564" s="176">
        <f t="shared" si="204"/>
        <v>135675</v>
      </c>
      <c r="H564" s="10"/>
      <c r="I564" s="176">
        <f t="shared" si="196"/>
        <v>135675</v>
      </c>
      <c r="J564" s="176">
        <f t="shared" si="197"/>
        <v>0</v>
      </c>
      <c r="K564" s="176">
        <f t="shared" si="198"/>
        <v>18090</v>
      </c>
      <c r="L564" s="10"/>
      <c r="M564" s="176">
        <f t="shared" si="199"/>
        <v>18090</v>
      </c>
      <c r="N564" s="176">
        <f>'Dakhil-(9-10)'!S50</f>
        <v>0</v>
      </c>
      <c r="O564" s="176">
        <f t="shared" si="200"/>
        <v>18090</v>
      </c>
      <c r="P564" s="176">
        <f t="shared" si="205"/>
        <v>0</v>
      </c>
      <c r="Q564" s="176">
        <f t="shared" si="201"/>
        <v>0</v>
      </c>
      <c r="R564" s="176">
        <f t="shared" si="202"/>
        <v>524.61</v>
      </c>
      <c r="S564" s="176">
        <f t="shared" si="206"/>
        <v>6.9948000000000006</v>
      </c>
      <c r="T564" s="176">
        <f t="shared" si="203"/>
        <v>0</v>
      </c>
      <c r="U564" s="176">
        <f t="shared" si="207"/>
        <v>6.9948000000000006</v>
      </c>
    </row>
    <row r="565" spans="1:21" s="5" customFormat="1" ht="14.25">
      <c r="A565" s="176">
        <v>17</v>
      </c>
      <c r="B565" s="177" t="s">
        <v>109</v>
      </c>
      <c r="C565" s="173" t="s">
        <v>94</v>
      </c>
      <c r="D565" s="178">
        <v>16.5</v>
      </c>
      <c r="E565" s="176">
        <v>11240</v>
      </c>
      <c r="F565" s="176">
        <v>4.25</v>
      </c>
      <c r="G565" s="176">
        <f t="shared" si="204"/>
        <v>47770</v>
      </c>
      <c r="H565" s="10"/>
      <c r="I565" s="176">
        <f t="shared" si="196"/>
        <v>47770</v>
      </c>
      <c r="J565" s="176">
        <f t="shared" si="197"/>
        <v>0</v>
      </c>
      <c r="K565" s="176">
        <f t="shared" si="198"/>
        <v>11240</v>
      </c>
      <c r="L565" s="10"/>
      <c r="M565" s="176">
        <f t="shared" si="199"/>
        <v>11240</v>
      </c>
      <c r="N565" s="176">
        <f>'Dakhil-(9-10)'!T50</f>
        <v>0</v>
      </c>
      <c r="O565" s="176">
        <f t="shared" si="200"/>
        <v>11240</v>
      </c>
      <c r="P565" s="176">
        <f t="shared" si="205"/>
        <v>0</v>
      </c>
      <c r="Q565" s="176">
        <f t="shared" si="201"/>
        <v>0</v>
      </c>
      <c r="R565" s="176">
        <f t="shared" si="202"/>
        <v>185.46</v>
      </c>
      <c r="S565" s="176">
        <f t="shared" si="206"/>
        <v>2.4727999999999999</v>
      </c>
      <c r="T565" s="176">
        <f t="shared" si="203"/>
        <v>0</v>
      </c>
      <c r="U565" s="176">
        <f t="shared" si="207"/>
        <v>2.4727999999999999</v>
      </c>
    </row>
    <row r="566" spans="1:21" s="5" customFormat="1" ht="14.25">
      <c r="A566" s="176">
        <v>18</v>
      </c>
      <c r="B566" s="177" t="s">
        <v>102</v>
      </c>
      <c r="C566" s="173" t="s">
        <v>94</v>
      </c>
      <c r="D566" s="178">
        <v>42.5</v>
      </c>
      <c r="E566" s="176">
        <v>1180</v>
      </c>
      <c r="F566" s="176">
        <v>11.25</v>
      </c>
      <c r="G566" s="176">
        <f t="shared" si="204"/>
        <v>13275</v>
      </c>
      <c r="H566" s="10"/>
      <c r="I566" s="176">
        <f t="shared" si="196"/>
        <v>13275</v>
      </c>
      <c r="J566" s="176">
        <f t="shared" si="197"/>
        <v>0</v>
      </c>
      <c r="K566" s="176">
        <f t="shared" si="198"/>
        <v>1180</v>
      </c>
      <c r="L566" s="10"/>
      <c r="M566" s="176">
        <f t="shared" si="199"/>
        <v>1180</v>
      </c>
      <c r="N566" s="176">
        <f>'Dakhil-(9-10)'!U50</f>
        <v>0</v>
      </c>
      <c r="O566" s="176">
        <f t="shared" si="200"/>
        <v>1180</v>
      </c>
      <c r="P566" s="176">
        <f t="shared" si="205"/>
        <v>0</v>
      </c>
      <c r="Q566" s="176">
        <f t="shared" si="201"/>
        <v>0</v>
      </c>
      <c r="R566" s="176">
        <f t="shared" si="202"/>
        <v>50.15</v>
      </c>
      <c r="S566" s="176">
        <f t="shared" si="206"/>
        <v>0.66866666666666663</v>
      </c>
      <c r="T566" s="176">
        <f t="shared" si="203"/>
        <v>0</v>
      </c>
      <c r="U566" s="176">
        <f t="shared" si="207"/>
        <v>0.66866666666666663</v>
      </c>
    </row>
    <row r="567" spans="1:21" s="5" customFormat="1" ht="14.25">
      <c r="A567" s="383" t="s">
        <v>67</v>
      </c>
      <c r="B567" s="383"/>
      <c r="C567" s="383"/>
      <c r="D567" s="383"/>
      <c r="E567" s="143">
        <f t="shared" ref="E567:U567" si="208">SUM(E549:E566)</f>
        <v>287460</v>
      </c>
      <c r="F567" s="143">
        <f t="shared" si="208"/>
        <v>146.75</v>
      </c>
      <c r="G567" s="143">
        <f t="shared" si="208"/>
        <v>2363805</v>
      </c>
      <c r="H567" s="143">
        <f t="shared" si="208"/>
        <v>0</v>
      </c>
      <c r="I567" s="143">
        <f t="shared" si="208"/>
        <v>2363805</v>
      </c>
      <c r="J567" s="143">
        <f t="shared" si="208"/>
        <v>0</v>
      </c>
      <c r="K567" s="143">
        <f t="shared" si="208"/>
        <v>287460</v>
      </c>
      <c r="L567" s="143">
        <f t="shared" si="208"/>
        <v>0</v>
      </c>
      <c r="M567" s="143">
        <f t="shared" si="208"/>
        <v>287460</v>
      </c>
      <c r="N567" s="143">
        <f t="shared" si="208"/>
        <v>0</v>
      </c>
      <c r="O567" s="143">
        <f t="shared" si="208"/>
        <v>287460</v>
      </c>
      <c r="P567" s="143">
        <f t="shared" si="208"/>
        <v>0</v>
      </c>
      <c r="Q567" s="143">
        <f t="shared" si="208"/>
        <v>0</v>
      </c>
      <c r="R567" s="143">
        <f t="shared" si="208"/>
        <v>8915.7299999999977</v>
      </c>
      <c r="S567" s="143">
        <f t="shared" si="208"/>
        <v>118.87640000000002</v>
      </c>
      <c r="T567" s="143">
        <f t="shared" si="208"/>
        <v>0</v>
      </c>
      <c r="U567" s="143">
        <f t="shared" si="208"/>
        <v>118.87640000000002</v>
      </c>
    </row>
    <row r="568" spans="1:21" s="5" customFormat="1" ht="15.75">
      <c r="A568" s="30"/>
      <c r="B568" s="28"/>
      <c r="C568" s="30"/>
      <c r="D568" s="31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</row>
    <row r="569" spans="1:21" s="5" customFormat="1" ht="15.75">
      <c r="A569" s="30"/>
      <c r="B569" s="28"/>
      <c r="C569" s="30"/>
      <c r="D569" s="31"/>
      <c r="E569" s="30"/>
      <c r="F569" s="30"/>
      <c r="G569" s="30"/>
      <c r="H569" s="30"/>
      <c r="I569" s="30"/>
      <c r="J569" s="30"/>
      <c r="K569" s="30"/>
      <c r="L569" s="30"/>
      <c r="M569" s="122"/>
      <c r="N569" s="122"/>
      <c r="O569" s="122"/>
      <c r="P569" s="122"/>
      <c r="Q569" s="67"/>
      <c r="R569" s="67"/>
      <c r="S569" s="67"/>
      <c r="T569" s="67"/>
      <c r="U569" s="67"/>
    </row>
    <row r="570" spans="1:21" s="5" customFormat="1" ht="16.5">
      <c r="A570" s="61"/>
      <c r="B570" s="61"/>
      <c r="C570" s="61"/>
      <c r="D570" s="61"/>
      <c r="E570" s="62"/>
      <c r="F570" s="62"/>
      <c r="G570" s="62"/>
      <c r="H570" s="62"/>
      <c r="I570" s="62"/>
      <c r="J570" s="62"/>
      <c r="K570" s="62"/>
      <c r="L570" s="62"/>
      <c r="M570" s="63"/>
      <c r="N570" s="63"/>
      <c r="O570" s="63"/>
      <c r="P570" s="63"/>
      <c r="Q570" s="387" t="s">
        <v>254</v>
      </c>
      <c r="R570" s="387"/>
      <c r="S570" s="387"/>
      <c r="T570" s="387"/>
      <c r="U570" s="387"/>
    </row>
    <row r="571" spans="1:21" s="5" customFormat="1" ht="15.75">
      <c r="A571" s="24"/>
      <c r="B571" s="29"/>
      <c r="C571" s="24"/>
      <c r="D571" s="31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</row>
    <row r="572" spans="1:21" s="5" customFormat="1" ht="15.75">
      <c r="A572" s="24"/>
      <c r="B572" s="29"/>
      <c r="C572" s="24"/>
      <c r="D572" s="31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</row>
    <row r="573" spans="1:21" s="5" customFormat="1" ht="15.75">
      <c r="A573" s="24"/>
      <c r="B573" s="29"/>
      <c r="C573" s="24"/>
      <c r="D573" s="31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</row>
    <row r="574" spans="1:21" s="5" customFormat="1" ht="15.75">
      <c r="A574" s="24"/>
      <c r="B574" s="29"/>
      <c r="C574" s="24"/>
      <c r="D574" s="31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</row>
    <row r="575" spans="1:21" s="5" customFormat="1" ht="15.75">
      <c r="A575" s="24"/>
      <c r="B575" s="29"/>
      <c r="C575" s="24"/>
      <c r="D575" s="31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</row>
    <row r="576" spans="1:21" s="5" customFormat="1" ht="15.75">
      <c r="A576" s="24"/>
      <c r="B576" s="29"/>
      <c r="C576" s="24"/>
      <c r="D576" s="31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</row>
    <row r="577" spans="1:21" s="5" customFormat="1" ht="15.75">
      <c r="A577" s="24"/>
      <c r="B577" s="29"/>
      <c r="C577" s="24"/>
      <c r="D577" s="31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</row>
    <row r="578" spans="1:21" s="25" customFormat="1">
      <c r="A578" s="24"/>
      <c r="B578" s="29"/>
      <c r="C578" s="24"/>
      <c r="D578" s="31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</row>
    <row r="579" spans="1:21" s="1" customFormat="1" ht="15.75">
      <c r="A579" s="24"/>
      <c r="B579" s="29"/>
      <c r="C579" s="24"/>
      <c r="D579" s="31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</row>
    <row r="580" spans="1:21" s="1" customFormat="1" ht="18.600000000000001" customHeight="1">
      <c r="A580" s="24"/>
      <c r="B580" s="29"/>
      <c r="C580" s="24"/>
      <c r="D580" s="31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</row>
    <row r="581" spans="1:21" s="1" customFormat="1" ht="18.600000000000001" customHeight="1">
      <c r="A581" s="24"/>
      <c r="B581" s="29"/>
      <c r="C581" s="24"/>
      <c r="D581" s="31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</row>
    <row r="582" spans="1:21" s="5" customFormat="1" ht="15.75">
      <c r="A582" s="24"/>
      <c r="B582" s="29"/>
      <c r="C582" s="24"/>
      <c r="D582" s="31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</row>
    <row r="583" spans="1:21" s="5" customFormat="1" ht="15.75">
      <c r="A583" s="24"/>
      <c r="B583" s="29"/>
      <c r="C583" s="24"/>
      <c r="D583" s="31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</row>
    <row r="584" spans="1:21" s="5" customFormat="1" ht="15.75">
      <c r="A584" s="24"/>
      <c r="B584" s="29"/>
      <c r="C584" s="24"/>
      <c r="D584" s="31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</row>
    <row r="585" spans="1:21" s="5" customFormat="1" ht="15.75">
      <c r="A585" s="24"/>
      <c r="B585" s="29"/>
      <c r="C585" s="24"/>
      <c r="D585" s="31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</row>
    <row r="586" spans="1:21" s="5" customFormat="1" ht="15.75">
      <c r="A586" s="24"/>
      <c r="B586" s="29"/>
      <c r="C586" s="24"/>
      <c r="D586" s="31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</row>
    <row r="587" spans="1:21" s="5" customFormat="1" ht="15.75">
      <c r="A587" s="24"/>
      <c r="B587" s="29"/>
      <c r="C587" s="24"/>
      <c r="D587" s="31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</row>
    <row r="588" spans="1:21" s="5" customFormat="1" ht="15.75">
      <c r="A588" s="24"/>
      <c r="B588" s="29"/>
      <c r="C588" s="24"/>
      <c r="D588" s="31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</row>
    <row r="589" spans="1:21" s="5" customFormat="1" ht="15.75">
      <c r="A589" s="24"/>
      <c r="B589" s="29"/>
      <c r="C589" s="24"/>
      <c r="D589" s="31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</row>
    <row r="590" spans="1:21" s="5" customFormat="1" ht="15.75">
      <c r="A590" s="24"/>
      <c r="B590" s="29"/>
      <c r="C590" s="24"/>
      <c r="D590" s="31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</row>
    <row r="591" spans="1:21" s="5" customFormat="1" ht="15.75">
      <c r="A591" s="24"/>
      <c r="B591" s="29"/>
      <c r="C591" s="24"/>
      <c r="D591" s="31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</row>
    <row r="592" spans="1:21" s="5" customFormat="1" ht="15.75">
      <c r="A592" s="24"/>
      <c r="B592" s="29"/>
      <c r="C592" s="24"/>
      <c r="D592" s="31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</row>
    <row r="593" spans="1:21" s="5" customFormat="1" ht="15.75">
      <c r="A593" s="24"/>
      <c r="B593" s="29"/>
      <c r="C593" s="24"/>
      <c r="D593" s="31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</row>
    <row r="594" spans="1:21" s="5" customFormat="1" ht="15.75">
      <c r="A594" s="24"/>
      <c r="B594" s="29"/>
      <c r="C594" s="24"/>
      <c r="D594" s="31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</row>
    <row r="595" spans="1:21" s="5" customFormat="1" ht="15.75">
      <c r="A595" s="24"/>
      <c r="B595" s="29"/>
      <c r="C595" s="24"/>
      <c r="D595" s="31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</row>
    <row r="596" spans="1:21" s="5" customFormat="1" ht="15.75">
      <c r="A596" s="24"/>
      <c r="B596" s="29"/>
      <c r="C596" s="24"/>
      <c r="D596" s="31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</row>
    <row r="597" spans="1:21" s="5" customFormat="1" ht="15.75">
      <c r="A597" s="24"/>
      <c r="B597" s="29"/>
      <c r="C597" s="24"/>
      <c r="D597" s="31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</row>
    <row r="598" spans="1:21" s="5" customFormat="1" ht="15.75">
      <c r="A598" s="24"/>
      <c r="B598" s="29"/>
      <c r="C598" s="24"/>
      <c r="D598" s="31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</row>
    <row r="599" spans="1:21" s="5" customFormat="1" ht="15.75">
      <c r="A599" s="24"/>
      <c r="B599" s="29"/>
      <c r="C599" s="24"/>
      <c r="D599" s="31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</row>
    <row r="600" spans="1:21" s="5" customFormat="1" ht="15.75">
      <c r="A600" s="24"/>
      <c r="B600" s="29"/>
      <c r="C600" s="24"/>
      <c r="D600" s="31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</row>
    <row r="601" spans="1:21" s="5" customFormat="1" ht="15.75">
      <c r="A601" s="24"/>
      <c r="B601" s="29"/>
      <c r="C601" s="24"/>
      <c r="D601" s="31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</row>
    <row r="602" spans="1:21" s="5" customFormat="1" ht="15.75">
      <c r="A602" s="24"/>
      <c r="B602" s="29"/>
      <c r="C602" s="24"/>
      <c r="D602" s="31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</row>
    <row r="603" spans="1:21" s="5" customFormat="1" ht="15.75">
      <c r="A603" s="24"/>
      <c r="B603" s="29"/>
      <c r="C603" s="24"/>
      <c r="D603" s="31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</row>
    <row r="604" spans="1:21" s="5" customFormat="1" ht="15.75">
      <c r="A604" s="24"/>
      <c r="B604" s="29"/>
      <c r="C604" s="24"/>
      <c r="D604" s="31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</row>
    <row r="605" spans="1:21" s="25" customFormat="1">
      <c r="A605" s="24"/>
      <c r="B605" s="29"/>
      <c r="C605" s="24"/>
      <c r="D605" s="31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</row>
    <row r="606" spans="1:21" s="1" customFormat="1" ht="15.75">
      <c r="A606" s="24"/>
      <c r="B606" s="29"/>
      <c r="C606" s="24"/>
      <c r="D606" s="31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</row>
    <row r="607" spans="1:21" s="1" customFormat="1" ht="18.600000000000001" customHeight="1">
      <c r="A607" s="24"/>
      <c r="B607" s="29"/>
      <c r="C607" s="24"/>
      <c r="D607" s="31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</row>
    <row r="608" spans="1:21" s="1" customFormat="1" ht="18.600000000000001" customHeight="1">
      <c r="A608" s="24"/>
      <c r="B608" s="29"/>
      <c r="C608" s="24"/>
      <c r="D608" s="31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</row>
    <row r="609" spans="1:21" s="5" customFormat="1" ht="15.75">
      <c r="A609" s="24"/>
      <c r="B609" s="29"/>
      <c r="C609" s="24"/>
      <c r="D609" s="31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</row>
    <row r="610" spans="1:21" s="5" customFormat="1" ht="15.75">
      <c r="A610" s="24"/>
      <c r="B610" s="29"/>
      <c r="C610" s="24"/>
      <c r="D610" s="31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</row>
    <row r="611" spans="1:21" s="5" customFormat="1" ht="15.75">
      <c r="A611" s="24"/>
      <c r="B611" s="29"/>
      <c r="C611" s="24"/>
      <c r="D611" s="31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</row>
    <row r="612" spans="1:21" s="5" customFormat="1" ht="15.75">
      <c r="A612" s="24"/>
      <c r="B612" s="29"/>
      <c r="C612" s="24"/>
      <c r="D612" s="31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</row>
    <row r="613" spans="1:21" s="5" customFormat="1" ht="15.75">
      <c r="A613" s="24"/>
      <c r="B613" s="29"/>
      <c r="C613" s="24"/>
      <c r="D613" s="31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</row>
    <row r="614" spans="1:21" s="5" customFormat="1" ht="15.75">
      <c r="A614" s="24"/>
      <c r="B614" s="29"/>
      <c r="C614" s="24"/>
      <c r="D614" s="31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</row>
    <row r="615" spans="1:21" s="5" customFormat="1" ht="15.75">
      <c r="A615" s="24"/>
      <c r="B615" s="29"/>
      <c r="C615" s="24"/>
      <c r="D615" s="31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</row>
    <row r="616" spans="1:21" s="5" customFormat="1" ht="15.75">
      <c r="A616" s="24"/>
      <c r="B616" s="29"/>
      <c r="C616" s="24"/>
      <c r="D616" s="31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</row>
    <row r="617" spans="1:21" s="5" customFormat="1" ht="15.75">
      <c r="A617" s="24"/>
      <c r="B617" s="29"/>
      <c r="C617" s="24"/>
      <c r="D617" s="31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</row>
    <row r="618" spans="1:21" s="5" customFormat="1" ht="15.75">
      <c r="A618" s="24"/>
      <c r="B618" s="29"/>
      <c r="C618" s="24"/>
      <c r="D618" s="31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</row>
    <row r="619" spans="1:21" s="5" customFormat="1" ht="15.75">
      <c r="A619" s="24"/>
      <c r="B619" s="29"/>
      <c r="C619" s="24"/>
      <c r="D619" s="31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</row>
    <row r="620" spans="1:21" s="5" customFormat="1" ht="15.75">
      <c r="A620" s="24"/>
      <c r="B620" s="29"/>
      <c r="C620" s="24"/>
      <c r="D620" s="31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</row>
    <row r="621" spans="1:21" s="5" customFormat="1" ht="15.75">
      <c r="A621" s="24"/>
      <c r="B621" s="29"/>
      <c r="C621" s="24"/>
      <c r="D621" s="31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</row>
    <row r="622" spans="1:21" s="5" customFormat="1" ht="15.75">
      <c r="A622" s="24"/>
      <c r="B622" s="29"/>
      <c r="C622" s="24"/>
      <c r="D622" s="31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</row>
    <row r="623" spans="1:21" s="5" customFormat="1" ht="15.75">
      <c r="A623" s="24"/>
      <c r="B623" s="29"/>
      <c r="C623" s="24"/>
      <c r="D623" s="31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</row>
    <row r="624" spans="1:21" s="5" customFormat="1" ht="15.75">
      <c r="A624" s="24"/>
      <c r="B624" s="29"/>
      <c r="C624" s="24"/>
      <c r="D624" s="31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</row>
    <row r="625" spans="1:21" s="5" customFormat="1" ht="15.75">
      <c r="A625" s="24"/>
      <c r="B625" s="29"/>
      <c r="C625" s="24"/>
      <c r="D625" s="31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</row>
    <row r="626" spans="1:21" s="5" customFormat="1" ht="15.75">
      <c r="A626" s="24"/>
      <c r="B626" s="29"/>
      <c r="C626" s="24"/>
      <c r="D626" s="31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</row>
    <row r="627" spans="1:21" s="5" customFormat="1" ht="15.75">
      <c r="A627" s="24"/>
      <c r="B627" s="29"/>
      <c r="C627" s="24"/>
      <c r="D627" s="31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</row>
    <row r="628" spans="1:21" s="5" customFormat="1" ht="15.75">
      <c r="A628" s="24"/>
      <c r="B628" s="29"/>
      <c r="C628" s="24"/>
      <c r="D628" s="31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</row>
    <row r="629" spans="1:21" s="5" customFormat="1" ht="15.75">
      <c r="A629" s="24"/>
      <c r="B629" s="29"/>
      <c r="C629" s="24"/>
      <c r="D629" s="31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</row>
    <row r="630" spans="1:21" s="5" customFormat="1" ht="15.75">
      <c r="A630" s="24"/>
      <c r="B630" s="29"/>
      <c r="C630" s="24"/>
      <c r="D630" s="31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</row>
    <row r="631" spans="1:21" s="5" customFormat="1" ht="15.75">
      <c r="A631" s="24"/>
      <c r="B631" s="29"/>
      <c r="C631" s="24"/>
      <c r="D631" s="31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</row>
    <row r="632" spans="1:21" s="25" customFormat="1">
      <c r="A632" s="24"/>
      <c r="B632" s="29"/>
      <c r="C632" s="24"/>
      <c r="D632" s="31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</row>
    <row r="633" spans="1:21" s="1" customFormat="1" ht="15.75">
      <c r="A633" s="24"/>
      <c r="B633" s="29"/>
      <c r="C633" s="24"/>
      <c r="D633" s="31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</row>
    <row r="634" spans="1:21" s="1" customFormat="1" ht="18.600000000000001" customHeight="1">
      <c r="A634" s="24"/>
      <c r="B634" s="29"/>
      <c r="C634" s="24"/>
      <c r="D634" s="31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</row>
    <row r="635" spans="1:21" s="1" customFormat="1" ht="18.600000000000001" customHeight="1">
      <c r="A635" s="24"/>
      <c r="B635" s="29"/>
      <c r="C635" s="24"/>
      <c r="D635" s="31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</row>
    <row r="636" spans="1:21" s="5" customFormat="1" ht="15.75">
      <c r="A636" s="24"/>
      <c r="B636" s="29"/>
      <c r="C636" s="24"/>
      <c r="D636" s="31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</row>
    <row r="637" spans="1:21" s="5" customFormat="1" ht="15.75">
      <c r="A637" s="24"/>
      <c r="B637" s="29"/>
      <c r="C637" s="24"/>
      <c r="D637" s="31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</row>
    <row r="638" spans="1:21" s="5" customFormat="1" ht="15.75">
      <c r="A638" s="24"/>
      <c r="B638" s="29"/>
      <c r="C638" s="24"/>
      <c r="D638" s="31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</row>
    <row r="639" spans="1:21" s="5" customFormat="1" ht="15.75">
      <c r="A639" s="24"/>
      <c r="B639" s="29"/>
      <c r="C639" s="24"/>
      <c r="D639" s="31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</row>
    <row r="640" spans="1:21" s="5" customFormat="1" ht="15.75">
      <c r="A640" s="24"/>
      <c r="B640" s="29"/>
      <c r="C640" s="24"/>
      <c r="D640" s="31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</row>
    <row r="641" spans="1:21" s="5" customFormat="1" ht="15.75">
      <c r="A641" s="24"/>
      <c r="B641" s="29"/>
      <c r="C641" s="24"/>
      <c r="D641" s="31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</row>
    <row r="642" spans="1:21" s="5" customFormat="1" ht="15.75">
      <c r="A642" s="24"/>
      <c r="B642" s="29"/>
      <c r="C642" s="24"/>
      <c r="D642" s="31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</row>
    <row r="643" spans="1:21" s="5" customFormat="1" ht="15.75">
      <c r="A643" s="24"/>
      <c r="B643" s="29"/>
      <c r="C643" s="24"/>
      <c r="D643" s="31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</row>
    <row r="644" spans="1:21" s="5" customFormat="1" ht="15.75">
      <c r="A644" s="24"/>
      <c r="B644" s="29"/>
      <c r="C644" s="24"/>
      <c r="D644" s="31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</row>
    <row r="645" spans="1:21" s="5" customFormat="1" ht="15.75">
      <c r="A645" s="24"/>
      <c r="B645" s="29"/>
      <c r="C645" s="24"/>
      <c r="D645" s="31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</row>
    <row r="646" spans="1:21" s="5" customFormat="1" ht="15.75">
      <c r="A646" s="24"/>
      <c r="B646" s="29"/>
      <c r="C646" s="24"/>
      <c r="D646" s="31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</row>
    <row r="647" spans="1:21" s="5" customFormat="1" ht="15.75">
      <c r="A647" s="24"/>
      <c r="B647" s="29"/>
      <c r="C647" s="24"/>
      <c r="D647" s="31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</row>
    <row r="648" spans="1:21" s="5" customFormat="1" ht="15.75">
      <c r="A648" s="24"/>
      <c r="B648" s="29"/>
      <c r="C648" s="24"/>
      <c r="D648" s="31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</row>
    <row r="649" spans="1:21" s="5" customFormat="1" ht="15.75">
      <c r="A649" s="24"/>
      <c r="B649" s="29"/>
      <c r="C649" s="24"/>
      <c r="D649" s="31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</row>
    <row r="650" spans="1:21" s="5" customFormat="1" ht="15.75">
      <c r="A650" s="24"/>
      <c r="B650" s="29"/>
      <c r="C650" s="24"/>
      <c r="D650" s="31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</row>
    <row r="651" spans="1:21" s="5" customFormat="1" ht="15.75">
      <c r="A651" s="24"/>
      <c r="B651" s="29"/>
      <c r="C651" s="24"/>
      <c r="D651" s="31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</row>
    <row r="652" spans="1:21" s="5" customFormat="1" ht="15.75">
      <c r="A652" s="24"/>
      <c r="B652" s="29"/>
      <c r="C652" s="24"/>
      <c r="D652" s="31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</row>
    <row r="653" spans="1:21" s="5" customFormat="1" ht="15.75">
      <c r="A653" s="24"/>
      <c r="B653" s="29"/>
      <c r="C653" s="24"/>
      <c r="D653" s="31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</row>
    <row r="654" spans="1:21" s="5" customFormat="1" ht="15.75">
      <c r="A654" s="24"/>
      <c r="B654" s="29"/>
      <c r="C654" s="24"/>
      <c r="D654" s="31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</row>
    <row r="655" spans="1:21" s="5" customFormat="1" ht="15.75">
      <c r="A655" s="24"/>
      <c r="B655" s="29"/>
      <c r="C655" s="24"/>
      <c r="D655" s="31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</row>
    <row r="656" spans="1:21" s="5" customFormat="1" ht="15.75">
      <c r="A656" s="24"/>
      <c r="B656" s="29"/>
      <c r="C656" s="24"/>
      <c r="D656" s="31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</row>
    <row r="657" spans="1:21" s="5" customFormat="1" ht="15.75">
      <c r="A657" s="24"/>
      <c r="B657" s="29"/>
      <c r="C657" s="24"/>
      <c r="D657" s="31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</row>
    <row r="658" spans="1:21" s="5" customFormat="1" ht="15.75">
      <c r="A658" s="24"/>
      <c r="B658" s="29"/>
      <c r="C658" s="24"/>
      <c r="D658" s="31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</row>
    <row r="659" spans="1:21" s="25" customFormat="1">
      <c r="A659" s="24"/>
      <c r="B659" s="29"/>
      <c r="C659" s="24"/>
      <c r="D659" s="31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</row>
    <row r="660" spans="1:21" s="1" customFormat="1" ht="15.75">
      <c r="A660" s="24"/>
      <c r="B660" s="29"/>
      <c r="C660" s="24"/>
      <c r="D660" s="31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</row>
    <row r="661" spans="1:21" s="1" customFormat="1" ht="18.600000000000001" customHeight="1">
      <c r="A661" s="24"/>
      <c r="B661" s="29"/>
      <c r="C661" s="24"/>
      <c r="D661" s="31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</row>
    <row r="662" spans="1:21" s="1" customFormat="1" ht="18.600000000000001" customHeight="1">
      <c r="A662" s="24"/>
      <c r="B662" s="29"/>
      <c r="C662" s="24"/>
      <c r="D662" s="31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</row>
    <row r="663" spans="1:21" s="5" customFormat="1" ht="15.75">
      <c r="A663" s="24"/>
      <c r="B663" s="29"/>
      <c r="C663" s="24"/>
      <c r="D663" s="31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</row>
    <row r="664" spans="1:21" s="5" customFormat="1" ht="15.75">
      <c r="A664" s="24"/>
      <c r="B664" s="29"/>
      <c r="C664" s="24"/>
      <c r="D664" s="31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</row>
    <row r="665" spans="1:21" s="5" customFormat="1" ht="15.75">
      <c r="A665" s="24"/>
      <c r="B665" s="29"/>
      <c r="C665" s="24"/>
      <c r="D665" s="31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</row>
    <row r="666" spans="1:21" s="5" customFormat="1" ht="15.75">
      <c r="A666" s="24"/>
      <c r="B666" s="29"/>
      <c r="C666" s="24"/>
      <c r="D666" s="31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</row>
    <row r="667" spans="1:21" s="5" customFormat="1" ht="15.75">
      <c r="A667" s="24"/>
      <c r="B667" s="29"/>
      <c r="C667" s="24"/>
      <c r="D667" s="31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</row>
    <row r="668" spans="1:21" s="5" customFormat="1" ht="15.75">
      <c r="A668" s="24"/>
      <c r="B668" s="29"/>
      <c r="C668" s="24"/>
      <c r="D668" s="31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</row>
    <row r="669" spans="1:21" s="5" customFormat="1" ht="15.75">
      <c r="A669" s="24"/>
      <c r="B669" s="29"/>
      <c r="C669" s="24"/>
      <c r="D669" s="31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</row>
    <row r="670" spans="1:21" s="5" customFormat="1" ht="15.75">
      <c r="A670" s="24"/>
      <c r="B670" s="29"/>
      <c r="C670" s="24"/>
      <c r="D670" s="31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</row>
    <row r="671" spans="1:21" s="5" customFormat="1" ht="15.75">
      <c r="A671" s="24"/>
      <c r="B671" s="29"/>
      <c r="C671" s="24"/>
      <c r="D671" s="31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</row>
    <row r="672" spans="1:21" s="5" customFormat="1" ht="15.75">
      <c r="A672" s="24"/>
      <c r="B672" s="29"/>
      <c r="C672" s="24"/>
      <c r="D672" s="31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</row>
    <row r="673" spans="1:21" s="5" customFormat="1" ht="15.75">
      <c r="A673" s="24"/>
      <c r="B673" s="29"/>
      <c r="C673" s="24"/>
      <c r="D673" s="31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</row>
    <row r="674" spans="1:21" s="5" customFormat="1" ht="15.75">
      <c r="A674" s="24"/>
      <c r="B674" s="29"/>
      <c r="C674" s="24"/>
      <c r="D674" s="31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</row>
    <row r="675" spans="1:21" s="5" customFormat="1" ht="15.75">
      <c r="A675" s="24"/>
      <c r="B675" s="29"/>
      <c r="C675" s="24"/>
      <c r="D675" s="31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</row>
    <row r="676" spans="1:21" s="5" customFormat="1" ht="15.75">
      <c r="A676" s="24"/>
      <c r="B676" s="29"/>
      <c r="C676" s="24"/>
      <c r="D676" s="31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</row>
    <row r="677" spans="1:21" s="5" customFormat="1" ht="15.75">
      <c r="A677" s="24"/>
      <c r="B677" s="29"/>
      <c r="C677" s="24"/>
      <c r="D677" s="31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</row>
    <row r="678" spans="1:21" s="5" customFormat="1" ht="15.75">
      <c r="A678" s="24"/>
      <c r="B678" s="29"/>
      <c r="C678" s="24"/>
      <c r="D678" s="31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</row>
    <row r="679" spans="1:21" s="5" customFormat="1" ht="15.75">
      <c r="A679" s="24"/>
      <c r="B679" s="29"/>
      <c r="C679" s="24"/>
      <c r="D679" s="31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</row>
    <row r="680" spans="1:21" s="5" customFormat="1" ht="15.75">
      <c r="A680" s="24"/>
      <c r="B680" s="29"/>
      <c r="C680" s="24"/>
      <c r="D680" s="31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</row>
    <row r="681" spans="1:21" s="5" customFormat="1" ht="15.75">
      <c r="A681" s="24"/>
      <c r="B681" s="29"/>
      <c r="C681" s="24"/>
      <c r="D681" s="31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</row>
    <row r="682" spans="1:21" s="5" customFormat="1" ht="15.75">
      <c r="A682" s="24"/>
      <c r="B682" s="29"/>
      <c r="C682" s="24"/>
      <c r="D682" s="31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</row>
    <row r="683" spans="1:21" s="5" customFormat="1" ht="15.75">
      <c r="A683" s="24"/>
      <c r="B683" s="29"/>
      <c r="C683" s="24"/>
      <c r="D683" s="31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</row>
    <row r="684" spans="1:21" s="5" customFormat="1" ht="15.75">
      <c r="A684" s="24"/>
      <c r="B684" s="29"/>
      <c r="C684" s="24"/>
      <c r="D684" s="31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</row>
    <row r="685" spans="1:21" s="5" customFormat="1" ht="15.75">
      <c r="A685" s="24"/>
      <c r="B685" s="29"/>
      <c r="C685" s="24"/>
      <c r="D685" s="31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</row>
    <row r="686" spans="1:21" s="25" customFormat="1">
      <c r="A686" s="24"/>
      <c r="B686" s="29"/>
      <c r="C686" s="24"/>
      <c r="D686" s="31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</row>
    <row r="687" spans="1:21" s="1" customFormat="1" ht="15.75">
      <c r="A687" s="24"/>
      <c r="B687" s="29"/>
      <c r="C687" s="24"/>
      <c r="D687" s="31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</row>
    <row r="688" spans="1:21" s="1" customFormat="1" ht="18.600000000000001" customHeight="1">
      <c r="A688" s="24"/>
      <c r="B688" s="29"/>
      <c r="C688" s="24"/>
      <c r="D688" s="31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</row>
    <row r="689" spans="1:21" s="1" customFormat="1" ht="18.600000000000001" customHeight="1">
      <c r="A689" s="24"/>
      <c r="B689" s="29"/>
      <c r="C689" s="24"/>
      <c r="D689" s="31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</row>
    <row r="690" spans="1:21" s="5" customFormat="1" ht="15.75">
      <c r="A690" s="24"/>
      <c r="B690" s="29"/>
      <c r="C690" s="24"/>
      <c r="D690" s="31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</row>
    <row r="691" spans="1:21" s="5" customFormat="1" ht="15.75">
      <c r="A691" s="24"/>
      <c r="B691" s="29"/>
      <c r="C691" s="24"/>
      <c r="D691" s="31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</row>
    <row r="692" spans="1:21" s="5" customFormat="1" ht="15.75">
      <c r="A692" s="24"/>
      <c r="B692" s="29"/>
      <c r="C692" s="24"/>
      <c r="D692" s="31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</row>
    <row r="693" spans="1:21" s="5" customFormat="1" ht="15.75">
      <c r="A693" s="24"/>
      <c r="B693" s="29"/>
      <c r="C693" s="24"/>
      <c r="D693" s="31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</row>
    <row r="694" spans="1:21" s="5" customFormat="1" ht="15.75">
      <c r="A694" s="24"/>
      <c r="B694" s="29"/>
      <c r="C694" s="24"/>
      <c r="D694" s="31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</row>
    <row r="695" spans="1:21" s="5" customFormat="1" ht="15.75">
      <c r="A695" s="24"/>
      <c r="B695" s="29"/>
      <c r="C695" s="24"/>
      <c r="D695" s="31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</row>
    <row r="696" spans="1:21" s="5" customFormat="1" ht="15.75">
      <c r="A696" s="24"/>
      <c r="B696" s="29"/>
      <c r="C696" s="24"/>
      <c r="D696" s="31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</row>
    <row r="697" spans="1:21" s="5" customFormat="1" ht="15.75">
      <c r="A697" s="24"/>
      <c r="B697" s="29"/>
      <c r="C697" s="24"/>
      <c r="D697" s="31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</row>
    <row r="698" spans="1:21" s="5" customFormat="1" ht="15.75">
      <c r="A698" s="24"/>
      <c r="B698" s="29"/>
      <c r="C698" s="24"/>
      <c r="D698" s="31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</row>
    <row r="699" spans="1:21" s="5" customFormat="1" ht="15.75">
      <c r="A699" s="24"/>
      <c r="B699" s="29"/>
      <c r="C699" s="24"/>
      <c r="D699" s="31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</row>
    <row r="700" spans="1:21" s="5" customFormat="1" ht="15.75">
      <c r="A700" s="24"/>
      <c r="B700" s="29"/>
      <c r="C700" s="24"/>
      <c r="D700" s="31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</row>
    <row r="701" spans="1:21" s="5" customFormat="1" ht="15.75">
      <c r="A701" s="24"/>
      <c r="B701" s="29"/>
      <c r="C701" s="24"/>
      <c r="D701" s="31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</row>
    <row r="702" spans="1:21" s="5" customFormat="1" ht="15.75">
      <c r="A702" s="24"/>
      <c r="B702" s="29"/>
      <c r="C702" s="24"/>
      <c r="D702" s="31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</row>
    <row r="703" spans="1:21" s="5" customFormat="1" ht="15.75">
      <c r="A703" s="24"/>
      <c r="B703" s="29"/>
      <c r="C703" s="24"/>
      <c r="D703" s="31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</row>
    <row r="704" spans="1:21" s="5" customFormat="1" ht="15.75">
      <c r="A704" s="24"/>
      <c r="B704" s="29"/>
      <c r="C704" s="24"/>
      <c r="D704" s="31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</row>
    <row r="705" spans="1:21" s="5" customFormat="1" ht="15.75">
      <c r="A705" s="24"/>
      <c r="B705" s="29"/>
      <c r="C705" s="24"/>
      <c r="D705" s="31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</row>
    <row r="706" spans="1:21" s="5" customFormat="1" ht="15.75">
      <c r="A706" s="24"/>
      <c r="B706" s="29"/>
      <c r="C706" s="24"/>
      <c r="D706" s="31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</row>
    <row r="707" spans="1:21" s="5" customFormat="1" ht="15.75">
      <c r="A707" s="24"/>
      <c r="B707" s="29"/>
      <c r="C707" s="24"/>
      <c r="D707" s="31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</row>
    <row r="708" spans="1:21" s="5" customFormat="1" ht="15.75">
      <c r="A708" s="24"/>
      <c r="B708" s="29"/>
      <c r="C708" s="24"/>
      <c r="D708" s="31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</row>
    <row r="709" spans="1:21" s="5" customFormat="1" ht="15.75">
      <c r="A709" s="24"/>
      <c r="B709" s="29"/>
      <c r="C709" s="24"/>
      <c r="D709" s="31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</row>
    <row r="710" spans="1:21" s="5" customFormat="1" ht="15.75">
      <c r="A710" s="24"/>
      <c r="B710" s="29"/>
      <c r="C710" s="24"/>
      <c r="D710" s="31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</row>
    <row r="711" spans="1:21" s="5" customFormat="1" ht="15.75">
      <c r="A711" s="24"/>
      <c r="B711" s="29"/>
      <c r="C711" s="24"/>
      <c r="D711" s="31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</row>
    <row r="712" spans="1:21" s="5" customFormat="1" ht="15.75">
      <c r="A712" s="24"/>
      <c r="B712" s="29"/>
      <c r="C712" s="24"/>
      <c r="D712" s="31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</row>
    <row r="713" spans="1:21" s="25" customFormat="1">
      <c r="A713" s="24"/>
      <c r="B713" s="29"/>
      <c r="C713" s="24"/>
      <c r="D713" s="31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</row>
    <row r="714" spans="1:21" s="1" customFormat="1" ht="15.75">
      <c r="A714" s="24"/>
      <c r="B714" s="29"/>
      <c r="C714" s="24"/>
      <c r="D714" s="31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</row>
    <row r="715" spans="1:21" s="1" customFormat="1" ht="18.600000000000001" customHeight="1">
      <c r="A715" s="24"/>
      <c r="B715" s="29"/>
      <c r="C715" s="24"/>
      <c r="D715" s="31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</row>
    <row r="716" spans="1:21" s="1" customFormat="1" ht="18.600000000000001" customHeight="1">
      <c r="A716" s="24"/>
      <c r="B716" s="29"/>
      <c r="C716" s="24"/>
      <c r="D716" s="31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</row>
    <row r="717" spans="1:21" s="5" customFormat="1" ht="15.75">
      <c r="A717" s="24"/>
      <c r="B717" s="29"/>
      <c r="C717" s="24"/>
      <c r="D717" s="31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</row>
    <row r="718" spans="1:21" s="5" customFormat="1" ht="15.75">
      <c r="A718" s="24"/>
      <c r="B718" s="29"/>
      <c r="C718" s="24"/>
      <c r="D718" s="31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</row>
    <row r="719" spans="1:21" s="5" customFormat="1" ht="15.75">
      <c r="A719" s="24"/>
      <c r="B719" s="29"/>
      <c r="C719" s="24"/>
      <c r="D719" s="31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</row>
    <row r="720" spans="1:21" s="5" customFormat="1" ht="15.75">
      <c r="A720" s="24"/>
      <c r="B720" s="29"/>
      <c r="C720" s="24"/>
      <c r="D720" s="31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</row>
    <row r="721" spans="1:21" s="5" customFormat="1" ht="15.75">
      <c r="A721" s="24"/>
      <c r="B721" s="29"/>
      <c r="C721" s="24"/>
      <c r="D721" s="31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</row>
    <row r="722" spans="1:21" s="5" customFormat="1" ht="15.75">
      <c r="A722" s="24"/>
      <c r="B722" s="29"/>
      <c r="C722" s="24"/>
      <c r="D722" s="31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</row>
    <row r="723" spans="1:21" s="5" customFormat="1" ht="15.75">
      <c r="A723" s="24"/>
      <c r="B723" s="29"/>
      <c r="C723" s="24"/>
      <c r="D723" s="31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</row>
    <row r="724" spans="1:21" s="5" customFormat="1" ht="15.75">
      <c r="A724" s="24"/>
      <c r="B724" s="29"/>
      <c r="C724" s="24"/>
      <c r="D724" s="31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</row>
    <row r="725" spans="1:21" s="5" customFormat="1" ht="15.75">
      <c r="A725" s="24"/>
      <c r="B725" s="29"/>
      <c r="C725" s="24"/>
      <c r="D725" s="31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</row>
    <row r="726" spans="1:21" s="5" customFormat="1" ht="15.75">
      <c r="A726" s="24"/>
      <c r="B726" s="29"/>
      <c r="C726" s="24"/>
      <c r="D726" s="31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</row>
    <row r="727" spans="1:21" s="5" customFormat="1" ht="15.75">
      <c r="A727" s="24"/>
      <c r="B727" s="29"/>
      <c r="C727" s="24"/>
      <c r="D727" s="31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</row>
    <row r="728" spans="1:21" s="5" customFormat="1" ht="15.75">
      <c r="A728" s="24"/>
      <c r="B728" s="29"/>
      <c r="C728" s="24"/>
      <c r="D728" s="31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</row>
    <row r="729" spans="1:21" s="5" customFormat="1" ht="15.75">
      <c r="A729" s="24"/>
      <c r="B729" s="29"/>
      <c r="C729" s="24"/>
      <c r="D729" s="31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</row>
    <row r="730" spans="1:21" s="5" customFormat="1" ht="15.75">
      <c r="A730" s="24"/>
      <c r="B730" s="29"/>
      <c r="C730" s="24"/>
      <c r="D730" s="31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</row>
    <row r="731" spans="1:21" s="5" customFormat="1" ht="15.75">
      <c r="A731" s="24"/>
      <c r="B731" s="29"/>
      <c r="C731" s="24"/>
      <c r="D731" s="31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</row>
    <row r="732" spans="1:21" s="5" customFormat="1" ht="15.75">
      <c r="A732" s="24"/>
      <c r="B732" s="29"/>
      <c r="C732" s="24"/>
      <c r="D732" s="31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</row>
    <row r="733" spans="1:21" s="5" customFormat="1" ht="15.75">
      <c r="A733" s="24"/>
      <c r="B733" s="29"/>
      <c r="C733" s="24"/>
      <c r="D733" s="31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</row>
    <row r="734" spans="1:21" s="5" customFormat="1" ht="15.75">
      <c r="A734" s="24"/>
      <c r="B734" s="29"/>
      <c r="C734" s="24"/>
      <c r="D734" s="31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</row>
    <row r="735" spans="1:21" s="5" customFormat="1" ht="15.75">
      <c r="A735" s="24"/>
      <c r="B735" s="29"/>
      <c r="C735" s="24"/>
      <c r="D735" s="31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</row>
    <row r="736" spans="1:21" s="5" customFormat="1" ht="15.75">
      <c r="A736" s="24"/>
      <c r="B736" s="29"/>
      <c r="C736" s="24"/>
      <c r="D736" s="31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</row>
    <row r="737" spans="1:21" s="5" customFormat="1" ht="15.75">
      <c r="A737" s="24"/>
      <c r="B737" s="29"/>
      <c r="C737" s="24"/>
      <c r="D737" s="31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</row>
    <row r="738" spans="1:21" s="5" customFormat="1" ht="15.75">
      <c r="A738" s="24"/>
      <c r="B738" s="29"/>
      <c r="C738" s="24"/>
      <c r="D738" s="31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</row>
    <row r="739" spans="1:21" s="5" customFormat="1" ht="15.75">
      <c r="A739" s="24"/>
      <c r="B739" s="29"/>
      <c r="C739" s="24"/>
      <c r="D739" s="31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</row>
    <row r="740" spans="1:21" s="25" customFormat="1">
      <c r="A740" s="24"/>
      <c r="B740" s="29"/>
      <c r="C740" s="24"/>
      <c r="D740" s="31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</row>
    <row r="741" spans="1:21" s="1" customFormat="1" ht="15.75">
      <c r="A741" s="24"/>
      <c r="B741" s="29"/>
      <c r="C741" s="24"/>
      <c r="D741" s="31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</row>
    <row r="742" spans="1:21" s="1" customFormat="1" ht="18.600000000000001" customHeight="1">
      <c r="A742" s="24"/>
      <c r="B742" s="29"/>
      <c r="C742" s="24"/>
      <c r="D742" s="31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</row>
    <row r="743" spans="1:21" s="1" customFormat="1" ht="18.600000000000001" customHeight="1">
      <c r="A743" s="24"/>
      <c r="B743" s="29"/>
      <c r="C743" s="24"/>
      <c r="D743" s="31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</row>
    <row r="744" spans="1:21" s="5" customFormat="1" ht="15.75">
      <c r="A744" s="24"/>
      <c r="B744" s="29"/>
      <c r="C744" s="24"/>
      <c r="D744" s="31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</row>
    <row r="745" spans="1:21" s="5" customFormat="1" ht="15.75">
      <c r="A745" s="24"/>
      <c r="B745" s="29"/>
      <c r="C745" s="24"/>
      <c r="D745" s="31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</row>
    <row r="746" spans="1:21" s="5" customFormat="1" ht="15.75">
      <c r="A746" s="24"/>
      <c r="B746" s="29"/>
      <c r="C746" s="24"/>
      <c r="D746" s="31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</row>
    <row r="747" spans="1:21" s="5" customFormat="1" ht="15.75">
      <c r="A747" s="24"/>
      <c r="B747" s="29"/>
      <c r="C747" s="24"/>
      <c r="D747" s="31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</row>
    <row r="748" spans="1:21" s="5" customFormat="1" ht="15.75">
      <c r="A748" s="24"/>
      <c r="B748" s="29"/>
      <c r="C748" s="24"/>
      <c r="D748" s="31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</row>
    <row r="749" spans="1:21" s="5" customFormat="1" ht="15.75">
      <c r="A749" s="24"/>
      <c r="B749" s="29"/>
      <c r="C749" s="24"/>
      <c r="D749" s="31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</row>
    <row r="750" spans="1:21" s="5" customFormat="1" ht="15.75">
      <c r="A750" s="24"/>
      <c r="B750" s="29"/>
      <c r="C750" s="24"/>
      <c r="D750" s="31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</row>
    <row r="751" spans="1:21" s="5" customFormat="1" ht="15.75">
      <c r="A751" s="24"/>
      <c r="B751" s="29"/>
      <c r="C751" s="24"/>
      <c r="D751" s="31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</row>
    <row r="752" spans="1:21" s="5" customFormat="1" ht="15.75">
      <c r="A752" s="24"/>
      <c r="B752" s="29"/>
      <c r="C752" s="24"/>
      <c r="D752" s="31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</row>
    <row r="753" spans="1:21" s="5" customFormat="1" ht="15.75">
      <c r="A753" s="24"/>
      <c r="B753" s="29"/>
      <c r="C753" s="24"/>
      <c r="D753" s="31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</row>
    <row r="754" spans="1:21" s="5" customFormat="1" ht="15.75">
      <c r="A754" s="24"/>
      <c r="B754" s="29"/>
      <c r="C754" s="24"/>
      <c r="D754" s="31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</row>
    <row r="755" spans="1:21" s="5" customFormat="1" ht="15.75">
      <c r="A755" s="24"/>
      <c r="B755" s="29"/>
      <c r="C755" s="24"/>
      <c r="D755" s="31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</row>
    <row r="756" spans="1:21" s="5" customFormat="1" ht="15.75">
      <c r="A756" s="24"/>
      <c r="B756" s="29"/>
      <c r="C756" s="24"/>
      <c r="D756" s="31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</row>
    <row r="757" spans="1:21" s="5" customFormat="1" ht="15.75">
      <c r="A757" s="24"/>
      <c r="B757" s="29"/>
      <c r="C757" s="24"/>
      <c r="D757" s="31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</row>
    <row r="758" spans="1:21" s="5" customFormat="1" ht="15.75">
      <c r="A758" s="24"/>
      <c r="B758" s="29"/>
      <c r="C758" s="24"/>
      <c r="D758" s="31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</row>
    <row r="759" spans="1:21" s="5" customFormat="1" ht="15.75">
      <c r="A759" s="24"/>
      <c r="B759" s="29"/>
      <c r="C759" s="24"/>
      <c r="D759" s="31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</row>
    <row r="760" spans="1:21" s="5" customFormat="1" ht="15.75">
      <c r="A760" s="24"/>
      <c r="B760" s="29"/>
      <c r="C760" s="24"/>
      <c r="D760" s="31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</row>
    <row r="761" spans="1:21" s="5" customFormat="1" ht="15.75">
      <c r="A761" s="24"/>
      <c r="B761" s="29"/>
      <c r="C761" s="24"/>
      <c r="D761" s="31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</row>
    <row r="762" spans="1:21" s="5" customFormat="1" ht="15.75">
      <c r="A762" s="24"/>
      <c r="B762" s="29"/>
      <c r="C762" s="24"/>
      <c r="D762" s="31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</row>
    <row r="763" spans="1:21" s="5" customFormat="1" ht="15.75">
      <c r="A763" s="24"/>
      <c r="B763" s="29"/>
      <c r="C763" s="24"/>
      <c r="D763" s="31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</row>
    <row r="764" spans="1:21" s="5" customFormat="1" ht="15.75">
      <c r="A764" s="24"/>
      <c r="B764" s="29"/>
      <c r="C764" s="24"/>
      <c r="D764" s="31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</row>
    <row r="765" spans="1:21" s="5" customFormat="1" ht="15.75">
      <c r="A765" s="24"/>
      <c r="B765" s="29"/>
      <c r="C765" s="24"/>
      <c r="D765" s="31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</row>
    <row r="766" spans="1:21" s="5" customFormat="1" ht="15.75">
      <c r="A766" s="24"/>
      <c r="B766" s="29"/>
      <c r="C766" s="24"/>
      <c r="D766" s="31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</row>
    <row r="767" spans="1:21" s="25" customFormat="1">
      <c r="A767" s="24"/>
      <c r="B767" s="29"/>
      <c r="C767" s="24"/>
      <c r="D767" s="31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</row>
    <row r="768" spans="1:21" s="1" customFormat="1" ht="15.75">
      <c r="A768" s="24"/>
      <c r="B768" s="29"/>
      <c r="C768" s="24"/>
      <c r="D768" s="31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</row>
    <row r="769" spans="1:21" s="1" customFormat="1" ht="18.600000000000001" customHeight="1">
      <c r="A769" s="24"/>
      <c r="B769" s="29"/>
      <c r="C769" s="24"/>
      <c r="D769" s="31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</row>
    <row r="770" spans="1:21" s="1" customFormat="1" ht="18.600000000000001" customHeight="1">
      <c r="A770" s="24"/>
      <c r="B770" s="29"/>
      <c r="C770" s="24"/>
      <c r="D770" s="31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</row>
    <row r="771" spans="1:21" s="5" customFormat="1" ht="15.75">
      <c r="A771" s="24"/>
      <c r="B771" s="29"/>
      <c r="C771" s="24"/>
      <c r="D771" s="31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</row>
    <row r="772" spans="1:21" s="5" customFormat="1" ht="15.75">
      <c r="A772" s="24"/>
      <c r="B772" s="29"/>
      <c r="C772" s="24"/>
      <c r="D772" s="31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</row>
    <row r="773" spans="1:21" s="5" customFormat="1" ht="15.75">
      <c r="A773" s="24"/>
      <c r="B773" s="29"/>
      <c r="C773" s="24"/>
      <c r="D773" s="31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</row>
    <row r="774" spans="1:21" s="5" customFormat="1" ht="15.75">
      <c r="A774" s="24"/>
      <c r="B774" s="29"/>
      <c r="C774" s="24"/>
      <c r="D774" s="31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</row>
    <row r="775" spans="1:21" s="5" customFormat="1" ht="15.75">
      <c r="A775" s="24"/>
      <c r="B775" s="29"/>
      <c r="C775" s="24"/>
      <c r="D775" s="31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</row>
    <row r="776" spans="1:21" s="5" customFormat="1" ht="15.75">
      <c r="A776" s="24"/>
      <c r="B776" s="29"/>
      <c r="C776" s="24"/>
      <c r="D776" s="31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</row>
    <row r="777" spans="1:21" s="5" customFormat="1" ht="15.75">
      <c r="A777" s="24"/>
      <c r="B777" s="29"/>
      <c r="C777" s="24"/>
      <c r="D777" s="31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</row>
    <row r="778" spans="1:21" s="5" customFormat="1" ht="15.75">
      <c r="A778" s="24"/>
      <c r="B778" s="29"/>
      <c r="C778" s="24"/>
      <c r="D778" s="31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</row>
    <row r="779" spans="1:21" s="5" customFormat="1" ht="15.75">
      <c r="A779" s="24"/>
      <c r="B779" s="29"/>
      <c r="C779" s="24"/>
      <c r="D779" s="31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</row>
    <row r="780" spans="1:21" s="5" customFormat="1" ht="15.75">
      <c r="A780" s="24"/>
      <c r="B780" s="29"/>
      <c r="C780" s="24"/>
      <c r="D780" s="31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</row>
    <row r="781" spans="1:21" s="5" customFormat="1" ht="15.75">
      <c r="A781" s="24"/>
      <c r="B781" s="29"/>
      <c r="C781" s="24"/>
      <c r="D781" s="31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</row>
    <row r="782" spans="1:21" s="5" customFormat="1" ht="15.75">
      <c r="A782" s="24"/>
      <c r="B782" s="29"/>
      <c r="C782" s="24"/>
      <c r="D782" s="31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</row>
    <row r="783" spans="1:21" s="5" customFormat="1" ht="15.75">
      <c r="A783" s="24"/>
      <c r="B783" s="29"/>
      <c r="C783" s="24"/>
      <c r="D783" s="31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</row>
    <row r="784" spans="1:21" s="5" customFormat="1" ht="15.75">
      <c r="A784" s="24"/>
      <c r="B784" s="29"/>
      <c r="C784" s="24"/>
      <c r="D784" s="31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</row>
    <row r="785" spans="1:21" s="5" customFormat="1" ht="15.75">
      <c r="A785" s="24"/>
      <c r="B785" s="29"/>
      <c r="C785" s="24"/>
      <c r="D785" s="31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</row>
    <row r="786" spans="1:21" s="5" customFormat="1" ht="15.75">
      <c r="A786" s="24"/>
      <c r="B786" s="29"/>
      <c r="C786" s="24"/>
      <c r="D786" s="31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</row>
    <row r="787" spans="1:21" s="5" customFormat="1" ht="15.75">
      <c r="A787" s="24"/>
      <c r="B787" s="29"/>
      <c r="C787" s="24"/>
      <c r="D787" s="31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</row>
    <row r="788" spans="1:21" s="26" customFormat="1">
      <c r="A788" s="24"/>
      <c r="B788" s="29"/>
      <c r="C788" s="24"/>
      <c r="D788" s="31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</row>
    <row r="789" spans="1:21" s="1" customFormat="1" ht="15.75">
      <c r="A789" s="24"/>
      <c r="B789" s="29"/>
      <c r="C789" s="24"/>
      <c r="D789" s="31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</row>
    <row r="790" spans="1:21" s="1" customFormat="1" ht="18.600000000000001" customHeight="1">
      <c r="A790" s="24"/>
      <c r="B790" s="29"/>
      <c r="C790" s="24"/>
      <c r="D790" s="31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</row>
    <row r="791" spans="1:21" s="1" customFormat="1" ht="18.600000000000001" customHeight="1">
      <c r="A791" s="24"/>
      <c r="B791" s="29"/>
      <c r="C791" s="24"/>
      <c r="D791" s="31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</row>
    <row r="792" spans="1:21" s="5" customFormat="1" ht="15.75">
      <c r="A792" s="24"/>
      <c r="B792" s="29"/>
      <c r="C792" s="24"/>
      <c r="D792" s="31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</row>
    <row r="793" spans="1:21" s="5" customFormat="1" ht="15.75">
      <c r="A793" s="24"/>
      <c r="B793" s="29"/>
      <c r="C793" s="24"/>
      <c r="D793" s="31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</row>
    <row r="794" spans="1:21" s="5" customFormat="1" ht="15.75">
      <c r="A794" s="24"/>
      <c r="B794" s="29"/>
      <c r="C794" s="24"/>
      <c r="D794" s="31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</row>
    <row r="795" spans="1:21" s="5" customFormat="1" ht="15.75">
      <c r="A795" s="24"/>
      <c r="B795" s="29"/>
      <c r="C795" s="24"/>
      <c r="D795" s="31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</row>
    <row r="796" spans="1:21" s="5" customFormat="1" ht="15.75">
      <c r="A796" s="24"/>
      <c r="B796" s="29"/>
      <c r="C796" s="24"/>
      <c r="D796" s="31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</row>
    <row r="797" spans="1:21" s="5" customFormat="1" ht="15.75">
      <c r="A797" s="24"/>
      <c r="B797" s="29"/>
      <c r="C797" s="24"/>
      <c r="D797" s="31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</row>
    <row r="798" spans="1:21" s="5" customFormat="1" ht="15.75">
      <c r="A798" s="24"/>
      <c r="B798" s="29"/>
      <c r="C798" s="24"/>
      <c r="D798" s="31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</row>
    <row r="799" spans="1:21" s="5" customFormat="1" ht="15.75">
      <c r="A799" s="24"/>
      <c r="B799" s="29"/>
      <c r="C799" s="24"/>
      <c r="D799" s="31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</row>
    <row r="800" spans="1:21" s="5" customFormat="1" ht="15.75">
      <c r="A800" s="24"/>
      <c r="B800" s="29"/>
      <c r="C800" s="24"/>
      <c r="D800" s="31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</row>
    <row r="801" spans="1:21" s="5" customFormat="1" ht="15.75">
      <c r="A801" s="24"/>
      <c r="B801" s="29"/>
      <c r="C801" s="24"/>
      <c r="D801" s="31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</row>
    <row r="802" spans="1:21" s="5" customFormat="1" ht="15.75">
      <c r="A802" s="24"/>
      <c r="B802" s="29"/>
      <c r="C802" s="24"/>
      <c r="D802" s="31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</row>
    <row r="803" spans="1:21" s="5" customFormat="1" ht="15.75">
      <c r="A803" s="24"/>
      <c r="B803" s="29"/>
      <c r="C803" s="24"/>
      <c r="D803" s="31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</row>
    <row r="804" spans="1:21" s="5" customFormat="1" ht="15.75">
      <c r="A804" s="24"/>
      <c r="B804" s="29"/>
      <c r="C804" s="24"/>
      <c r="D804" s="31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</row>
    <row r="805" spans="1:21" s="5" customFormat="1" ht="15.75">
      <c r="A805" s="24"/>
      <c r="B805" s="29"/>
      <c r="C805" s="24"/>
      <c r="D805" s="31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</row>
    <row r="806" spans="1:21" s="5" customFormat="1" ht="15.75">
      <c r="A806" s="24"/>
      <c r="B806" s="29"/>
      <c r="C806" s="24"/>
      <c r="D806" s="31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</row>
    <row r="807" spans="1:21" s="5" customFormat="1" ht="15.75">
      <c r="A807" s="24"/>
      <c r="B807" s="29"/>
      <c r="C807" s="24"/>
      <c r="D807" s="31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</row>
    <row r="808" spans="1:21" s="5" customFormat="1" ht="15.75">
      <c r="A808" s="24"/>
      <c r="B808" s="29"/>
      <c r="C808" s="24"/>
      <c r="D808" s="31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</row>
    <row r="809" spans="1:21" s="26" customFormat="1">
      <c r="A809" s="24"/>
      <c r="B809" s="29"/>
      <c r="C809" s="24"/>
      <c r="D809" s="31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</row>
    <row r="810" spans="1:21" s="1" customFormat="1" ht="15.75">
      <c r="A810" s="24"/>
      <c r="B810" s="29"/>
      <c r="C810" s="24"/>
      <c r="D810" s="31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</row>
    <row r="811" spans="1:21" s="1" customFormat="1" ht="18.600000000000001" customHeight="1">
      <c r="A811" s="24"/>
      <c r="B811" s="29"/>
      <c r="C811" s="24"/>
      <c r="D811" s="31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</row>
    <row r="812" spans="1:21" s="1" customFormat="1" ht="18.600000000000001" customHeight="1">
      <c r="A812" s="24"/>
      <c r="B812" s="29"/>
      <c r="C812" s="24"/>
      <c r="D812" s="31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</row>
    <row r="813" spans="1:21" s="5" customFormat="1" ht="15.75">
      <c r="A813" s="24"/>
      <c r="B813" s="29"/>
      <c r="C813" s="24"/>
      <c r="D813" s="31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</row>
    <row r="814" spans="1:21" s="5" customFormat="1" ht="15.75">
      <c r="A814" s="24"/>
      <c r="B814" s="29"/>
      <c r="C814" s="24"/>
      <c r="D814" s="31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</row>
    <row r="815" spans="1:21" s="5" customFormat="1" ht="15.75">
      <c r="A815" s="24"/>
      <c r="B815" s="29"/>
      <c r="C815" s="24"/>
      <c r="D815" s="31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</row>
    <row r="816" spans="1:21" s="5" customFormat="1" ht="15.75">
      <c r="A816" s="24"/>
      <c r="B816" s="29"/>
      <c r="C816" s="24"/>
      <c r="D816" s="31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</row>
    <row r="817" spans="1:21" s="5" customFormat="1" ht="15.75">
      <c r="A817" s="24"/>
      <c r="B817" s="29"/>
      <c r="C817" s="24"/>
      <c r="D817" s="31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</row>
    <row r="818" spans="1:21" s="5" customFormat="1" ht="15.75">
      <c r="A818" s="24"/>
      <c r="B818" s="29"/>
      <c r="C818" s="24"/>
      <c r="D818" s="31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</row>
    <row r="819" spans="1:21" s="5" customFormat="1" ht="15.75">
      <c r="A819" s="24"/>
      <c r="B819" s="29"/>
      <c r="C819" s="24"/>
      <c r="D819" s="31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</row>
    <row r="820" spans="1:21" s="5" customFormat="1" ht="15.75">
      <c r="A820" s="24"/>
      <c r="B820" s="29"/>
      <c r="C820" s="24"/>
      <c r="D820" s="31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</row>
    <row r="821" spans="1:21" s="5" customFormat="1" ht="15.75">
      <c r="A821" s="24"/>
      <c r="B821" s="29"/>
      <c r="C821" s="24"/>
      <c r="D821" s="31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</row>
    <row r="822" spans="1:21" s="5" customFormat="1" ht="15.75">
      <c r="A822" s="24"/>
      <c r="B822" s="29"/>
      <c r="C822" s="24"/>
      <c r="D822" s="31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</row>
    <row r="823" spans="1:21" s="5" customFormat="1" ht="15.75">
      <c r="A823" s="24"/>
      <c r="B823" s="29"/>
      <c r="C823" s="24"/>
      <c r="D823" s="31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</row>
    <row r="824" spans="1:21" s="5" customFormat="1" ht="15.75">
      <c r="A824" s="24"/>
      <c r="B824" s="29"/>
      <c r="C824" s="24"/>
      <c r="D824" s="31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</row>
    <row r="825" spans="1:21" s="5" customFormat="1" ht="15.75">
      <c r="A825" s="24"/>
      <c r="B825" s="29"/>
      <c r="C825" s="24"/>
      <c r="D825" s="31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</row>
    <row r="826" spans="1:21" s="5" customFormat="1" ht="15.75">
      <c r="A826" s="24"/>
      <c r="B826" s="29"/>
      <c r="C826" s="24"/>
      <c r="D826" s="31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</row>
    <row r="827" spans="1:21" s="5" customFormat="1" ht="15.75">
      <c r="A827" s="24"/>
      <c r="B827" s="29"/>
      <c r="C827" s="24"/>
      <c r="D827" s="31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</row>
    <row r="828" spans="1:21" s="5" customFormat="1" ht="15.75">
      <c r="A828" s="24"/>
      <c r="B828" s="29"/>
      <c r="C828" s="24"/>
      <c r="D828" s="31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</row>
    <row r="829" spans="1:21" s="5" customFormat="1" ht="15.75">
      <c r="A829" s="24"/>
      <c r="B829" s="29"/>
      <c r="C829" s="24"/>
      <c r="D829" s="31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</row>
    <row r="831" spans="1:21" s="1" customFormat="1" ht="15.75">
      <c r="A831" s="24"/>
      <c r="B831" s="29"/>
      <c r="C831" s="24"/>
      <c r="D831" s="31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</row>
    <row r="832" spans="1:21" s="1" customFormat="1" ht="18.600000000000001" customHeight="1">
      <c r="A832" s="24"/>
      <c r="B832" s="29"/>
      <c r="C832" s="24"/>
      <c r="D832" s="31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</row>
    <row r="833" spans="1:21" s="1" customFormat="1" ht="18.600000000000001" customHeight="1">
      <c r="A833" s="24"/>
      <c r="B833" s="29"/>
      <c r="C833" s="24"/>
      <c r="D833" s="31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</row>
    <row r="834" spans="1:21" s="5" customFormat="1" ht="15.75">
      <c r="A834" s="24"/>
      <c r="B834" s="29"/>
      <c r="C834" s="24"/>
      <c r="D834" s="31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</row>
    <row r="835" spans="1:21" s="5" customFormat="1" ht="15.75">
      <c r="A835" s="24"/>
      <c r="B835" s="29"/>
      <c r="C835" s="24"/>
      <c r="D835" s="31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</row>
    <row r="836" spans="1:21" s="5" customFormat="1" ht="15.75">
      <c r="A836" s="24"/>
      <c r="B836" s="29"/>
      <c r="C836" s="24"/>
      <c r="D836" s="31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</row>
    <row r="837" spans="1:21" s="5" customFormat="1" ht="15.75">
      <c r="A837" s="24"/>
      <c r="B837" s="29"/>
      <c r="C837" s="24"/>
      <c r="D837" s="31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</row>
    <row r="838" spans="1:21" s="5" customFormat="1" ht="15.75">
      <c r="A838" s="24"/>
      <c r="B838" s="29"/>
      <c r="C838" s="24"/>
      <c r="D838" s="31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</row>
    <row r="839" spans="1:21" s="5" customFormat="1" ht="15.75">
      <c r="A839" s="24"/>
      <c r="B839" s="29"/>
      <c r="C839" s="24"/>
      <c r="D839" s="31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</row>
    <row r="840" spans="1:21" s="5" customFormat="1" ht="15.75">
      <c r="A840" s="24"/>
      <c r="B840" s="29"/>
      <c r="C840" s="24"/>
      <c r="D840" s="31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</row>
    <row r="841" spans="1:21" s="5" customFormat="1" ht="15.75">
      <c r="A841" s="24"/>
      <c r="B841" s="29"/>
      <c r="C841" s="24"/>
      <c r="D841" s="31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</row>
    <row r="842" spans="1:21" s="5" customFormat="1" ht="15.75">
      <c r="A842" s="24"/>
      <c r="B842" s="29"/>
      <c r="C842" s="24"/>
      <c r="D842" s="31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</row>
    <row r="843" spans="1:21" s="5" customFormat="1" ht="15.75">
      <c r="A843" s="24"/>
      <c r="B843" s="29"/>
      <c r="C843" s="24"/>
      <c r="D843" s="31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</row>
    <row r="844" spans="1:21" s="5" customFormat="1" ht="15.75">
      <c r="A844" s="24"/>
      <c r="B844" s="29"/>
      <c r="C844" s="24"/>
      <c r="D844" s="31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</row>
    <row r="845" spans="1:21" s="5" customFormat="1" ht="15.75">
      <c r="A845" s="24"/>
      <c r="B845" s="29"/>
      <c r="C845" s="24"/>
      <c r="D845" s="31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</row>
    <row r="846" spans="1:21" s="5" customFormat="1" ht="15.75">
      <c r="A846" s="24"/>
      <c r="B846" s="29"/>
      <c r="C846" s="24"/>
      <c r="D846" s="31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</row>
    <row r="847" spans="1:21" s="5" customFormat="1" ht="15.75">
      <c r="A847" s="24"/>
      <c r="B847" s="29"/>
      <c r="C847" s="24"/>
      <c r="D847" s="31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</row>
    <row r="848" spans="1:21" s="5" customFormat="1" ht="15.75">
      <c r="A848" s="24"/>
      <c r="B848" s="29"/>
      <c r="C848" s="24"/>
      <c r="D848" s="31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</row>
    <row r="849" spans="1:21" s="5" customFormat="1" ht="15.75">
      <c r="A849" s="24"/>
      <c r="B849" s="29"/>
      <c r="C849" s="24"/>
      <c r="D849" s="31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</row>
    <row r="850" spans="1:21" s="5" customFormat="1" ht="15.75">
      <c r="A850" s="24"/>
      <c r="B850" s="29"/>
      <c r="C850" s="24"/>
      <c r="D850" s="31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</row>
    <row r="851" spans="1:21" s="5" customFormat="1" ht="15.75">
      <c r="A851" s="24"/>
      <c r="B851" s="29"/>
      <c r="C851" s="24"/>
      <c r="D851" s="31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</row>
    <row r="852" spans="1:21" s="5" customFormat="1" ht="15.75">
      <c r="A852" s="24"/>
      <c r="B852" s="29"/>
      <c r="C852" s="24"/>
      <c r="D852" s="31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</row>
    <row r="853" spans="1:21" s="5" customFormat="1" ht="15.75">
      <c r="A853" s="24"/>
      <c r="B853" s="29"/>
      <c r="C853" s="24"/>
      <c r="D853" s="31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</row>
    <row r="854" spans="1:21" s="5" customFormat="1" ht="15.75">
      <c r="A854" s="24"/>
      <c r="B854" s="29"/>
      <c r="C854" s="24"/>
      <c r="D854" s="31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</row>
    <row r="855" spans="1:21" s="5" customFormat="1" ht="15.75">
      <c r="A855" s="24"/>
      <c r="B855" s="29"/>
      <c r="C855" s="24"/>
      <c r="D855" s="31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</row>
    <row r="856" spans="1:21" s="5" customFormat="1" ht="15.75">
      <c r="A856" s="24"/>
      <c r="B856" s="29"/>
      <c r="C856" s="24"/>
      <c r="D856" s="31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</row>
    <row r="857" spans="1:21" s="25" customFormat="1">
      <c r="A857" s="24"/>
      <c r="B857" s="29"/>
      <c r="C857" s="24"/>
      <c r="D857" s="31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</row>
    <row r="858" spans="1:21" s="1" customFormat="1" ht="15.75">
      <c r="A858" s="24"/>
      <c r="B858" s="29"/>
      <c r="C858" s="24"/>
      <c r="D858" s="31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</row>
    <row r="859" spans="1:21" s="1" customFormat="1" ht="18.600000000000001" customHeight="1">
      <c r="A859" s="24"/>
      <c r="B859" s="29"/>
      <c r="C859" s="24"/>
      <c r="D859" s="31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</row>
    <row r="860" spans="1:21" s="1" customFormat="1" ht="18.600000000000001" customHeight="1">
      <c r="A860" s="24"/>
      <c r="B860" s="29"/>
      <c r="C860" s="24"/>
      <c r="D860" s="31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</row>
    <row r="861" spans="1:21" s="5" customFormat="1" ht="15.75">
      <c r="A861" s="24"/>
      <c r="B861" s="29"/>
      <c r="C861" s="24"/>
      <c r="D861" s="31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</row>
    <row r="862" spans="1:21" s="5" customFormat="1" ht="15.75">
      <c r="A862" s="24"/>
      <c r="B862" s="29"/>
      <c r="C862" s="24"/>
      <c r="D862" s="31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</row>
    <row r="863" spans="1:21" s="5" customFormat="1" ht="15.75">
      <c r="A863" s="24"/>
      <c r="B863" s="29"/>
      <c r="C863" s="24"/>
      <c r="D863" s="31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</row>
    <row r="864" spans="1:21" s="5" customFormat="1" ht="15.75">
      <c r="A864" s="24"/>
      <c r="B864" s="29"/>
      <c r="C864" s="24"/>
      <c r="D864" s="31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</row>
    <row r="865" spans="1:21" s="5" customFormat="1" ht="15.75">
      <c r="A865" s="24"/>
      <c r="B865" s="29"/>
      <c r="C865" s="24"/>
      <c r="D865" s="31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</row>
    <row r="866" spans="1:21" s="5" customFormat="1" ht="15.75">
      <c r="A866" s="24"/>
      <c r="B866" s="29"/>
      <c r="C866" s="24"/>
      <c r="D866" s="31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</row>
    <row r="867" spans="1:21" s="5" customFormat="1" ht="15.75">
      <c r="A867" s="24"/>
      <c r="B867" s="29"/>
      <c r="C867" s="24"/>
      <c r="D867" s="31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</row>
    <row r="868" spans="1:21" s="5" customFormat="1" ht="15.75">
      <c r="A868" s="24"/>
      <c r="B868" s="29"/>
      <c r="C868" s="24"/>
      <c r="D868" s="31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</row>
    <row r="869" spans="1:21" s="5" customFormat="1" ht="15.75">
      <c r="A869" s="24"/>
      <c r="B869" s="29"/>
      <c r="C869" s="24"/>
      <c r="D869" s="31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</row>
    <row r="870" spans="1:21" s="5" customFormat="1" ht="15.75">
      <c r="A870" s="24"/>
      <c r="B870" s="29"/>
      <c r="C870" s="24"/>
      <c r="D870" s="31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</row>
    <row r="871" spans="1:21" s="5" customFormat="1" ht="15.75">
      <c r="A871" s="24"/>
      <c r="B871" s="29"/>
      <c r="C871" s="24"/>
      <c r="D871" s="31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</row>
    <row r="872" spans="1:21" s="5" customFormat="1" ht="15.75">
      <c r="A872" s="24"/>
      <c r="B872" s="29"/>
      <c r="C872" s="24"/>
      <c r="D872" s="31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</row>
    <row r="873" spans="1:21" s="5" customFormat="1" ht="15.75">
      <c r="A873" s="24"/>
      <c r="B873" s="29"/>
      <c r="C873" s="24"/>
      <c r="D873" s="31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</row>
    <row r="874" spans="1:21" s="5" customFormat="1" ht="15.75">
      <c r="A874" s="24"/>
      <c r="B874" s="29"/>
      <c r="C874" s="24"/>
      <c r="D874" s="31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</row>
    <row r="875" spans="1:21" s="5" customFormat="1" ht="15.75">
      <c r="A875" s="24"/>
      <c r="B875" s="29"/>
      <c r="C875" s="24"/>
      <c r="D875" s="31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</row>
    <row r="876" spans="1:21" s="5" customFormat="1" ht="15.75">
      <c r="A876" s="24"/>
      <c r="B876" s="29"/>
      <c r="C876" s="24"/>
      <c r="D876" s="31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</row>
    <row r="877" spans="1:21" s="5" customFormat="1" ht="15.75">
      <c r="A877" s="24"/>
      <c r="B877" s="29"/>
      <c r="C877" s="24"/>
      <c r="D877" s="31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</row>
    <row r="878" spans="1:21" s="5" customFormat="1" ht="15.75">
      <c r="A878" s="24"/>
      <c r="B878" s="29"/>
      <c r="C878" s="24"/>
      <c r="D878" s="31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</row>
    <row r="879" spans="1:21" s="5" customFormat="1" ht="15.75">
      <c r="A879" s="24"/>
      <c r="B879" s="29"/>
      <c r="C879" s="24"/>
      <c r="D879" s="31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</row>
    <row r="880" spans="1:21" s="5" customFormat="1" ht="15.75">
      <c r="A880" s="24"/>
      <c r="B880" s="29"/>
      <c r="C880" s="24"/>
      <c r="D880" s="31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</row>
    <row r="881" spans="1:21" s="5" customFormat="1" ht="15.75">
      <c r="A881" s="24"/>
      <c r="B881" s="29"/>
      <c r="C881" s="24"/>
      <c r="D881" s="31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</row>
    <row r="882" spans="1:21" s="5" customFormat="1" ht="15.75">
      <c r="A882" s="24"/>
      <c r="B882" s="29"/>
      <c r="C882" s="24"/>
      <c r="D882" s="31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</row>
    <row r="883" spans="1:21" s="5" customFormat="1" ht="15.75">
      <c r="A883" s="24"/>
      <c r="B883" s="29"/>
      <c r="C883" s="24"/>
      <c r="D883" s="31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</row>
    <row r="884" spans="1:21" s="25" customFormat="1">
      <c r="A884" s="24"/>
      <c r="B884" s="29"/>
      <c r="C884" s="24"/>
      <c r="D884" s="31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</row>
    <row r="885" spans="1:21" s="1" customFormat="1" ht="15.75">
      <c r="A885" s="24"/>
      <c r="B885" s="29"/>
      <c r="C885" s="24"/>
      <c r="D885" s="31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</row>
    <row r="886" spans="1:21" s="1" customFormat="1" ht="18.600000000000001" customHeight="1">
      <c r="A886" s="24"/>
      <c r="B886" s="29"/>
      <c r="C886" s="24"/>
      <c r="D886" s="31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</row>
    <row r="887" spans="1:21" s="1" customFormat="1" ht="18.600000000000001" customHeight="1">
      <c r="A887" s="24"/>
      <c r="B887" s="29"/>
      <c r="C887" s="24"/>
      <c r="D887" s="31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</row>
    <row r="888" spans="1:21" s="5" customFormat="1" ht="15.75">
      <c r="A888" s="24"/>
      <c r="B888" s="29"/>
      <c r="C888" s="24"/>
      <c r="D888" s="31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</row>
    <row r="889" spans="1:21" s="5" customFormat="1" ht="15.75">
      <c r="A889" s="24"/>
      <c r="B889" s="29"/>
      <c r="C889" s="24"/>
      <c r="D889" s="31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</row>
    <row r="890" spans="1:21" s="5" customFormat="1" ht="15.75">
      <c r="A890" s="24"/>
      <c r="B890" s="29"/>
      <c r="C890" s="24"/>
      <c r="D890" s="31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</row>
    <row r="891" spans="1:21" s="5" customFormat="1" ht="15.75">
      <c r="A891" s="24"/>
      <c r="B891" s="29"/>
      <c r="C891" s="24"/>
      <c r="D891" s="31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</row>
    <row r="892" spans="1:21" s="5" customFormat="1" ht="15.75">
      <c r="A892" s="24"/>
      <c r="B892" s="29"/>
      <c r="C892" s="24"/>
      <c r="D892" s="31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</row>
    <row r="893" spans="1:21" s="5" customFormat="1" ht="15.75">
      <c r="A893" s="24"/>
      <c r="B893" s="29"/>
      <c r="C893" s="24"/>
      <c r="D893" s="31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</row>
    <row r="894" spans="1:21" s="5" customFormat="1" ht="15.75">
      <c r="A894" s="24"/>
      <c r="B894" s="29"/>
      <c r="C894" s="24"/>
      <c r="D894" s="31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</row>
    <row r="895" spans="1:21" s="5" customFormat="1" ht="15.75">
      <c r="A895" s="24"/>
      <c r="B895" s="29"/>
      <c r="C895" s="24"/>
      <c r="D895" s="31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</row>
    <row r="896" spans="1:21" s="5" customFormat="1" ht="15.75">
      <c r="A896" s="24"/>
      <c r="B896" s="29"/>
      <c r="C896" s="24"/>
      <c r="D896" s="31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</row>
    <row r="897" spans="1:21" s="5" customFormat="1" ht="15.75">
      <c r="A897" s="24"/>
      <c r="B897" s="29"/>
      <c r="C897" s="24"/>
      <c r="D897" s="31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</row>
    <row r="898" spans="1:21" s="5" customFormat="1" ht="15.75">
      <c r="A898" s="24"/>
      <c r="B898" s="29"/>
      <c r="C898" s="24"/>
      <c r="D898" s="31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</row>
    <row r="899" spans="1:21" s="5" customFormat="1" ht="15.75">
      <c r="A899" s="24"/>
      <c r="B899" s="29"/>
      <c r="C899" s="24"/>
      <c r="D899" s="31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</row>
    <row r="900" spans="1:21" s="5" customFormat="1" ht="15.75">
      <c r="A900" s="24"/>
      <c r="B900" s="29"/>
      <c r="C900" s="24"/>
      <c r="D900" s="31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</row>
    <row r="901" spans="1:21" s="5" customFormat="1" ht="15.75">
      <c r="A901" s="24"/>
      <c r="B901" s="29"/>
      <c r="C901" s="24"/>
      <c r="D901" s="31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</row>
    <row r="902" spans="1:21" s="5" customFormat="1" ht="15.75">
      <c r="A902" s="24"/>
      <c r="B902" s="29"/>
      <c r="C902" s="24"/>
      <c r="D902" s="31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</row>
    <row r="903" spans="1:21" s="5" customFormat="1" ht="15.75">
      <c r="A903" s="24"/>
      <c r="B903" s="29"/>
      <c r="C903" s="24"/>
      <c r="D903" s="31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</row>
    <row r="904" spans="1:21" s="5" customFormat="1" ht="15.75">
      <c r="A904" s="24"/>
      <c r="B904" s="29"/>
      <c r="C904" s="24"/>
      <c r="D904" s="31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</row>
    <row r="905" spans="1:21" s="5" customFormat="1" ht="15.75">
      <c r="A905" s="24"/>
      <c r="B905" s="29"/>
      <c r="C905" s="24"/>
      <c r="D905" s="31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</row>
    <row r="906" spans="1:21" s="5" customFormat="1" ht="15.75">
      <c r="A906" s="24"/>
      <c r="B906" s="29"/>
      <c r="C906" s="24"/>
      <c r="D906" s="31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</row>
    <row r="907" spans="1:21" s="5" customFormat="1" ht="15.75">
      <c r="A907" s="24"/>
      <c r="B907" s="29"/>
      <c r="C907" s="24"/>
      <c r="D907" s="31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</row>
    <row r="908" spans="1:21" s="5" customFormat="1" ht="15.75">
      <c r="A908" s="24"/>
      <c r="B908" s="29"/>
      <c r="C908" s="24"/>
      <c r="D908" s="31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</row>
    <row r="909" spans="1:21" s="5" customFormat="1" ht="15.75">
      <c r="A909" s="24"/>
      <c r="B909" s="29"/>
      <c r="C909" s="24"/>
      <c r="D909" s="31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</row>
    <row r="910" spans="1:21" s="5" customFormat="1" ht="15.75">
      <c r="A910" s="24"/>
      <c r="B910" s="29"/>
      <c r="C910" s="24"/>
      <c r="D910" s="31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</row>
    <row r="911" spans="1:21" s="25" customFormat="1">
      <c r="A911" s="24"/>
      <c r="B911" s="29"/>
      <c r="C911" s="24"/>
      <c r="D911" s="31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</row>
    <row r="912" spans="1:21" s="1" customFormat="1" ht="15.75">
      <c r="A912" s="24"/>
      <c r="B912" s="29"/>
      <c r="C912" s="24"/>
      <c r="D912" s="31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</row>
    <row r="913" spans="1:21" s="1" customFormat="1" ht="18.600000000000001" customHeight="1">
      <c r="A913" s="24"/>
      <c r="B913" s="29"/>
      <c r="C913" s="24"/>
      <c r="D913" s="31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</row>
    <row r="914" spans="1:21" s="1" customFormat="1" ht="18.600000000000001" customHeight="1">
      <c r="A914" s="24"/>
      <c r="B914" s="29"/>
      <c r="C914" s="24"/>
      <c r="D914" s="31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</row>
    <row r="915" spans="1:21" s="5" customFormat="1" ht="15.75">
      <c r="A915" s="24"/>
      <c r="B915" s="29"/>
      <c r="C915" s="24"/>
      <c r="D915" s="31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</row>
    <row r="916" spans="1:21" s="5" customFormat="1" ht="15.75">
      <c r="A916" s="24"/>
      <c r="B916" s="29"/>
      <c r="C916" s="24"/>
      <c r="D916" s="31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</row>
    <row r="917" spans="1:21" s="5" customFormat="1" ht="15.75">
      <c r="A917" s="24"/>
      <c r="B917" s="29"/>
      <c r="C917" s="24"/>
      <c r="D917" s="31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</row>
    <row r="918" spans="1:21" s="5" customFormat="1" ht="15.75">
      <c r="A918" s="24"/>
      <c r="B918" s="29"/>
      <c r="C918" s="24"/>
      <c r="D918" s="31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</row>
    <row r="919" spans="1:21" s="5" customFormat="1" ht="15.75">
      <c r="A919" s="24"/>
      <c r="B919" s="29"/>
      <c r="C919" s="24"/>
      <c r="D919" s="31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</row>
    <row r="920" spans="1:21" s="5" customFormat="1" ht="15.75">
      <c r="A920" s="24"/>
      <c r="B920" s="29"/>
      <c r="C920" s="24"/>
      <c r="D920" s="31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</row>
    <row r="921" spans="1:21" s="5" customFormat="1" ht="15.75">
      <c r="A921" s="24"/>
      <c r="B921" s="29"/>
      <c r="C921" s="24"/>
      <c r="D921" s="31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</row>
    <row r="922" spans="1:21" s="5" customFormat="1" ht="15.75">
      <c r="A922" s="24"/>
      <c r="B922" s="29"/>
      <c r="C922" s="24"/>
      <c r="D922" s="31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</row>
    <row r="923" spans="1:21" s="5" customFormat="1" ht="15.75">
      <c r="A923" s="24"/>
      <c r="B923" s="29"/>
      <c r="C923" s="24"/>
      <c r="D923" s="31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</row>
    <row r="924" spans="1:21" s="5" customFormat="1" ht="15.75">
      <c r="A924" s="24"/>
      <c r="B924" s="29"/>
      <c r="C924" s="24"/>
      <c r="D924" s="31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</row>
    <row r="925" spans="1:21" s="5" customFormat="1" ht="15.75">
      <c r="A925" s="24"/>
      <c r="B925" s="29"/>
      <c r="C925" s="24"/>
      <c r="D925" s="31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</row>
    <row r="926" spans="1:21" s="5" customFormat="1" ht="15.75">
      <c r="A926" s="24"/>
      <c r="B926" s="29"/>
      <c r="C926" s="24"/>
      <c r="D926" s="31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</row>
    <row r="927" spans="1:21" s="5" customFormat="1" ht="15.75">
      <c r="A927" s="24"/>
      <c r="B927" s="29"/>
      <c r="C927" s="24"/>
      <c r="D927" s="31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</row>
    <row r="928" spans="1:21" s="5" customFormat="1" ht="15.75">
      <c r="A928" s="24"/>
      <c r="B928" s="29"/>
      <c r="C928" s="24"/>
      <c r="D928" s="31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</row>
    <row r="929" spans="1:21" s="5" customFormat="1" ht="15.75">
      <c r="A929" s="24"/>
      <c r="B929" s="29"/>
      <c r="C929" s="24"/>
      <c r="D929" s="31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</row>
    <row r="930" spans="1:21" s="5" customFormat="1" ht="15.75">
      <c r="A930" s="24"/>
      <c r="B930" s="29"/>
      <c r="C930" s="24"/>
      <c r="D930" s="31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</row>
    <row r="931" spans="1:21" s="5" customFormat="1" ht="15.75">
      <c r="A931" s="24"/>
      <c r="B931" s="29"/>
      <c r="C931" s="24"/>
      <c r="D931" s="31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</row>
    <row r="932" spans="1:21" s="5" customFormat="1" ht="15.75">
      <c r="A932" s="24"/>
      <c r="B932" s="29"/>
      <c r="C932" s="24"/>
      <c r="D932" s="31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</row>
    <row r="933" spans="1:21" s="5" customFormat="1" ht="15.75">
      <c r="A933" s="24"/>
      <c r="B933" s="29"/>
      <c r="C933" s="24"/>
      <c r="D933" s="31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</row>
    <row r="934" spans="1:21" s="5" customFormat="1" ht="15.75">
      <c r="A934" s="24"/>
      <c r="B934" s="29"/>
      <c r="C934" s="24"/>
      <c r="D934" s="31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</row>
    <row r="935" spans="1:21" s="5" customFormat="1" ht="15.75">
      <c r="A935" s="24"/>
      <c r="B935" s="29"/>
      <c r="C935" s="24"/>
      <c r="D935" s="31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</row>
    <row r="936" spans="1:21" s="5" customFormat="1" ht="15.75">
      <c r="A936" s="24"/>
      <c r="B936" s="29"/>
      <c r="C936" s="24"/>
      <c r="D936" s="31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</row>
    <row r="937" spans="1:21" s="5" customFormat="1" ht="15.75">
      <c r="A937" s="24"/>
      <c r="B937" s="29"/>
      <c r="C937" s="24"/>
      <c r="D937" s="31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</row>
    <row r="938" spans="1:21" s="25" customFormat="1">
      <c r="A938" s="24"/>
      <c r="B938" s="29"/>
      <c r="C938" s="24"/>
      <c r="D938" s="31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</row>
    <row r="939" spans="1:21" s="1" customFormat="1" ht="15.75">
      <c r="A939" s="24"/>
      <c r="B939" s="29"/>
      <c r="C939" s="24"/>
      <c r="D939" s="31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</row>
    <row r="940" spans="1:21" s="1" customFormat="1" ht="18.600000000000001" customHeight="1">
      <c r="A940" s="24"/>
      <c r="B940" s="29"/>
      <c r="C940" s="24"/>
      <c r="D940" s="31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</row>
    <row r="941" spans="1:21" s="1" customFormat="1" ht="18.600000000000001" customHeight="1">
      <c r="A941" s="24"/>
      <c r="B941" s="29"/>
      <c r="C941" s="24"/>
      <c r="D941" s="31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</row>
    <row r="942" spans="1:21" s="5" customFormat="1" ht="15.75">
      <c r="A942" s="24"/>
      <c r="B942" s="29"/>
      <c r="C942" s="24"/>
      <c r="D942" s="31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</row>
    <row r="943" spans="1:21" s="5" customFormat="1" ht="15.75">
      <c r="A943" s="24"/>
      <c r="B943" s="29"/>
      <c r="C943" s="24"/>
      <c r="D943" s="31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</row>
    <row r="944" spans="1:21" s="5" customFormat="1" ht="15.75">
      <c r="A944" s="24"/>
      <c r="B944" s="29"/>
      <c r="C944" s="24"/>
      <c r="D944" s="31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</row>
    <row r="945" spans="1:21" s="5" customFormat="1" ht="15.75">
      <c r="A945" s="24"/>
      <c r="B945" s="29"/>
      <c r="C945" s="24"/>
      <c r="D945" s="31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</row>
    <row r="946" spans="1:21" s="5" customFormat="1" ht="15.75">
      <c r="A946" s="24"/>
      <c r="B946" s="29"/>
      <c r="C946" s="24"/>
      <c r="D946" s="31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</row>
    <row r="947" spans="1:21" s="5" customFormat="1" ht="15.75">
      <c r="A947" s="24"/>
      <c r="B947" s="29"/>
      <c r="C947" s="24"/>
      <c r="D947" s="31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</row>
    <row r="948" spans="1:21" s="5" customFormat="1" ht="15.75">
      <c r="A948" s="24"/>
      <c r="B948" s="29"/>
      <c r="C948" s="24"/>
      <c r="D948" s="31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</row>
    <row r="949" spans="1:21" s="5" customFormat="1" ht="15.75">
      <c r="A949" s="24"/>
      <c r="B949" s="29"/>
      <c r="C949" s="24"/>
      <c r="D949" s="31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</row>
    <row r="950" spans="1:21" s="5" customFormat="1" ht="15.75">
      <c r="A950" s="24"/>
      <c r="B950" s="29"/>
      <c r="C950" s="24"/>
      <c r="D950" s="31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</row>
    <row r="951" spans="1:21" s="5" customFormat="1" ht="15.75">
      <c r="A951" s="24"/>
      <c r="B951" s="29"/>
      <c r="C951" s="24"/>
      <c r="D951" s="31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</row>
    <row r="952" spans="1:21" s="5" customFormat="1" ht="15.75">
      <c r="A952" s="24"/>
      <c r="B952" s="29"/>
      <c r="C952" s="24"/>
      <c r="D952" s="31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</row>
    <row r="953" spans="1:21" s="5" customFormat="1" ht="15.75">
      <c r="A953" s="24"/>
      <c r="B953" s="29"/>
      <c r="C953" s="24"/>
      <c r="D953" s="31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</row>
    <row r="954" spans="1:21" s="5" customFormat="1" ht="15.75">
      <c r="A954" s="24"/>
      <c r="B954" s="29"/>
      <c r="C954" s="24"/>
      <c r="D954" s="31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</row>
    <row r="955" spans="1:21" s="5" customFormat="1" ht="15.75">
      <c r="A955" s="24"/>
      <c r="B955" s="29"/>
      <c r="C955" s="24"/>
      <c r="D955" s="31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</row>
    <row r="956" spans="1:21" s="5" customFormat="1" ht="15.75">
      <c r="A956" s="24"/>
      <c r="B956" s="29"/>
      <c r="C956" s="24"/>
      <c r="D956" s="31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</row>
    <row r="957" spans="1:21" s="5" customFormat="1" ht="15.75">
      <c r="A957" s="24"/>
      <c r="B957" s="29"/>
      <c r="C957" s="24"/>
      <c r="D957" s="31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</row>
    <row r="958" spans="1:21" s="5" customFormat="1" ht="15.75">
      <c r="A958" s="24"/>
      <c r="B958" s="29"/>
      <c r="C958" s="24"/>
      <c r="D958" s="31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</row>
    <row r="959" spans="1:21" s="5" customFormat="1" ht="15.75">
      <c r="A959" s="24"/>
      <c r="B959" s="29"/>
      <c r="C959" s="24"/>
      <c r="D959" s="31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</row>
    <row r="960" spans="1:21" s="5" customFormat="1" ht="15.75">
      <c r="A960" s="24"/>
      <c r="B960" s="29"/>
      <c r="C960" s="24"/>
      <c r="D960" s="31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</row>
    <row r="961" spans="1:21" s="5" customFormat="1" ht="15.75">
      <c r="A961" s="24"/>
      <c r="B961" s="29"/>
      <c r="C961" s="24"/>
      <c r="D961" s="31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</row>
    <row r="962" spans="1:21" s="5" customFormat="1" ht="15.75">
      <c r="A962" s="24"/>
      <c r="B962" s="29"/>
      <c r="C962" s="24"/>
      <c r="D962" s="31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</row>
    <row r="963" spans="1:21" s="5" customFormat="1" ht="15.75">
      <c r="A963" s="24"/>
      <c r="B963" s="29"/>
      <c r="C963" s="24"/>
      <c r="D963" s="31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</row>
    <row r="964" spans="1:21" s="5" customFormat="1" ht="15.75">
      <c r="A964" s="24"/>
      <c r="B964" s="29"/>
      <c r="C964" s="24"/>
      <c r="D964" s="31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</row>
    <row r="965" spans="1:21" s="25" customFormat="1">
      <c r="A965" s="24"/>
      <c r="B965" s="29"/>
      <c r="C965" s="24"/>
      <c r="D965" s="31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</row>
    <row r="966" spans="1:21" s="1" customFormat="1" ht="15.75">
      <c r="A966" s="24"/>
      <c r="B966" s="29"/>
      <c r="C966" s="24"/>
      <c r="D966" s="31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</row>
    <row r="967" spans="1:21" s="1" customFormat="1" ht="18.600000000000001" customHeight="1">
      <c r="A967" s="24"/>
      <c r="B967" s="29"/>
      <c r="C967" s="24"/>
      <c r="D967" s="31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</row>
    <row r="968" spans="1:21" s="1" customFormat="1" ht="18.600000000000001" customHeight="1">
      <c r="A968" s="24"/>
      <c r="B968" s="29"/>
      <c r="C968" s="24"/>
      <c r="D968" s="31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</row>
    <row r="969" spans="1:21" s="5" customFormat="1" ht="15.75">
      <c r="A969" s="24"/>
      <c r="B969" s="29"/>
      <c r="C969" s="24"/>
      <c r="D969" s="31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</row>
    <row r="970" spans="1:21" s="5" customFormat="1" ht="15.75">
      <c r="A970" s="24"/>
      <c r="B970" s="29"/>
      <c r="C970" s="24"/>
      <c r="D970" s="31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</row>
    <row r="971" spans="1:21" s="5" customFormat="1" ht="15.75">
      <c r="A971" s="24"/>
      <c r="B971" s="29"/>
      <c r="C971" s="24"/>
      <c r="D971" s="31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</row>
    <row r="972" spans="1:21" s="5" customFormat="1" ht="15.75">
      <c r="A972" s="24"/>
      <c r="B972" s="29"/>
      <c r="C972" s="24"/>
      <c r="D972" s="31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</row>
    <row r="973" spans="1:21" s="5" customFormat="1" ht="15.75">
      <c r="A973" s="24"/>
      <c r="B973" s="29"/>
      <c r="C973" s="24"/>
      <c r="D973" s="31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</row>
    <row r="974" spans="1:21" s="5" customFormat="1" ht="15.75">
      <c r="A974" s="24"/>
      <c r="B974" s="29"/>
      <c r="C974" s="24"/>
      <c r="D974" s="31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</row>
    <row r="975" spans="1:21" s="5" customFormat="1" ht="15.75">
      <c r="A975" s="24"/>
      <c r="B975" s="29"/>
      <c r="C975" s="24"/>
      <c r="D975" s="31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</row>
    <row r="976" spans="1:21" s="5" customFormat="1" ht="15.75">
      <c r="A976" s="24"/>
      <c r="B976" s="29"/>
      <c r="C976" s="24"/>
      <c r="D976" s="31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</row>
    <row r="977" spans="1:21" s="5" customFormat="1" ht="15.75">
      <c r="A977" s="24"/>
      <c r="B977" s="29"/>
      <c r="C977" s="24"/>
      <c r="D977" s="31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</row>
    <row r="978" spans="1:21" s="5" customFormat="1" ht="15.75">
      <c r="A978" s="24"/>
      <c r="B978" s="29"/>
      <c r="C978" s="24"/>
      <c r="D978" s="31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</row>
    <row r="979" spans="1:21" s="5" customFormat="1" ht="15.75">
      <c r="A979" s="24"/>
      <c r="B979" s="29"/>
      <c r="C979" s="24"/>
      <c r="D979" s="31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</row>
    <row r="980" spans="1:21" s="5" customFormat="1" ht="15.75">
      <c r="A980" s="24"/>
      <c r="B980" s="29"/>
      <c r="C980" s="24"/>
      <c r="D980" s="31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</row>
    <row r="981" spans="1:21" s="5" customFormat="1" ht="15.75">
      <c r="A981" s="24"/>
      <c r="B981" s="29"/>
      <c r="C981" s="24"/>
      <c r="D981" s="31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</row>
    <row r="982" spans="1:21" s="5" customFormat="1" ht="15.75">
      <c r="A982" s="24"/>
      <c r="B982" s="29"/>
      <c r="C982" s="24"/>
      <c r="D982" s="31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</row>
    <row r="983" spans="1:21" s="5" customFormat="1" ht="15.75">
      <c r="A983" s="24"/>
      <c r="B983" s="29"/>
      <c r="C983" s="24"/>
      <c r="D983" s="31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</row>
    <row r="984" spans="1:21" s="5" customFormat="1" ht="15.75">
      <c r="A984" s="24"/>
      <c r="B984" s="29"/>
      <c r="C984" s="24"/>
      <c r="D984" s="31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</row>
    <row r="985" spans="1:21" s="5" customFormat="1" ht="15.75">
      <c r="A985" s="24"/>
      <c r="B985" s="29"/>
      <c r="C985" s="24"/>
      <c r="D985" s="31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</row>
    <row r="986" spans="1:21" s="5" customFormat="1" ht="15.75">
      <c r="A986" s="24"/>
      <c r="B986" s="29"/>
      <c r="C986" s="24"/>
      <c r="D986" s="31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</row>
    <row r="987" spans="1:21" s="5" customFormat="1" ht="15.75">
      <c r="A987" s="24"/>
      <c r="B987" s="29"/>
      <c r="C987" s="24"/>
      <c r="D987" s="31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</row>
    <row r="988" spans="1:21" s="5" customFormat="1" ht="15.75">
      <c r="A988" s="24"/>
      <c r="B988" s="29"/>
      <c r="C988" s="24"/>
      <c r="D988" s="31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</row>
    <row r="989" spans="1:21" s="5" customFormat="1" ht="15.75">
      <c r="A989" s="24"/>
      <c r="B989" s="29"/>
      <c r="C989" s="24"/>
      <c r="D989" s="31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</row>
    <row r="990" spans="1:21" s="5" customFormat="1" ht="15.75">
      <c r="A990" s="24"/>
      <c r="B990" s="29"/>
      <c r="C990" s="24"/>
      <c r="D990" s="31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</row>
    <row r="991" spans="1:21" s="5" customFormat="1" ht="15.75">
      <c r="A991" s="24"/>
      <c r="B991" s="29"/>
      <c r="C991" s="24"/>
      <c r="D991" s="31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</row>
    <row r="992" spans="1:21" s="25" customFormat="1">
      <c r="A992" s="24"/>
      <c r="B992" s="29"/>
      <c r="C992" s="24"/>
      <c r="D992" s="31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</row>
    <row r="993" spans="1:21" s="1" customFormat="1" ht="15.75">
      <c r="A993" s="24"/>
      <c r="B993" s="29"/>
      <c r="C993" s="24"/>
      <c r="D993" s="31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</row>
    <row r="994" spans="1:21" s="1" customFormat="1" ht="18.600000000000001" customHeight="1">
      <c r="A994" s="24"/>
      <c r="B994" s="29"/>
      <c r="C994" s="24"/>
      <c r="D994" s="31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</row>
    <row r="995" spans="1:21" s="1" customFormat="1" ht="18.600000000000001" customHeight="1">
      <c r="A995" s="24"/>
      <c r="B995" s="29"/>
      <c r="C995" s="24"/>
      <c r="D995" s="31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</row>
    <row r="996" spans="1:21" s="5" customFormat="1" ht="15.75">
      <c r="A996" s="24"/>
      <c r="B996" s="29"/>
      <c r="C996" s="24"/>
      <c r="D996" s="31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</row>
    <row r="997" spans="1:21" s="5" customFormat="1" ht="15.75">
      <c r="A997" s="24"/>
      <c r="B997" s="29"/>
      <c r="C997" s="24"/>
      <c r="D997" s="31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</row>
    <row r="998" spans="1:21" s="5" customFormat="1" ht="15.75">
      <c r="A998" s="24"/>
      <c r="B998" s="29"/>
      <c r="C998" s="24"/>
      <c r="D998" s="31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</row>
    <row r="999" spans="1:21" s="5" customFormat="1" ht="15.75">
      <c r="A999" s="24"/>
      <c r="B999" s="29"/>
      <c r="C999" s="24"/>
      <c r="D999" s="31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</row>
    <row r="1000" spans="1:21" s="5" customFormat="1" ht="15.75">
      <c r="A1000" s="24"/>
      <c r="B1000" s="29"/>
      <c r="C1000" s="24"/>
      <c r="D1000" s="31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</row>
    <row r="1001" spans="1:21" s="5" customFormat="1" ht="15.75">
      <c r="A1001" s="24"/>
      <c r="B1001" s="29"/>
      <c r="C1001" s="24"/>
      <c r="D1001" s="31"/>
      <c r="E1001" s="24"/>
      <c r="F1001" s="24"/>
      <c r="G1001" s="24"/>
      <c r="H1001" s="24"/>
      <c r="I1001" s="24"/>
      <c r="J1001" s="24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</row>
    <row r="1002" spans="1:21" s="5" customFormat="1" ht="15.75">
      <c r="A1002" s="24"/>
      <c r="B1002" s="29"/>
      <c r="C1002" s="24"/>
      <c r="D1002" s="31"/>
      <c r="E1002" s="24"/>
      <c r="F1002" s="24"/>
      <c r="G1002" s="24"/>
      <c r="H1002" s="24"/>
      <c r="I1002" s="24"/>
      <c r="J1002" s="24"/>
      <c r="K1002" s="24"/>
      <c r="L1002" s="24"/>
      <c r="M1002" s="24"/>
      <c r="N1002" s="24"/>
      <c r="O1002" s="24"/>
      <c r="P1002" s="24"/>
      <c r="Q1002" s="24"/>
      <c r="R1002" s="24"/>
      <c r="S1002" s="24"/>
      <c r="T1002" s="24"/>
      <c r="U1002" s="24"/>
    </row>
    <row r="1003" spans="1:21" s="5" customFormat="1" ht="15.75">
      <c r="A1003" s="24"/>
      <c r="B1003" s="29"/>
      <c r="C1003" s="24"/>
      <c r="D1003" s="31"/>
      <c r="E1003" s="24"/>
      <c r="F1003" s="24"/>
      <c r="G1003" s="24"/>
      <c r="H1003" s="24"/>
      <c r="I1003" s="24"/>
      <c r="J1003" s="24"/>
      <c r="K1003" s="24"/>
      <c r="L1003" s="24"/>
      <c r="M1003" s="24"/>
      <c r="N1003" s="24"/>
      <c r="O1003" s="24"/>
      <c r="P1003" s="24"/>
      <c r="Q1003" s="24"/>
      <c r="R1003" s="24"/>
      <c r="S1003" s="24"/>
      <c r="T1003" s="24"/>
      <c r="U1003" s="24"/>
    </row>
    <row r="1004" spans="1:21" s="5" customFormat="1" ht="15.75">
      <c r="A1004" s="24"/>
      <c r="B1004" s="29"/>
      <c r="C1004" s="24"/>
      <c r="D1004" s="31"/>
      <c r="E1004" s="24"/>
      <c r="F1004" s="24"/>
      <c r="G1004" s="24"/>
      <c r="H1004" s="24"/>
      <c r="I1004" s="24"/>
      <c r="J1004" s="24"/>
      <c r="K1004" s="24"/>
      <c r="L1004" s="24"/>
      <c r="M1004" s="24"/>
      <c r="N1004" s="24"/>
      <c r="O1004" s="24"/>
      <c r="P1004" s="24"/>
      <c r="Q1004" s="24"/>
      <c r="R1004" s="24"/>
      <c r="S1004" s="24"/>
      <c r="T1004" s="24"/>
      <c r="U1004" s="24"/>
    </row>
    <row r="1005" spans="1:21" s="5" customFormat="1" ht="15.75">
      <c r="A1005" s="24"/>
      <c r="B1005" s="29"/>
      <c r="C1005" s="24"/>
      <c r="D1005" s="31"/>
      <c r="E1005" s="24"/>
      <c r="F1005" s="24"/>
      <c r="G1005" s="24"/>
      <c r="H1005" s="24"/>
      <c r="I1005" s="24"/>
      <c r="J1005" s="24"/>
      <c r="K1005" s="24"/>
      <c r="L1005" s="24"/>
      <c r="M1005" s="24"/>
      <c r="N1005" s="24"/>
      <c r="O1005" s="24"/>
      <c r="P1005" s="24"/>
      <c r="Q1005" s="24"/>
      <c r="R1005" s="24"/>
      <c r="S1005" s="24"/>
      <c r="T1005" s="24"/>
      <c r="U1005" s="24"/>
    </row>
    <row r="1006" spans="1:21" s="5" customFormat="1" ht="15.75">
      <c r="A1006" s="24"/>
      <c r="B1006" s="29"/>
      <c r="C1006" s="24"/>
      <c r="D1006" s="31"/>
      <c r="E1006" s="24"/>
      <c r="F1006" s="24"/>
      <c r="G1006" s="24"/>
      <c r="H1006" s="24"/>
      <c r="I1006" s="24"/>
      <c r="J1006" s="24"/>
      <c r="K1006" s="24"/>
      <c r="L1006" s="24"/>
      <c r="M1006" s="24"/>
      <c r="N1006" s="24"/>
      <c r="O1006" s="24"/>
      <c r="P1006" s="24"/>
      <c r="Q1006" s="24"/>
      <c r="R1006" s="24"/>
      <c r="S1006" s="24"/>
      <c r="T1006" s="24"/>
      <c r="U1006" s="24"/>
    </row>
    <row r="1007" spans="1:21" s="5" customFormat="1" ht="15.75">
      <c r="A1007" s="24"/>
      <c r="B1007" s="29"/>
      <c r="C1007" s="24"/>
      <c r="D1007" s="31"/>
      <c r="E1007" s="24"/>
      <c r="F1007" s="24"/>
      <c r="G1007" s="24"/>
      <c r="H1007" s="24"/>
      <c r="I1007" s="24"/>
      <c r="J1007" s="24"/>
      <c r="K1007" s="24"/>
      <c r="L1007" s="24"/>
      <c r="M1007" s="24"/>
      <c r="N1007" s="24"/>
      <c r="O1007" s="24"/>
      <c r="P1007" s="24"/>
      <c r="Q1007" s="24"/>
      <c r="R1007" s="24"/>
      <c r="S1007" s="24"/>
      <c r="T1007" s="24"/>
      <c r="U1007" s="24"/>
    </row>
    <row r="1008" spans="1:21" s="5" customFormat="1" ht="15.75">
      <c r="A1008" s="24"/>
      <c r="B1008" s="29"/>
      <c r="C1008" s="24"/>
      <c r="D1008" s="31"/>
      <c r="E1008" s="24"/>
      <c r="F1008" s="24"/>
      <c r="G1008" s="24"/>
      <c r="H1008" s="24"/>
      <c r="I1008" s="24"/>
      <c r="J1008" s="24"/>
      <c r="K1008" s="24"/>
      <c r="L1008" s="24"/>
      <c r="M1008" s="24"/>
      <c r="N1008" s="24"/>
      <c r="O1008" s="24"/>
      <c r="P1008" s="24"/>
      <c r="Q1008" s="24"/>
      <c r="R1008" s="24"/>
      <c r="S1008" s="24"/>
      <c r="T1008" s="24"/>
      <c r="U1008" s="24"/>
    </row>
    <row r="1009" spans="1:21" s="5" customFormat="1" ht="15.75">
      <c r="A1009" s="24"/>
      <c r="B1009" s="29"/>
      <c r="C1009" s="24"/>
      <c r="D1009" s="31"/>
      <c r="E1009" s="24"/>
      <c r="F1009" s="24"/>
      <c r="G1009" s="24"/>
      <c r="H1009" s="24"/>
      <c r="I1009" s="24"/>
      <c r="J1009" s="24"/>
      <c r="K1009" s="24"/>
      <c r="L1009" s="24"/>
      <c r="M1009" s="24"/>
      <c r="N1009" s="24"/>
      <c r="O1009" s="24"/>
      <c r="P1009" s="24"/>
      <c r="Q1009" s="24"/>
      <c r="R1009" s="24"/>
      <c r="S1009" s="24"/>
      <c r="T1009" s="24"/>
      <c r="U1009" s="24"/>
    </row>
    <row r="1010" spans="1:21" s="5" customFormat="1" ht="15.75">
      <c r="A1010" s="24"/>
      <c r="B1010" s="29"/>
      <c r="C1010" s="24"/>
      <c r="D1010" s="31"/>
      <c r="E1010" s="24"/>
      <c r="F1010" s="24"/>
      <c r="G1010" s="24"/>
      <c r="H1010" s="24"/>
      <c r="I1010" s="24"/>
      <c r="J1010" s="24"/>
      <c r="K1010" s="24"/>
      <c r="L1010" s="24"/>
      <c r="M1010" s="24"/>
      <c r="N1010" s="24"/>
      <c r="O1010" s="24"/>
      <c r="P1010" s="24"/>
      <c r="Q1010" s="24"/>
      <c r="R1010" s="24"/>
      <c r="S1010" s="24"/>
      <c r="T1010" s="24"/>
      <c r="U1010" s="24"/>
    </row>
    <row r="1011" spans="1:21" s="5" customFormat="1" ht="15.75">
      <c r="A1011" s="24"/>
      <c r="B1011" s="29"/>
      <c r="C1011" s="24"/>
      <c r="D1011" s="31"/>
      <c r="E1011" s="24"/>
      <c r="F1011" s="24"/>
      <c r="G1011" s="24"/>
      <c r="H1011" s="24"/>
      <c r="I1011" s="24"/>
      <c r="J1011" s="24"/>
      <c r="K1011" s="24"/>
      <c r="L1011" s="24"/>
      <c r="M1011" s="24"/>
      <c r="N1011" s="24"/>
      <c r="O1011" s="24"/>
      <c r="P1011" s="24"/>
      <c r="Q1011" s="24"/>
      <c r="R1011" s="24"/>
      <c r="S1011" s="24"/>
      <c r="T1011" s="24"/>
      <c r="U1011" s="24"/>
    </row>
    <row r="1012" spans="1:21" s="5" customFormat="1" ht="15.75">
      <c r="A1012" s="24"/>
      <c r="B1012" s="29"/>
      <c r="C1012" s="24"/>
      <c r="D1012" s="31"/>
      <c r="E1012" s="24"/>
      <c r="F1012" s="24"/>
      <c r="G1012" s="24"/>
      <c r="H1012" s="24"/>
      <c r="I1012" s="24"/>
      <c r="J1012" s="24"/>
      <c r="K1012" s="24"/>
      <c r="L1012" s="24"/>
      <c r="M1012" s="24"/>
      <c r="N1012" s="24"/>
      <c r="O1012" s="24"/>
      <c r="P1012" s="24"/>
      <c r="Q1012" s="24"/>
      <c r="R1012" s="24"/>
      <c r="S1012" s="24"/>
      <c r="T1012" s="24"/>
      <c r="U1012" s="24"/>
    </row>
    <row r="1013" spans="1:21" s="5" customFormat="1" ht="15.75">
      <c r="A1013" s="24"/>
      <c r="B1013" s="29"/>
      <c r="C1013" s="24"/>
      <c r="D1013" s="31"/>
      <c r="E1013" s="24"/>
      <c r="F1013" s="24"/>
      <c r="G1013" s="24"/>
      <c r="H1013" s="24"/>
      <c r="I1013" s="24"/>
      <c r="J1013" s="24"/>
      <c r="K1013" s="24"/>
      <c r="L1013" s="24"/>
      <c r="M1013" s="24"/>
      <c r="N1013" s="24"/>
      <c r="O1013" s="24"/>
      <c r="P1013" s="24"/>
      <c r="Q1013" s="24"/>
      <c r="R1013" s="24"/>
      <c r="S1013" s="24"/>
      <c r="T1013" s="24"/>
      <c r="U1013" s="24"/>
    </row>
    <row r="1014" spans="1:21" s="5" customFormat="1" ht="15.75">
      <c r="A1014" s="24"/>
      <c r="B1014" s="29"/>
      <c r="C1014" s="24"/>
      <c r="D1014" s="31"/>
      <c r="E1014" s="24"/>
      <c r="F1014" s="24"/>
      <c r="G1014" s="24"/>
      <c r="H1014" s="24"/>
      <c r="I1014" s="24"/>
      <c r="J1014" s="24"/>
      <c r="K1014" s="24"/>
      <c r="L1014" s="24"/>
      <c r="M1014" s="24"/>
      <c r="N1014" s="24"/>
      <c r="O1014" s="24"/>
      <c r="P1014" s="24"/>
      <c r="Q1014" s="24"/>
      <c r="R1014" s="24"/>
      <c r="S1014" s="24"/>
      <c r="T1014" s="24"/>
      <c r="U1014" s="24"/>
    </row>
    <row r="1015" spans="1:21" s="5" customFormat="1" ht="15.75">
      <c r="A1015" s="24"/>
      <c r="B1015" s="29"/>
      <c r="C1015" s="24"/>
      <c r="D1015" s="31"/>
      <c r="E1015" s="24"/>
      <c r="F1015" s="24"/>
      <c r="G1015" s="24"/>
      <c r="H1015" s="24"/>
      <c r="I1015" s="24"/>
      <c r="J1015" s="24"/>
      <c r="K1015" s="24"/>
      <c r="L1015" s="24"/>
      <c r="M1015" s="24"/>
      <c r="N1015" s="24"/>
      <c r="O1015" s="24"/>
      <c r="P1015" s="24"/>
      <c r="Q1015" s="24"/>
      <c r="R1015" s="24"/>
      <c r="S1015" s="24"/>
      <c r="T1015" s="24"/>
      <c r="U1015" s="24"/>
    </row>
    <row r="1016" spans="1:21" s="5" customFormat="1" ht="15.75">
      <c r="A1016" s="24"/>
      <c r="B1016" s="29"/>
      <c r="C1016" s="24"/>
      <c r="D1016" s="31"/>
      <c r="E1016" s="24"/>
      <c r="F1016" s="24"/>
      <c r="G1016" s="24"/>
      <c r="H1016" s="24"/>
      <c r="I1016" s="24"/>
      <c r="J1016" s="24"/>
      <c r="K1016" s="24"/>
      <c r="L1016" s="24"/>
      <c r="M1016" s="24"/>
      <c r="N1016" s="24"/>
      <c r="O1016" s="24"/>
      <c r="P1016" s="24"/>
      <c r="Q1016" s="24"/>
      <c r="R1016" s="24"/>
      <c r="S1016" s="24"/>
      <c r="T1016" s="24"/>
      <c r="U1016" s="24"/>
    </row>
    <row r="1017" spans="1:21" s="5" customFormat="1" ht="15.75">
      <c r="A1017" s="24"/>
      <c r="B1017" s="29"/>
      <c r="C1017" s="24"/>
      <c r="D1017" s="31"/>
      <c r="E1017" s="24"/>
      <c r="F1017" s="24"/>
      <c r="G1017" s="24"/>
      <c r="H1017" s="24"/>
      <c r="I1017" s="24"/>
      <c r="J1017" s="24"/>
      <c r="K1017" s="24"/>
      <c r="L1017" s="24"/>
      <c r="M1017" s="24"/>
      <c r="N1017" s="24"/>
      <c r="O1017" s="24"/>
      <c r="P1017" s="24"/>
      <c r="Q1017" s="24"/>
      <c r="R1017" s="24"/>
      <c r="S1017" s="24"/>
      <c r="T1017" s="24"/>
      <c r="U1017" s="24"/>
    </row>
    <row r="1018" spans="1:21" s="5" customFormat="1" ht="15.75">
      <c r="A1018" s="24"/>
      <c r="B1018" s="29"/>
      <c r="C1018" s="24"/>
      <c r="D1018" s="31"/>
      <c r="E1018" s="24"/>
      <c r="F1018" s="24"/>
      <c r="G1018" s="24"/>
      <c r="H1018" s="24"/>
      <c r="I1018" s="24"/>
      <c r="J1018" s="24"/>
      <c r="K1018" s="24"/>
      <c r="L1018" s="24"/>
      <c r="M1018" s="24"/>
      <c r="N1018" s="24"/>
      <c r="O1018" s="24"/>
      <c r="P1018" s="24"/>
      <c r="Q1018" s="24"/>
      <c r="R1018" s="24"/>
      <c r="S1018" s="24"/>
      <c r="T1018" s="24"/>
      <c r="U1018" s="24"/>
    </row>
    <row r="1019" spans="1:21" s="25" customFormat="1">
      <c r="A1019" s="24"/>
      <c r="B1019" s="29"/>
      <c r="C1019" s="24"/>
      <c r="D1019" s="31"/>
      <c r="E1019" s="24"/>
      <c r="F1019" s="24"/>
      <c r="G1019" s="24"/>
      <c r="H1019" s="24"/>
      <c r="I1019" s="24"/>
      <c r="J1019" s="24"/>
      <c r="K1019" s="24"/>
      <c r="L1019" s="24"/>
      <c r="M1019" s="24"/>
      <c r="N1019" s="24"/>
      <c r="O1019" s="24"/>
      <c r="P1019" s="24"/>
      <c r="Q1019" s="24"/>
      <c r="R1019" s="24"/>
      <c r="S1019" s="24"/>
      <c r="T1019" s="24"/>
      <c r="U1019" s="24"/>
    </row>
    <row r="1020" spans="1:21" s="1" customFormat="1" ht="15.75">
      <c r="A1020" s="24"/>
      <c r="B1020" s="29"/>
      <c r="C1020" s="24"/>
      <c r="D1020" s="31"/>
      <c r="E1020" s="24"/>
      <c r="F1020" s="24"/>
      <c r="G1020" s="24"/>
      <c r="H1020" s="24"/>
      <c r="I1020" s="24"/>
      <c r="J1020" s="24"/>
      <c r="K1020" s="24"/>
      <c r="L1020" s="24"/>
      <c r="M1020" s="24"/>
      <c r="N1020" s="24"/>
      <c r="O1020" s="24"/>
      <c r="P1020" s="24"/>
      <c r="Q1020" s="24"/>
      <c r="R1020" s="24"/>
      <c r="S1020" s="24"/>
      <c r="T1020" s="24"/>
      <c r="U1020" s="24"/>
    </row>
    <row r="1021" spans="1:21" s="1" customFormat="1" ht="18.600000000000001" customHeight="1">
      <c r="A1021" s="24"/>
      <c r="B1021" s="29"/>
      <c r="C1021" s="24"/>
      <c r="D1021" s="31"/>
      <c r="E1021" s="24"/>
      <c r="F1021" s="24"/>
      <c r="G1021" s="24"/>
      <c r="H1021" s="24"/>
      <c r="I1021" s="24"/>
      <c r="J1021" s="24"/>
      <c r="K1021" s="24"/>
      <c r="L1021" s="24"/>
      <c r="M1021" s="24"/>
      <c r="N1021" s="24"/>
      <c r="O1021" s="24"/>
      <c r="P1021" s="24"/>
      <c r="Q1021" s="24"/>
      <c r="R1021" s="24"/>
      <c r="S1021" s="24"/>
      <c r="T1021" s="24"/>
      <c r="U1021" s="24"/>
    </row>
    <row r="1022" spans="1:21" s="1" customFormat="1" ht="18.600000000000001" customHeight="1">
      <c r="A1022" s="24"/>
      <c r="B1022" s="29"/>
      <c r="C1022" s="24"/>
      <c r="D1022" s="31"/>
      <c r="E1022" s="24"/>
      <c r="F1022" s="24"/>
      <c r="G1022" s="24"/>
      <c r="H1022" s="24"/>
      <c r="I1022" s="24"/>
      <c r="J1022" s="24"/>
      <c r="K1022" s="24"/>
      <c r="L1022" s="24"/>
      <c r="M1022" s="24"/>
      <c r="N1022" s="24"/>
      <c r="O1022" s="24"/>
      <c r="P1022" s="24"/>
      <c r="Q1022" s="24"/>
      <c r="R1022" s="24"/>
      <c r="S1022" s="24"/>
      <c r="T1022" s="24"/>
      <c r="U1022" s="24"/>
    </row>
    <row r="1023" spans="1:21" s="5" customFormat="1" ht="15.75">
      <c r="A1023" s="24"/>
      <c r="B1023" s="29"/>
      <c r="C1023" s="24"/>
      <c r="D1023" s="31"/>
      <c r="E1023" s="24"/>
      <c r="F1023" s="24"/>
      <c r="G1023" s="24"/>
      <c r="H1023" s="24"/>
      <c r="I1023" s="24"/>
      <c r="J1023" s="24"/>
      <c r="K1023" s="24"/>
      <c r="L1023" s="24"/>
      <c r="M1023" s="24"/>
      <c r="N1023" s="24"/>
      <c r="O1023" s="24"/>
      <c r="P1023" s="24"/>
      <c r="Q1023" s="24"/>
      <c r="R1023" s="24"/>
      <c r="S1023" s="24"/>
      <c r="T1023" s="24"/>
      <c r="U1023" s="24"/>
    </row>
    <row r="1024" spans="1:21" s="5" customFormat="1" ht="15.75">
      <c r="A1024" s="24"/>
      <c r="B1024" s="29"/>
      <c r="C1024" s="24"/>
      <c r="D1024" s="31"/>
      <c r="E1024" s="24"/>
      <c r="F1024" s="24"/>
      <c r="G1024" s="24"/>
      <c r="H1024" s="24"/>
      <c r="I1024" s="24"/>
      <c r="J1024" s="24"/>
      <c r="K1024" s="24"/>
      <c r="L1024" s="24"/>
      <c r="M1024" s="24"/>
      <c r="N1024" s="24"/>
      <c r="O1024" s="24"/>
      <c r="P1024" s="24"/>
      <c r="Q1024" s="24"/>
      <c r="R1024" s="24"/>
      <c r="S1024" s="24"/>
      <c r="T1024" s="24"/>
      <c r="U1024" s="24"/>
    </row>
    <row r="1025" spans="1:21" s="5" customFormat="1" ht="15.75">
      <c r="A1025" s="24"/>
      <c r="B1025" s="29"/>
      <c r="C1025" s="24"/>
      <c r="D1025" s="31"/>
      <c r="E1025" s="24"/>
      <c r="F1025" s="24"/>
      <c r="G1025" s="24"/>
      <c r="H1025" s="24"/>
      <c r="I1025" s="24"/>
      <c r="J1025" s="24"/>
      <c r="K1025" s="24"/>
      <c r="L1025" s="24"/>
      <c r="M1025" s="24"/>
      <c r="N1025" s="24"/>
      <c r="O1025" s="24"/>
      <c r="P1025" s="24"/>
      <c r="Q1025" s="24"/>
      <c r="R1025" s="24"/>
      <c r="S1025" s="24"/>
      <c r="T1025" s="24"/>
      <c r="U1025" s="24"/>
    </row>
    <row r="1026" spans="1:21" s="5" customFormat="1" ht="15.75">
      <c r="A1026" s="24"/>
      <c r="B1026" s="29"/>
      <c r="C1026" s="24"/>
      <c r="D1026" s="31"/>
      <c r="E1026" s="24"/>
      <c r="F1026" s="24"/>
      <c r="G1026" s="24"/>
      <c r="H1026" s="24"/>
      <c r="I1026" s="24"/>
      <c r="J1026" s="24"/>
      <c r="K1026" s="24"/>
      <c r="L1026" s="24"/>
      <c r="M1026" s="24"/>
      <c r="N1026" s="24"/>
      <c r="O1026" s="24"/>
      <c r="P1026" s="24"/>
      <c r="Q1026" s="24"/>
      <c r="R1026" s="24"/>
      <c r="S1026" s="24"/>
      <c r="T1026" s="24"/>
      <c r="U1026" s="24"/>
    </row>
    <row r="1027" spans="1:21" s="5" customFormat="1" ht="15.75">
      <c r="A1027" s="24"/>
      <c r="B1027" s="29"/>
      <c r="C1027" s="24"/>
      <c r="D1027" s="31"/>
      <c r="E1027" s="24"/>
      <c r="F1027" s="24"/>
      <c r="G1027" s="24"/>
      <c r="H1027" s="24"/>
      <c r="I1027" s="24"/>
      <c r="J1027" s="24"/>
      <c r="K1027" s="24"/>
      <c r="L1027" s="24"/>
      <c r="M1027" s="24"/>
      <c r="N1027" s="24"/>
      <c r="O1027" s="24"/>
      <c r="P1027" s="24"/>
      <c r="Q1027" s="24"/>
      <c r="R1027" s="24"/>
      <c r="S1027" s="24"/>
      <c r="T1027" s="24"/>
      <c r="U1027" s="24"/>
    </row>
    <row r="1028" spans="1:21" s="5" customFormat="1" ht="15.75">
      <c r="A1028" s="24"/>
      <c r="B1028" s="29"/>
      <c r="C1028" s="24"/>
      <c r="D1028" s="31"/>
      <c r="E1028" s="24"/>
      <c r="F1028" s="24"/>
      <c r="G1028" s="24"/>
      <c r="H1028" s="24"/>
      <c r="I1028" s="24"/>
      <c r="J1028" s="24"/>
      <c r="K1028" s="24"/>
      <c r="L1028" s="24"/>
      <c r="M1028" s="24"/>
      <c r="N1028" s="24"/>
      <c r="O1028" s="24"/>
      <c r="P1028" s="24"/>
      <c r="Q1028" s="24"/>
      <c r="R1028" s="24"/>
      <c r="S1028" s="24"/>
      <c r="T1028" s="24"/>
      <c r="U1028" s="24"/>
    </row>
    <row r="1029" spans="1:21" s="5" customFormat="1" ht="15.75">
      <c r="A1029" s="24"/>
      <c r="B1029" s="29"/>
      <c r="C1029" s="24"/>
      <c r="D1029" s="31"/>
      <c r="E1029" s="24"/>
      <c r="F1029" s="24"/>
      <c r="G1029" s="24"/>
      <c r="H1029" s="24"/>
      <c r="I1029" s="24"/>
      <c r="J1029" s="24"/>
      <c r="K1029" s="24"/>
      <c r="L1029" s="24"/>
      <c r="M1029" s="24"/>
      <c r="N1029" s="24"/>
      <c r="O1029" s="24"/>
      <c r="P1029" s="24"/>
      <c r="Q1029" s="24"/>
      <c r="R1029" s="24"/>
      <c r="S1029" s="24"/>
      <c r="T1029" s="24"/>
      <c r="U1029" s="24"/>
    </row>
    <row r="1030" spans="1:21" s="5" customFormat="1" ht="15.75">
      <c r="A1030" s="24"/>
      <c r="B1030" s="29"/>
      <c r="C1030" s="24"/>
      <c r="D1030" s="31"/>
      <c r="E1030" s="24"/>
      <c r="F1030" s="24"/>
      <c r="G1030" s="24"/>
      <c r="H1030" s="24"/>
      <c r="I1030" s="24"/>
      <c r="J1030" s="24"/>
      <c r="K1030" s="24"/>
      <c r="L1030" s="24"/>
      <c r="M1030" s="24"/>
      <c r="N1030" s="24"/>
      <c r="O1030" s="24"/>
      <c r="P1030" s="24"/>
      <c r="Q1030" s="24"/>
      <c r="R1030" s="24"/>
      <c r="S1030" s="24"/>
      <c r="T1030" s="24"/>
      <c r="U1030" s="24"/>
    </row>
    <row r="1031" spans="1:21" s="5" customFormat="1" ht="15.75">
      <c r="A1031" s="24"/>
      <c r="B1031" s="29"/>
      <c r="C1031" s="24"/>
      <c r="D1031" s="31"/>
      <c r="E1031" s="24"/>
      <c r="F1031" s="24"/>
      <c r="G1031" s="24"/>
      <c r="H1031" s="24"/>
      <c r="I1031" s="24"/>
      <c r="J1031" s="24"/>
      <c r="K1031" s="24"/>
      <c r="L1031" s="24"/>
      <c r="M1031" s="24"/>
      <c r="N1031" s="24"/>
      <c r="O1031" s="24"/>
      <c r="P1031" s="24"/>
      <c r="Q1031" s="24"/>
      <c r="R1031" s="24"/>
      <c r="S1031" s="24"/>
      <c r="T1031" s="24"/>
      <c r="U1031" s="24"/>
    </row>
    <row r="1032" spans="1:21" s="5" customFormat="1" ht="15.75">
      <c r="A1032" s="24"/>
      <c r="B1032" s="29"/>
      <c r="C1032" s="24"/>
      <c r="D1032" s="31"/>
      <c r="E1032" s="24"/>
      <c r="F1032" s="24"/>
      <c r="G1032" s="24"/>
      <c r="H1032" s="24"/>
      <c r="I1032" s="24"/>
      <c r="J1032" s="24"/>
      <c r="K1032" s="24"/>
      <c r="L1032" s="24"/>
      <c r="M1032" s="24"/>
      <c r="N1032" s="24"/>
      <c r="O1032" s="24"/>
      <c r="P1032" s="24"/>
      <c r="Q1032" s="24"/>
      <c r="R1032" s="24"/>
      <c r="S1032" s="24"/>
      <c r="T1032" s="24"/>
      <c r="U1032" s="24"/>
    </row>
    <row r="1033" spans="1:21" s="5" customFormat="1" ht="15.75">
      <c r="A1033" s="24"/>
      <c r="B1033" s="29"/>
      <c r="C1033" s="24"/>
      <c r="D1033" s="31"/>
      <c r="E1033" s="24"/>
      <c r="F1033" s="24"/>
      <c r="G1033" s="24"/>
      <c r="H1033" s="24"/>
      <c r="I1033" s="24"/>
      <c r="J1033" s="24"/>
      <c r="K1033" s="24"/>
      <c r="L1033" s="24"/>
      <c r="M1033" s="24"/>
      <c r="N1033" s="24"/>
      <c r="O1033" s="24"/>
      <c r="P1033" s="24"/>
      <c r="Q1033" s="24"/>
      <c r="R1033" s="24"/>
      <c r="S1033" s="24"/>
      <c r="T1033" s="24"/>
      <c r="U1033" s="24"/>
    </row>
    <row r="1034" spans="1:21" s="5" customFormat="1" ht="15.75">
      <c r="A1034" s="24"/>
      <c r="B1034" s="29"/>
      <c r="C1034" s="24"/>
      <c r="D1034" s="31"/>
      <c r="E1034" s="24"/>
      <c r="F1034" s="24"/>
      <c r="G1034" s="24"/>
      <c r="H1034" s="24"/>
      <c r="I1034" s="24"/>
      <c r="J1034" s="24"/>
      <c r="K1034" s="24"/>
      <c r="L1034" s="24"/>
      <c r="M1034" s="24"/>
      <c r="N1034" s="24"/>
      <c r="O1034" s="24"/>
      <c r="P1034" s="24"/>
      <c r="Q1034" s="24"/>
      <c r="R1034" s="24"/>
      <c r="S1034" s="24"/>
      <c r="T1034" s="24"/>
      <c r="U1034" s="24"/>
    </row>
    <row r="1035" spans="1:21" s="5" customFormat="1" ht="15.75">
      <c r="A1035" s="24"/>
      <c r="B1035" s="29"/>
      <c r="C1035" s="24"/>
      <c r="D1035" s="31"/>
      <c r="E1035" s="24"/>
      <c r="F1035" s="24"/>
      <c r="G1035" s="24"/>
      <c r="H1035" s="24"/>
      <c r="I1035" s="24"/>
      <c r="J1035" s="24"/>
      <c r="K1035" s="24"/>
      <c r="L1035" s="24"/>
      <c r="M1035" s="24"/>
      <c r="N1035" s="24"/>
      <c r="O1035" s="24"/>
      <c r="P1035" s="24"/>
      <c r="Q1035" s="24"/>
      <c r="R1035" s="24"/>
      <c r="S1035" s="24"/>
      <c r="T1035" s="24"/>
      <c r="U1035" s="24"/>
    </row>
    <row r="1036" spans="1:21" s="5" customFormat="1" ht="15.75">
      <c r="A1036" s="24"/>
      <c r="B1036" s="29"/>
      <c r="C1036" s="24"/>
      <c r="D1036" s="31"/>
      <c r="E1036" s="24"/>
      <c r="F1036" s="24"/>
      <c r="G1036" s="24"/>
      <c r="H1036" s="24"/>
      <c r="I1036" s="24"/>
      <c r="J1036" s="24"/>
      <c r="K1036" s="24"/>
      <c r="L1036" s="24"/>
      <c r="M1036" s="24"/>
      <c r="N1036" s="24"/>
      <c r="O1036" s="24"/>
      <c r="P1036" s="24"/>
      <c r="Q1036" s="24"/>
      <c r="R1036" s="24"/>
      <c r="S1036" s="24"/>
      <c r="T1036" s="24"/>
      <c r="U1036" s="24"/>
    </row>
    <row r="1037" spans="1:21" s="5" customFormat="1" ht="15.75">
      <c r="A1037" s="24"/>
      <c r="B1037" s="29"/>
      <c r="C1037" s="24"/>
      <c r="D1037" s="31"/>
      <c r="E1037" s="24"/>
      <c r="F1037" s="24"/>
      <c r="G1037" s="24"/>
      <c r="H1037" s="24"/>
      <c r="I1037" s="24"/>
      <c r="J1037" s="24"/>
      <c r="K1037" s="24"/>
      <c r="L1037" s="24"/>
      <c r="M1037" s="24"/>
      <c r="N1037" s="24"/>
      <c r="O1037" s="24"/>
      <c r="P1037" s="24"/>
      <c r="Q1037" s="24"/>
      <c r="R1037" s="24"/>
      <c r="S1037" s="24"/>
      <c r="T1037" s="24"/>
      <c r="U1037" s="24"/>
    </row>
    <row r="1038" spans="1:21" s="5" customFormat="1" ht="15.75">
      <c r="A1038" s="24"/>
      <c r="B1038" s="29"/>
      <c r="C1038" s="24"/>
      <c r="D1038" s="31"/>
      <c r="E1038" s="24"/>
      <c r="F1038" s="24"/>
      <c r="G1038" s="24"/>
      <c r="H1038" s="24"/>
      <c r="I1038" s="24"/>
      <c r="J1038" s="24"/>
      <c r="K1038" s="24"/>
      <c r="L1038" s="24"/>
      <c r="M1038" s="24"/>
      <c r="N1038" s="24"/>
      <c r="O1038" s="24"/>
      <c r="P1038" s="24"/>
      <c r="Q1038" s="24"/>
      <c r="R1038" s="24"/>
      <c r="S1038" s="24"/>
      <c r="T1038" s="24"/>
      <c r="U1038" s="24"/>
    </row>
    <row r="1039" spans="1:21" s="5" customFormat="1" ht="15.75">
      <c r="A1039" s="24"/>
      <c r="B1039" s="29"/>
      <c r="C1039" s="24"/>
      <c r="D1039" s="31"/>
      <c r="E1039" s="24"/>
      <c r="F1039" s="24"/>
      <c r="G1039" s="24"/>
      <c r="H1039" s="24"/>
      <c r="I1039" s="24"/>
      <c r="J1039" s="24"/>
      <c r="K1039" s="24"/>
      <c r="L1039" s="24"/>
      <c r="M1039" s="24"/>
      <c r="N1039" s="24"/>
      <c r="O1039" s="24"/>
      <c r="P1039" s="24"/>
      <c r="Q1039" s="24"/>
      <c r="R1039" s="24"/>
      <c r="S1039" s="24"/>
      <c r="T1039" s="24"/>
      <c r="U1039" s="24"/>
    </row>
    <row r="1040" spans="1:21" s="5" customFormat="1" ht="15.75">
      <c r="A1040" s="24"/>
      <c r="B1040" s="29"/>
      <c r="C1040" s="24"/>
      <c r="D1040" s="31"/>
      <c r="E1040" s="24"/>
      <c r="F1040" s="24"/>
      <c r="G1040" s="24"/>
      <c r="H1040" s="24"/>
      <c r="I1040" s="24"/>
      <c r="J1040" s="24"/>
      <c r="K1040" s="24"/>
      <c r="L1040" s="24"/>
      <c r="M1040" s="24"/>
      <c r="N1040" s="24"/>
      <c r="O1040" s="24"/>
      <c r="P1040" s="24"/>
      <c r="Q1040" s="24"/>
      <c r="R1040" s="24"/>
      <c r="S1040" s="24"/>
      <c r="T1040" s="24"/>
      <c r="U1040" s="24"/>
    </row>
    <row r="1041" spans="1:21" s="5" customFormat="1" ht="15.75">
      <c r="A1041" s="24"/>
      <c r="B1041" s="29"/>
      <c r="C1041" s="24"/>
      <c r="D1041" s="31"/>
      <c r="E1041" s="24"/>
      <c r="F1041" s="24"/>
      <c r="G1041" s="24"/>
      <c r="H1041" s="24"/>
      <c r="I1041" s="24"/>
      <c r="J1041" s="24"/>
      <c r="K1041" s="24"/>
      <c r="L1041" s="24"/>
      <c r="M1041" s="24"/>
      <c r="N1041" s="24"/>
      <c r="O1041" s="24"/>
      <c r="P1041" s="24"/>
      <c r="Q1041" s="24"/>
      <c r="R1041" s="24"/>
      <c r="S1041" s="24"/>
      <c r="T1041" s="24"/>
      <c r="U1041" s="24"/>
    </row>
    <row r="1042" spans="1:21" s="5" customFormat="1" ht="15.75">
      <c r="A1042" s="24"/>
      <c r="B1042" s="29"/>
      <c r="C1042" s="24"/>
      <c r="D1042" s="31"/>
      <c r="E1042" s="24"/>
      <c r="F1042" s="24"/>
      <c r="G1042" s="24"/>
      <c r="H1042" s="24"/>
      <c r="I1042" s="24"/>
      <c r="J1042" s="24"/>
      <c r="K1042" s="24"/>
      <c r="L1042" s="24"/>
      <c r="M1042" s="24"/>
      <c r="N1042" s="24"/>
      <c r="O1042" s="24"/>
      <c r="P1042" s="24"/>
      <c r="Q1042" s="24"/>
      <c r="R1042" s="24"/>
      <c r="S1042" s="24"/>
      <c r="T1042" s="24"/>
      <c r="U1042" s="24"/>
    </row>
    <row r="1043" spans="1:21" s="5" customFormat="1" ht="15.75">
      <c r="A1043" s="24"/>
      <c r="B1043" s="29"/>
      <c r="C1043" s="24"/>
      <c r="D1043" s="31"/>
      <c r="E1043" s="24"/>
      <c r="F1043" s="24"/>
      <c r="G1043" s="24"/>
      <c r="H1043" s="24"/>
      <c r="I1043" s="24"/>
      <c r="J1043" s="24"/>
      <c r="K1043" s="24"/>
      <c r="L1043" s="24"/>
      <c r="M1043" s="24"/>
      <c r="N1043" s="24"/>
      <c r="O1043" s="24"/>
      <c r="P1043" s="24"/>
      <c r="Q1043" s="24"/>
      <c r="R1043" s="24"/>
      <c r="S1043" s="24"/>
      <c r="T1043" s="24"/>
      <c r="U1043" s="24"/>
    </row>
    <row r="1044" spans="1:21" s="5" customFormat="1" ht="15.75">
      <c r="A1044" s="24"/>
      <c r="B1044" s="29"/>
      <c r="C1044" s="24"/>
      <c r="D1044" s="31"/>
      <c r="E1044" s="24"/>
      <c r="F1044" s="24"/>
      <c r="G1044" s="24"/>
      <c r="H1044" s="24"/>
      <c r="I1044" s="24"/>
      <c r="J1044" s="24"/>
      <c r="K1044" s="24"/>
      <c r="L1044" s="24"/>
      <c r="M1044" s="24"/>
      <c r="N1044" s="24"/>
      <c r="O1044" s="24"/>
      <c r="P1044" s="24"/>
      <c r="Q1044" s="24"/>
      <c r="R1044" s="24"/>
      <c r="S1044" s="24"/>
      <c r="T1044" s="24"/>
      <c r="U1044" s="24"/>
    </row>
    <row r="1045" spans="1:21" s="5" customFormat="1" ht="15.75">
      <c r="A1045" s="24"/>
      <c r="B1045" s="29"/>
      <c r="C1045" s="24"/>
      <c r="D1045" s="31"/>
      <c r="E1045" s="24"/>
      <c r="F1045" s="24"/>
      <c r="G1045" s="24"/>
      <c r="H1045" s="24"/>
      <c r="I1045" s="24"/>
      <c r="J1045" s="24"/>
      <c r="K1045" s="24"/>
      <c r="L1045" s="24"/>
      <c r="M1045" s="24"/>
      <c r="N1045" s="24"/>
      <c r="O1045" s="24"/>
      <c r="P1045" s="24"/>
      <c r="Q1045" s="24"/>
      <c r="R1045" s="24"/>
      <c r="S1045" s="24"/>
      <c r="T1045" s="24"/>
      <c r="U1045" s="24"/>
    </row>
    <row r="1046" spans="1:21" s="25" customFormat="1">
      <c r="A1046" s="24"/>
      <c r="B1046" s="29"/>
      <c r="C1046" s="24"/>
      <c r="D1046" s="31"/>
      <c r="E1046" s="24"/>
      <c r="F1046" s="24"/>
      <c r="G1046" s="24"/>
      <c r="H1046" s="24"/>
      <c r="I1046" s="24"/>
      <c r="J1046" s="24"/>
      <c r="K1046" s="24"/>
      <c r="L1046" s="24"/>
      <c r="M1046" s="24"/>
      <c r="N1046" s="24"/>
      <c r="O1046" s="24"/>
      <c r="P1046" s="24"/>
      <c r="Q1046" s="24"/>
      <c r="R1046" s="24"/>
      <c r="S1046" s="24"/>
      <c r="T1046" s="24"/>
      <c r="U1046" s="24"/>
    </row>
    <row r="1047" spans="1:21" s="1" customFormat="1" ht="15.75">
      <c r="A1047" s="24"/>
      <c r="B1047" s="29"/>
      <c r="C1047" s="24"/>
      <c r="D1047" s="31"/>
      <c r="E1047" s="24"/>
      <c r="F1047" s="24"/>
      <c r="G1047" s="24"/>
      <c r="H1047" s="24"/>
      <c r="I1047" s="24"/>
      <c r="J1047" s="24"/>
      <c r="K1047" s="24"/>
      <c r="L1047" s="24"/>
      <c r="M1047" s="24"/>
      <c r="N1047" s="24"/>
      <c r="O1047" s="24"/>
      <c r="P1047" s="24"/>
      <c r="Q1047" s="24"/>
      <c r="R1047" s="24"/>
      <c r="S1047" s="24"/>
      <c r="T1047" s="24"/>
      <c r="U1047" s="24"/>
    </row>
    <row r="1048" spans="1:21" s="1" customFormat="1" ht="18.600000000000001" customHeight="1">
      <c r="A1048" s="24"/>
      <c r="B1048" s="29"/>
      <c r="C1048" s="24"/>
      <c r="D1048" s="31"/>
      <c r="E1048" s="24"/>
      <c r="F1048" s="24"/>
      <c r="G1048" s="24"/>
      <c r="H1048" s="24"/>
      <c r="I1048" s="24"/>
      <c r="J1048" s="24"/>
      <c r="K1048" s="24"/>
      <c r="L1048" s="24"/>
      <c r="M1048" s="24"/>
      <c r="N1048" s="24"/>
      <c r="O1048" s="24"/>
      <c r="P1048" s="24"/>
      <c r="Q1048" s="24"/>
      <c r="R1048" s="24"/>
      <c r="S1048" s="24"/>
      <c r="T1048" s="24"/>
      <c r="U1048" s="24"/>
    </row>
    <row r="1049" spans="1:21" s="1" customFormat="1" ht="18.600000000000001" customHeight="1">
      <c r="A1049" s="24"/>
      <c r="B1049" s="29"/>
      <c r="C1049" s="24"/>
      <c r="D1049" s="31"/>
      <c r="E1049" s="24"/>
      <c r="F1049" s="24"/>
      <c r="G1049" s="24"/>
      <c r="H1049" s="24"/>
      <c r="I1049" s="24"/>
      <c r="J1049" s="24"/>
      <c r="K1049" s="24"/>
      <c r="L1049" s="24"/>
      <c r="M1049" s="24"/>
      <c r="N1049" s="24"/>
      <c r="O1049" s="24"/>
      <c r="P1049" s="24"/>
      <c r="Q1049" s="24"/>
      <c r="R1049" s="24"/>
      <c r="S1049" s="24"/>
      <c r="T1049" s="24"/>
      <c r="U1049" s="24"/>
    </row>
    <row r="1050" spans="1:21" s="5" customFormat="1" ht="15.75">
      <c r="A1050" s="24"/>
      <c r="B1050" s="29"/>
      <c r="C1050" s="24"/>
      <c r="D1050" s="31"/>
      <c r="E1050" s="24"/>
      <c r="F1050" s="24"/>
      <c r="G1050" s="24"/>
      <c r="H1050" s="24"/>
      <c r="I1050" s="24"/>
      <c r="J1050" s="24"/>
      <c r="K1050" s="24"/>
      <c r="L1050" s="24"/>
      <c r="M1050" s="24"/>
      <c r="N1050" s="24"/>
      <c r="O1050" s="24"/>
      <c r="P1050" s="24"/>
      <c r="Q1050" s="24"/>
      <c r="R1050" s="24"/>
      <c r="S1050" s="24"/>
      <c r="T1050" s="24"/>
      <c r="U1050" s="24"/>
    </row>
    <row r="1051" spans="1:21" s="5" customFormat="1" ht="15.75">
      <c r="A1051" s="24"/>
      <c r="B1051" s="29"/>
      <c r="C1051" s="24"/>
      <c r="D1051" s="31"/>
      <c r="E1051" s="24"/>
      <c r="F1051" s="24"/>
      <c r="G1051" s="24"/>
      <c r="H1051" s="24"/>
      <c r="I1051" s="24"/>
      <c r="J1051" s="24"/>
      <c r="K1051" s="24"/>
      <c r="L1051" s="24"/>
      <c r="M1051" s="24"/>
      <c r="N1051" s="24"/>
      <c r="O1051" s="24"/>
      <c r="P1051" s="24"/>
      <c r="Q1051" s="24"/>
      <c r="R1051" s="24"/>
      <c r="S1051" s="24"/>
      <c r="T1051" s="24"/>
      <c r="U1051" s="24"/>
    </row>
    <row r="1052" spans="1:21" s="5" customFormat="1" ht="15.75">
      <c r="A1052" s="24"/>
      <c r="B1052" s="29"/>
      <c r="C1052" s="24"/>
      <c r="D1052" s="31"/>
      <c r="E1052" s="24"/>
      <c r="F1052" s="24"/>
      <c r="G1052" s="24"/>
      <c r="H1052" s="24"/>
      <c r="I1052" s="24"/>
      <c r="J1052" s="24"/>
      <c r="K1052" s="24"/>
      <c r="L1052" s="24"/>
      <c r="M1052" s="24"/>
      <c r="N1052" s="24"/>
      <c r="O1052" s="24"/>
      <c r="P1052" s="24"/>
      <c r="Q1052" s="24"/>
      <c r="R1052" s="24"/>
      <c r="S1052" s="24"/>
      <c r="T1052" s="24"/>
      <c r="U1052" s="24"/>
    </row>
    <row r="1053" spans="1:21" s="5" customFormat="1" ht="15.75">
      <c r="A1053" s="24"/>
      <c r="B1053" s="29"/>
      <c r="C1053" s="24"/>
      <c r="D1053" s="31"/>
      <c r="E1053" s="24"/>
      <c r="F1053" s="24"/>
      <c r="G1053" s="24"/>
      <c r="H1053" s="24"/>
      <c r="I1053" s="24"/>
      <c r="J1053" s="24"/>
      <c r="K1053" s="24"/>
      <c r="L1053" s="24"/>
      <c r="M1053" s="24"/>
      <c r="N1053" s="24"/>
      <c r="O1053" s="24"/>
      <c r="P1053" s="24"/>
      <c r="Q1053" s="24"/>
      <c r="R1053" s="24"/>
      <c r="S1053" s="24"/>
      <c r="T1053" s="24"/>
      <c r="U1053" s="24"/>
    </row>
    <row r="1054" spans="1:21" s="5" customFormat="1" ht="15.75">
      <c r="A1054" s="24"/>
      <c r="B1054" s="29"/>
      <c r="C1054" s="24"/>
      <c r="D1054" s="31"/>
      <c r="E1054" s="24"/>
      <c r="F1054" s="24"/>
      <c r="G1054" s="24"/>
      <c r="H1054" s="24"/>
      <c r="I1054" s="24"/>
      <c r="J1054" s="24"/>
      <c r="K1054" s="24"/>
      <c r="L1054" s="24"/>
      <c r="M1054" s="24"/>
      <c r="N1054" s="24"/>
      <c r="O1054" s="24"/>
      <c r="P1054" s="24"/>
      <c r="Q1054" s="24"/>
      <c r="R1054" s="24"/>
      <c r="S1054" s="24"/>
      <c r="T1054" s="24"/>
      <c r="U1054" s="24"/>
    </row>
    <row r="1055" spans="1:21" s="5" customFormat="1" ht="15.75">
      <c r="A1055" s="24"/>
      <c r="B1055" s="29"/>
      <c r="C1055" s="24"/>
      <c r="D1055" s="31"/>
      <c r="E1055" s="24"/>
      <c r="F1055" s="24"/>
      <c r="G1055" s="24"/>
      <c r="H1055" s="24"/>
      <c r="I1055" s="24"/>
      <c r="J1055" s="24"/>
      <c r="K1055" s="24"/>
      <c r="L1055" s="24"/>
      <c r="M1055" s="24"/>
      <c r="N1055" s="24"/>
      <c r="O1055" s="24"/>
      <c r="P1055" s="24"/>
      <c r="Q1055" s="24"/>
      <c r="R1055" s="24"/>
      <c r="S1055" s="24"/>
      <c r="T1055" s="24"/>
      <c r="U1055" s="24"/>
    </row>
    <row r="1056" spans="1:21" s="5" customFormat="1" ht="15.75">
      <c r="A1056" s="24"/>
      <c r="B1056" s="29"/>
      <c r="C1056" s="24"/>
      <c r="D1056" s="31"/>
      <c r="E1056" s="24"/>
      <c r="F1056" s="24"/>
      <c r="G1056" s="24"/>
      <c r="H1056" s="24"/>
      <c r="I1056" s="24"/>
      <c r="J1056" s="24"/>
      <c r="K1056" s="24"/>
      <c r="L1056" s="24"/>
      <c r="M1056" s="24"/>
      <c r="N1056" s="24"/>
      <c r="O1056" s="24"/>
      <c r="P1056" s="24"/>
      <c r="Q1056" s="24"/>
      <c r="R1056" s="24"/>
      <c r="S1056" s="24"/>
      <c r="T1056" s="24"/>
      <c r="U1056" s="24"/>
    </row>
    <row r="1057" spans="1:21" s="5" customFormat="1" ht="15.75">
      <c r="A1057" s="24"/>
      <c r="B1057" s="29"/>
      <c r="C1057" s="24"/>
      <c r="D1057" s="31"/>
      <c r="E1057" s="24"/>
      <c r="F1057" s="24"/>
      <c r="G1057" s="24"/>
      <c r="H1057" s="24"/>
      <c r="I1057" s="24"/>
      <c r="J1057" s="24"/>
      <c r="K1057" s="24"/>
      <c r="L1057" s="24"/>
      <c r="M1057" s="24"/>
      <c r="N1057" s="24"/>
      <c r="O1057" s="24"/>
      <c r="P1057" s="24"/>
      <c r="Q1057" s="24"/>
      <c r="R1057" s="24"/>
      <c r="S1057" s="24"/>
      <c r="T1057" s="24"/>
      <c r="U1057" s="24"/>
    </row>
    <row r="1058" spans="1:21" s="5" customFormat="1" ht="15.75">
      <c r="A1058" s="24"/>
      <c r="B1058" s="29"/>
      <c r="C1058" s="24"/>
      <c r="D1058" s="31"/>
      <c r="E1058" s="24"/>
      <c r="F1058" s="24"/>
      <c r="G1058" s="24"/>
      <c r="H1058" s="24"/>
      <c r="I1058" s="24"/>
      <c r="J1058" s="24"/>
      <c r="K1058" s="24"/>
      <c r="L1058" s="24"/>
      <c r="M1058" s="24"/>
      <c r="N1058" s="24"/>
      <c r="O1058" s="24"/>
      <c r="P1058" s="24"/>
      <c r="Q1058" s="24"/>
      <c r="R1058" s="24"/>
      <c r="S1058" s="24"/>
      <c r="T1058" s="24"/>
      <c r="U1058" s="24"/>
    </row>
    <row r="1059" spans="1:21" s="5" customFormat="1" ht="15.75">
      <c r="A1059" s="24"/>
      <c r="B1059" s="29"/>
      <c r="C1059" s="24"/>
      <c r="D1059" s="31"/>
      <c r="E1059" s="24"/>
      <c r="F1059" s="24"/>
      <c r="G1059" s="24"/>
      <c r="H1059" s="24"/>
      <c r="I1059" s="24"/>
      <c r="J1059" s="24"/>
      <c r="K1059" s="24"/>
      <c r="L1059" s="24"/>
      <c r="M1059" s="24"/>
      <c r="N1059" s="24"/>
      <c r="O1059" s="24"/>
      <c r="P1059" s="24"/>
      <c r="Q1059" s="24"/>
      <c r="R1059" s="24"/>
      <c r="S1059" s="24"/>
      <c r="T1059" s="24"/>
      <c r="U1059" s="24"/>
    </row>
    <row r="1060" spans="1:21" s="5" customFormat="1" ht="15.75">
      <c r="A1060" s="24"/>
      <c r="B1060" s="29"/>
      <c r="C1060" s="24"/>
      <c r="D1060" s="31"/>
      <c r="E1060" s="24"/>
      <c r="F1060" s="24"/>
      <c r="G1060" s="24"/>
      <c r="H1060" s="24"/>
      <c r="I1060" s="24"/>
      <c r="J1060" s="24"/>
      <c r="K1060" s="24"/>
      <c r="L1060" s="24"/>
      <c r="M1060" s="24"/>
      <c r="N1060" s="24"/>
      <c r="O1060" s="24"/>
      <c r="P1060" s="24"/>
      <c r="Q1060" s="24"/>
      <c r="R1060" s="24"/>
      <c r="S1060" s="24"/>
      <c r="T1060" s="24"/>
      <c r="U1060" s="24"/>
    </row>
    <row r="1061" spans="1:21" s="5" customFormat="1" ht="15.75">
      <c r="A1061" s="24"/>
      <c r="B1061" s="29"/>
      <c r="C1061" s="24"/>
      <c r="D1061" s="31"/>
      <c r="E1061" s="24"/>
      <c r="F1061" s="24"/>
      <c r="G1061" s="24"/>
      <c r="H1061" s="24"/>
      <c r="I1061" s="24"/>
      <c r="J1061" s="24"/>
      <c r="K1061" s="24"/>
      <c r="L1061" s="24"/>
      <c r="M1061" s="24"/>
      <c r="N1061" s="24"/>
      <c r="O1061" s="24"/>
      <c r="P1061" s="24"/>
      <c r="Q1061" s="24"/>
      <c r="R1061" s="24"/>
      <c r="S1061" s="24"/>
      <c r="T1061" s="24"/>
      <c r="U1061" s="24"/>
    </row>
    <row r="1062" spans="1:21" s="5" customFormat="1" ht="15.75">
      <c r="A1062" s="24"/>
      <c r="B1062" s="29"/>
      <c r="C1062" s="24"/>
      <c r="D1062" s="31"/>
      <c r="E1062" s="24"/>
      <c r="F1062" s="24"/>
      <c r="G1062" s="24"/>
      <c r="H1062" s="24"/>
      <c r="I1062" s="24"/>
      <c r="J1062" s="24"/>
      <c r="K1062" s="24"/>
      <c r="L1062" s="24"/>
      <c r="M1062" s="24"/>
      <c r="N1062" s="24"/>
      <c r="O1062" s="24"/>
      <c r="P1062" s="24"/>
      <c r="Q1062" s="24"/>
      <c r="R1062" s="24"/>
      <c r="S1062" s="24"/>
      <c r="T1062" s="24"/>
      <c r="U1062" s="24"/>
    </row>
    <row r="1063" spans="1:21" s="5" customFormat="1" ht="15.75">
      <c r="A1063" s="24"/>
      <c r="B1063" s="29"/>
      <c r="C1063" s="24"/>
      <c r="D1063" s="31"/>
      <c r="E1063" s="24"/>
      <c r="F1063" s="24"/>
      <c r="G1063" s="24"/>
      <c r="H1063" s="24"/>
      <c r="I1063" s="24"/>
      <c r="J1063" s="24"/>
      <c r="K1063" s="24"/>
      <c r="L1063" s="24"/>
      <c r="M1063" s="24"/>
      <c r="N1063" s="24"/>
      <c r="O1063" s="24"/>
      <c r="P1063" s="24"/>
      <c r="Q1063" s="24"/>
      <c r="R1063" s="24"/>
      <c r="S1063" s="24"/>
      <c r="T1063" s="24"/>
      <c r="U1063" s="24"/>
    </row>
    <row r="1064" spans="1:21" s="5" customFormat="1" ht="15.75">
      <c r="A1064" s="24"/>
      <c r="B1064" s="29"/>
      <c r="C1064" s="24"/>
      <c r="D1064" s="31"/>
      <c r="E1064" s="24"/>
      <c r="F1064" s="24"/>
      <c r="G1064" s="24"/>
      <c r="H1064" s="24"/>
      <c r="I1064" s="24"/>
      <c r="J1064" s="24"/>
      <c r="K1064" s="24"/>
      <c r="L1064" s="24"/>
      <c r="M1064" s="24"/>
      <c r="N1064" s="24"/>
      <c r="O1064" s="24"/>
      <c r="P1064" s="24"/>
      <c r="Q1064" s="24"/>
      <c r="R1064" s="24"/>
      <c r="S1064" s="24"/>
      <c r="T1064" s="24"/>
      <c r="U1064" s="24"/>
    </row>
    <row r="1065" spans="1:21" s="5" customFormat="1" ht="15.75">
      <c r="A1065" s="24"/>
      <c r="B1065" s="29"/>
      <c r="C1065" s="24"/>
      <c r="D1065" s="31"/>
      <c r="E1065" s="24"/>
      <c r="F1065" s="24"/>
      <c r="G1065" s="24"/>
      <c r="H1065" s="24"/>
      <c r="I1065" s="24"/>
      <c r="J1065" s="24"/>
      <c r="K1065" s="24"/>
      <c r="L1065" s="24"/>
      <c r="M1065" s="24"/>
      <c r="N1065" s="24"/>
      <c r="O1065" s="24"/>
      <c r="P1065" s="24"/>
      <c r="Q1065" s="24"/>
      <c r="R1065" s="24"/>
      <c r="S1065" s="24"/>
      <c r="T1065" s="24"/>
      <c r="U1065" s="24"/>
    </row>
    <row r="1066" spans="1:21" s="5" customFormat="1" ht="15.75">
      <c r="A1066" s="24"/>
      <c r="B1066" s="29"/>
      <c r="C1066" s="24"/>
      <c r="D1066" s="31"/>
      <c r="E1066" s="24"/>
      <c r="F1066" s="24"/>
      <c r="G1066" s="24"/>
      <c r="H1066" s="24"/>
      <c r="I1066" s="24"/>
      <c r="J1066" s="24"/>
      <c r="K1066" s="24"/>
      <c r="L1066" s="24"/>
      <c r="M1066" s="24"/>
      <c r="N1066" s="24"/>
      <c r="O1066" s="24"/>
      <c r="P1066" s="24"/>
      <c r="Q1066" s="24"/>
      <c r="R1066" s="24"/>
      <c r="S1066" s="24"/>
      <c r="T1066" s="24"/>
      <c r="U1066" s="24"/>
    </row>
    <row r="1068" spans="1:21" s="1" customFormat="1" ht="15.75">
      <c r="A1068" s="24"/>
      <c r="B1068" s="29"/>
      <c r="C1068" s="24"/>
      <c r="D1068" s="31"/>
      <c r="E1068" s="24"/>
      <c r="F1068" s="24"/>
      <c r="G1068" s="24"/>
      <c r="H1068" s="24"/>
      <c r="I1068" s="24"/>
      <c r="J1068" s="24"/>
      <c r="K1068" s="24"/>
      <c r="L1068" s="24"/>
      <c r="M1068" s="24"/>
      <c r="N1068" s="24"/>
      <c r="O1068" s="24"/>
      <c r="P1068" s="24"/>
      <c r="Q1068" s="24"/>
      <c r="R1068" s="24"/>
      <c r="S1068" s="24"/>
      <c r="T1068" s="24"/>
      <c r="U1068" s="24"/>
    </row>
    <row r="1069" spans="1:21" s="1" customFormat="1" ht="18.600000000000001" customHeight="1">
      <c r="A1069" s="24"/>
      <c r="B1069" s="29"/>
      <c r="C1069" s="24"/>
      <c r="D1069" s="31"/>
      <c r="E1069" s="24"/>
      <c r="F1069" s="24"/>
      <c r="G1069" s="24"/>
      <c r="H1069" s="24"/>
      <c r="I1069" s="24"/>
      <c r="J1069" s="24"/>
      <c r="K1069" s="24"/>
      <c r="L1069" s="24"/>
      <c r="M1069" s="24"/>
      <c r="N1069" s="24"/>
      <c r="O1069" s="24"/>
      <c r="P1069" s="24"/>
      <c r="Q1069" s="24"/>
      <c r="R1069" s="24"/>
      <c r="S1069" s="24"/>
      <c r="T1069" s="24"/>
      <c r="U1069" s="24"/>
    </row>
    <row r="1070" spans="1:21" s="1" customFormat="1" ht="18.600000000000001" customHeight="1">
      <c r="A1070" s="24"/>
      <c r="B1070" s="29"/>
      <c r="C1070" s="24"/>
      <c r="D1070" s="31"/>
      <c r="E1070" s="24"/>
      <c r="F1070" s="24"/>
      <c r="G1070" s="24"/>
      <c r="H1070" s="24"/>
      <c r="I1070" s="24"/>
      <c r="J1070" s="24"/>
      <c r="K1070" s="24"/>
      <c r="L1070" s="24"/>
      <c r="M1070" s="24"/>
      <c r="N1070" s="24"/>
      <c r="O1070" s="24"/>
      <c r="P1070" s="24"/>
      <c r="Q1070" s="24"/>
      <c r="R1070" s="24"/>
      <c r="S1070" s="24"/>
      <c r="T1070" s="24"/>
      <c r="U1070" s="24"/>
    </row>
    <row r="1071" spans="1:21" s="5" customFormat="1" ht="15.75">
      <c r="A1071" s="24"/>
      <c r="B1071" s="29"/>
      <c r="C1071" s="24"/>
      <c r="D1071" s="31"/>
      <c r="E1071" s="24"/>
      <c r="F1071" s="24"/>
      <c r="G1071" s="24"/>
      <c r="H1071" s="24"/>
      <c r="I1071" s="24"/>
      <c r="J1071" s="24"/>
      <c r="K1071" s="24"/>
      <c r="L1071" s="24"/>
      <c r="M1071" s="24"/>
      <c r="N1071" s="24"/>
      <c r="O1071" s="24"/>
      <c r="P1071" s="24"/>
      <c r="Q1071" s="24"/>
      <c r="R1071" s="24"/>
      <c r="S1071" s="24"/>
      <c r="T1071" s="24"/>
      <c r="U1071" s="24"/>
    </row>
    <row r="1072" spans="1:21" s="5" customFormat="1" ht="15.75">
      <c r="A1072" s="24"/>
      <c r="B1072" s="29"/>
      <c r="C1072" s="24"/>
      <c r="D1072" s="31"/>
      <c r="E1072" s="24"/>
      <c r="F1072" s="24"/>
      <c r="G1072" s="24"/>
      <c r="H1072" s="24"/>
      <c r="I1072" s="24"/>
      <c r="J1072" s="24"/>
      <c r="K1072" s="24"/>
      <c r="L1072" s="24"/>
      <c r="M1072" s="24"/>
      <c r="N1072" s="24"/>
      <c r="O1072" s="24"/>
      <c r="P1072" s="24"/>
      <c r="Q1072" s="24"/>
      <c r="R1072" s="24"/>
      <c r="S1072" s="24"/>
      <c r="T1072" s="24"/>
      <c r="U1072" s="24"/>
    </row>
    <row r="1073" spans="1:21" s="5" customFormat="1" ht="15.75">
      <c r="A1073" s="24"/>
      <c r="B1073" s="29"/>
      <c r="C1073" s="24"/>
      <c r="D1073" s="31"/>
      <c r="E1073" s="24"/>
      <c r="F1073" s="24"/>
      <c r="G1073" s="24"/>
      <c r="H1073" s="24"/>
      <c r="I1073" s="24"/>
      <c r="J1073" s="24"/>
      <c r="K1073" s="24"/>
      <c r="L1073" s="24"/>
      <c r="M1073" s="24"/>
      <c r="N1073" s="24"/>
      <c r="O1073" s="24"/>
      <c r="P1073" s="24"/>
      <c r="Q1073" s="24"/>
      <c r="R1073" s="24"/>
      <c r="S1073" s="24"/>
      <c r="T1073" s="24"/>
      <c r="U1073" s="24"/>
    </row>
    <row r="1074" spans="1:21" s="5" customFormat="1" ht="15.75">
      <c r="A1074" s="24"/>
      <c r="B1074" s="29"/>
      <c r="C1074" s="24"/>
      <c r="D1074" s="31"/>
      <c r="E1074" s="24"/>
      <c r="F1074" s="24"/>
      <c r="G1074" s="24"/>
      <c r="H1074" s="24"/>
      <c r="I1074" s="24"/>
      <c r="J1074" s="24"/>
      <c r="K1074" s="24"/>
      <c r="L1074" s="24"/>
      <c r="M1074" s="24"/>
      <c r="N1074" s="24"/>
      <c r="O1074" s="24"/>
      <c r="P1074" s="24"/>
      <c r="Q1074" s="24"/>
      <c r="R1074" s="24"/>
      <c r="S1074" s="24"/>
      <c r="T1074" s="24"/>
      <c r="U1074" s="24"/>
    </row>
    <row r="1075" spans="1:21" s="5" customFormat="1" ht="15.75">
      <c r="A1075" s="24"/>
      <c r="B1075" s="29"/>
      <c r="C1075" s="24"/>
      <c r="D1075" s="31"/>
      <c r="E1075" s="24"/>
      <c r="F1075" s="24"/>
      <c r="G1075" s="24"/>
      <c r="H1075" s="24"/>
      <c r="I1075" s="24"/>
      <c r="J1075" s="24"/>
      <c r="K1075" s="24"/>
      <c r="L1075" s="24"/>
      <c r="M1075" s="24"/>
      <c r="N1075" s="24"/>
      <c r="O1075" s="24"/>
      <c r="P1075" s="24"/>
      <c r="Q1075" s="24"/>
      <c r="R1075" s="24"/>
      <c r="S1075" s="24"/>
      <c r="T1075" s="24"/>
      <c r="U1075" s="24"/>
    </row>
    <row r="1076" spans="1:21" s="5" customFormat="1" ht="15.75">
      <c r="A1076" s="24"/>
      <c r="B1076" s="29"/>
      <c r="C1076" s="24"/>
      <c r="D1076" s="31"/>
      <c r="E1076" s="24"/>
      <c r="F1076" s="24"/>
      <c r="G1076" s="24"/>
      <c r="H1076" s="24"/>
      <c r="I1076" s="24"/>
      <c r="J1076" s="24"/>
      <c r="K1076" s="24"/>
      <c r="L1076" s="24"/>
      <c r="M1076" s="24"/>
      <c r="N1076" s="24"/>
      <c r="O1076" s="24"/>
      <c r="P1076" s="24"/>
      <c r="Q1076" s="24"/>
      <c r="R1076" s="24"/>
      <c r="S1076" s="24"/>
      <c r="T1076" s="24"/>
      <c r="U1076" s="24"/>
    </row>
    <row r="1077" spans="1:21" s="5" customFormat="1" ht="15.75">
      <c r="A1077" s="24"/>
      <c r="B1077" s="29"/>
      <c r="C1077" s="24"/>
      <c r="D1077" s="31"/>
      <c r="E1077" s="24"/>
      <c r="F1077" s="24"/>
      <c r="G1077" s="24"/>
      <c r="H1077" s="24"/>
      <c r="I1077" s="24"/>
      <c r="J1077" s="24"/>
      <c r="K1077" s="24"/>
      <c r="L1077" s="24"/>
      <c r="M1077" s="24"/>
      <c r="N1077" s="24"/>
      <c r="O1077" s="24"/>
      <c r="P1077" s="24"/>
      <c r="Q1077" s="24"/>
      <c r="R1077" s="24"/>
      <c r="S1077" s="24"/>
      <c r="T1077" s="24"/>
      <c r="U1077" s="24"/>
    </row>
    <row r="1078" spans="1:21" s="5" customFormat="1" ht="15.75">
      <c r="A1078" s="24"/>
      <c r="B1078" s="29"/>
      <c r="C1078" s="24"/>
      <c r="D1078" s="31"/>
      <c r="E1078" s="24"/>
      <c r="F1078" s="24"/>
      <c r="G1078" s="24"/>
      <c r="H1078" s="24"/>
      <c r="I1078" s="24"/>
      <c r="J1078" s="24"/>
      <c r="K1078" s="24"/>
      <c r="L1078" s="24"/>
      <c r="M1078" s="24"/>
      <c r="N1078" s="24"/>
      <c r="O1078" s="24"/>
      <c r="P1078" s="24"/>
      <c r="Q1078" s="24"/>
      <c r="R1078" s="24"/>
      <c r="S1078" s="24"/>
      <c r="T1078" s="24"/>
      <c r="U1078" s="24"/>
    </row>
    <row r="1079" spans="1:21" s="5" customFormat="1" ht="15.75">
      <c r="A1079" s="24"/>
      <c r="B1079" s="29"/>
      <c r="C1079" s="24"/>
      <c r="D1079" s="31"/>
      <c r="E1079" s="24"/>
      <c r="F1079" s="24"/>
      <c r="G1079" s="24"/>
      <c r="H1079" s="24"/>
      <c r="I1079" s="24"/>
      <c r="J1079" s="24"/>
      <c r="K1079" s="24"/>
      <c r="L1079" s="24"/>
      <c r="M1079" s="24"/>
      <c r="N1079" s="24"/>
      <c r="O1079" s="24"/>
      <c r="P1079" s="24"/>
      <c r="Q1079" s="24"/>
      <c r="R1079" s="24"/>
      <c r="S1079" s="24"/>
      <c r="T1079" s="24"/>
      <c r="U1079" s="24"/>
    </row>
    <row r="1080" spans="1:21" s="5" customFormat="1" ht="15.75">
      <c r="A1080" s="24"/>
      <c r="B1080" s="29"/>
      <c r="C1080" s="24"/>
      <c r="D1080" s="31"/>
      <c r="E1080" s="24"/>
      <c r="F1080" s="24"/>
      <c r="G1080" s="24"/>
      <c r="H1080" s="24"/>
      <c r="I1080" s="24"/>
      <c r="J1080" s="24"/>
      <c r="K1080" s="24"/>
      <c r="L1080" s="24"/>
      <c r="M1080" s="24"/>
      <c r="N1080" s="24"/>
      <c r="O1080" s="24"/>
      <c r="P1080" s="24"/>
      <c r="Q1080" s="24"/>
      <c r="R1080" s="24"/>
      <c r="S1080" s="24"/>
      <c r="T1080" s="24"/>
      <c r="U1080" s="24"/>
    </row>
    <row r="1081" spans="1:21" s="5" customFormat="1" ht="15.75">
      <c r="A1081" s="24"/>
      <c r="B1081" s="29"/>
      <c r="C1081" s="24"/>
      <c r="D1081" s="31"/>
      <c r="E1081" s="24"/>
      <c r="F1081" s="24"/>
      <c r="G1081" s="24"/>
      <c r="H1081" s="24"/>
      <c r="I1081" s="24"/>
      <c r="J1081" s="24"/>
      <c r="K1081" s="24"/>
      <c r="L1081" s="24"/>
      <c r="M1081" s="24"/>
      <c r="N1081" s="24"/>
      <c r="O1081" s="24"/>
      <c r="P1081" s="24"/>
      <c r="Q1081" s="24"/>
      <c r="R1081" s="24"/>
      <c r="S1081" s="24"/>
      <c r="T1081" s="24"/>
      <c r="U1081" s="24"/>
    </row>
    <row r="1082" spans="1:21" s="5" customFormat="1" ht="15.75">
      <c r="A1082" s="24"/>
      <c r="B1082" s="29"/>
      <c r="C1082" s="24"/>
      <c r="D1082" s="31"/>
      <c r="E1082" s="24"/>
      <c r="F1082" s="24"/>
      <c r="G1082" s="24"/>
      <c r="H1082" s="24"/>
      <c r="I1082" s="24"/>
      <c r="J1082" s="24"/>
      <c r="K1082" s="24"/>
      <c r="L1082" s="24"/>
      <c r="M1082" s="24"/>
      <c r="N1082" s="24"/>
      <c r="O1082" s="24"/>
      <c r="P1082" s="24"/>
      <c r="Q1082" s="24"/>
      <c r="R1082" s="24"/>
      <c r="S1082" s="24"/>
      <c r="T1082" s="24"/>
      <c r="U1082" s="24"/>
    </row>
    <row r="1083" spans="1:21" s="5" customFormat="1" ht="15.75">
      <c r="A1083" s="24"/>
      <c r="B1083" s="29"/>
      <c r="C1083" s="24"/>
      <c r="D1083" s="31"/>
      <c r="E1083" s="24"/>
      <c r="F1083" s="24"/>
      <c r="G1083" s="24"/>
      <c r="H1083" s="24"/>
      <c r="I1083" s="24"/>
      <c r="J1083" s="24"/>
      <c r="K1083" s="24"/>
      <c r="L1083" s="24"/>
      <c r="M1083" s="24"/>
      <c r="N1083" s="24"/>
      <c r="O1083" s="24"/>
      <c r="P1083" s="24"/>
      <c r="Q1083" s="24"/>
      <c r="R1083" s="24"/>
      <c r="S1083" s="24"/>
      <c r="T1083" s="24"/>
      <c r="U1083" s="24"/>
    </row>
    <row r="1084" spans="1:21" s="5" customFormat="1" ht="15.75">
      <c r="A1084" s="24"/>
      <c r="B1084" s="29"/>
      <c r="C1084" s="24"/>
      <c r="D1084" s="31"/>
      <c r="E1084" s="24"/>
      <c r="F1084" s="24"/>
      <c r="G1084" s="24"/>
      <c r="H1084" s="24"/>
      <c r="I1084" s="24"/>
      <c r="J1084" s="24"/>
      <c r="K1084" s="24"/>
      <c r="L1084" s="24"/>
      <c r="M1084" s="24"/>
      <c r="N1084" s="24"/>
      <c r="O1084" s="24"/>
      <c r="P1084" s="24"/>
      <c r="Q1084" s="24"/>
      <c r="R1084" s="24"/>
      <c r="S1084" s="24"/>
      <c r="T1084" s="24"/>
      <c r="U1084" s="24"/>
    </row>
    <row r="1085" spans="1:21" s="5" customFormat="1" ht="15.75">
      <c r="A1085" s="24"/>
      <c r="B1085" s="29"/>
      <c r="C1085" s="24"/>
      <c r="D1085" s="31"/>
      <c r="E1085" s="24"/>
      <c r="F1085" s="24"/>
      <c r="G1085" s="24"/>
      <c r="H1085" s="24"/>
      <c r="I1085" s="24"/>
      <c r="J1085" s="24"/>
      <c r="K1085" s="24"/>
      <c r="L1085" s="24"/>
      <c r="M1085" s="24"/>
      <c r="N1085" s="24"/>
      <c r="O1085" s="24"/>
      <c r="P1085" s="24"/>
      <c r="Q1085" s="24"/>
      <c r="R1085" s="24"/>
      <c r="S1085" s="24"/>
      <c r="T1085" s="24"/>
      <c r="U1085" s="24"/>
    </row>
    <row r="1086" spans="1:21" s="5" customFormat="1" ht="15.75">
      <c r="A1086" s="24"/>
      <c r="B1086" s="29"/>
      <c r="C1086" s="24"/>
      <c r="D1086" s="31"/>
      <c r="E1086" s="24"/>
      <c r="F1086" s="24"/>
      <c r="G1086" s="24"/>
      <c r="H1086" s="24"/>
      <c r="I1086" s="24"/>
      <c r="J1086" s="24"/>
      <c r="K1086" s="24"/>
      <c r="L1086" s="24"/>
      <c r="M1086" s="24"/>
      <c r="N1086" s="24"/>
      <c r="O1086" s="24"/>
      <c r="P1086" s="24"/>
      <c r="Q1086" s="24"/>
      <c r="R1086" s="24"/>
      <c r="S1086" s="24"/>
      <c r="T1086" s="24"/>
      <c r="U1086" s="24"/>
    </row>
    <row r="1087" spans="1:21" s="1" customFormat="1" ht="15.75">
      <c r="A1087" s="24"/>
      <c r="B1087" s="29"/>
      <c r="C1087" s="24"/>
      <c r="D1087" s="31"/>
      <c r="E1087" s="24"/>
      <c r="F1087" s="24"/>
      <c r="G1087" s="24"/>
      <c r="H1087" s="24"/>
      <c r="I1087" s="24"/>
      <c r="J1087" s="24"/>
      <c r="K1087" s="24"/>
      <c r="L1087" s="24"/>
      <c r="M1087" s="24"/>
      <c r="N1087" s="24"/>
      <c r="O1087" s="24"/>
      <c r="P1087" s="24"/>
      <c r="Q1087" s="24"/>
      <c r="R1087" s="24"/>
      <c r="S1087" s="24"/>
      <c r="T1087" s="24"/>
      <c r="U1087" s="24"/>
    </row>
    <row r="1088" spans="1:21" s="27" customFormat="1">
      <c r="A1088" s="24"/>
      <c r="B1088" s="29"/>
      <c r="C1088" s="24"/>
      <c r="D1088" s="31"/>
      <c r="E1088" s="24"/>
      <c r="F1088" s="24"/>
      <c r="G1088" s="24"/>
      <c r="H1088" s="24"/>
      <c r="I1088" s="24"/>
      <c r="J1088" s="24"/>
      <c r="K1088" s="24"/>
      <c r="L1088" s="24"/>
      <c r="M1088" s="24"/>
      <c r="N1088" s="24"/>
      <c r="O1088" s="24"/>
      <c r="P1088" s="24"/>
      <c r="Q1088" s="24"/>
      <c r="R1088" s="24"/>
      <c r="S1088" s="24"/>
      <c r="T1088" s="24"/>
      <c r="U1088" s="24"/>
    </row>
    <row r="1089" spans="1:21" s="1" customFormat="1" ht="15.75">
      <c r="A1089" s="24"/>
      <c r="B1089" s="29"/>
      <c r="C1089" s="24"/>
      <c r="D1089" s="31"/>
      <c r="E1089" s="24"/>
      <c r="F1089" s="24"/>
      <c r="G1089" s="24"/>
      <c r="H1089" s="24"/>
      <c r="I1089" s="24"/>
      <c r="J1089" s="24"/>
      <c r="K1089" s="24"/>
      <c r="L1089" s="24"/>
      <c r="M1089" s="24"/>
      <c r="N1089" s="24"/>
      <c r="O1089" s="24"/>
      <c r="P1089" s="24"/>
      <c r="Q1089" s="24"/>
      <c r="R1089" s="24"/>
      <c r="S1089" s="24"/>
      <c r="T1089" s="24"/>
      <c r="U1089" s="24"/>
    </row>
    <row r="1090" spans="1:21" s="1" customFormat="1" ht="18.600000000000001" customHeight="1">
      <c r="A1090" s="24"/>
      <c r="B1090" s="29"/>
      <c r="C1090" s="24"/>
      <c r="D1090" s="31"/>
      <c r="E1090" s="24"/>
      <c r="F1090" s="24"/>
      <c r="G1090" s="24"/>
      <c r="H1090" s="24"/>
      <c r="I1090" s="24"/>
      <c r="J1090" s="24"/>
      <c r="K1090" s="24"/>
      <c r="L1090" s="24"/>
      <c r="M1090" s="24"/>
      <c r="N1090" s="24"/>
      <c r="O1090" s="24"/>
      <c r="P1090" s="24"/>
      <c r="Q1090" s="24"/>
      <c r="R1090" s="24"/>
      <c r="S1090" s="24"/>
      <c r="T1090" s="24"/>
      <c r="U1090" s="24"/>
    </row>
    <row r="1091" spans="1:21" s="1" customFormat="1" ht="18.600000000000001" customHeight="1">
      <c r="A1091" s="24"/>
      <c r="B1091" s="29"/>
      <c r="C1091" s="24"/>
      <c r="D1091" s="31"/>
      <c r="E1091" s="24"/>
      <c r="F1091" s="24"/>
      <c r="G1091" s="24"/>
      <c r="H1091" s="24"/>
      <c r="I1091" s="24"/>
      <c r="J1091" s="24"/>
      <c r="K1091" s="24"/>
      <c r="L1091" s="24"/>
      <c r="M1091" s="24"/>
      <c r="N1091" s="24"/>
      <c r="O1091" s="24"/>
      <c r="P1091" s="24"/>
      <c r="Q1091" s="24"/>
      <c r="R1091" s="24"/>
      <c r="S1091" s="24"/>
      <c r="T1091" s="24"/>
      <c r="U1091" s="24"/>
    </row>
    <row r="1092" spans="1:21" s="5" customFormat="1" ht="15.75">
      <c r="A1092" s="24"/>
      <c r="B1092" s="29"/>
      <c r="C1092" s="24"/>
      <c r="D1092" s="31"/>
      <c r="E1092" s="24"/>
      <c r="F1092" s="24"/>
      <c r="G1092" s="24"/>
      <c r="H1092" s="24"/>
      <c r="I1092" s="24"/>
      <c r="J1092" s="24"/>
      <c r="K1092" s="24"/>
      <c r="L1092" s="24"/>
      <c r="M1092" s="24"/>
      <c r="N1092" s="24"/>
      <c r="O1092" s="24"/>
      <c r="P1092" s="24"/>
      <c r="Q1092" s="24"/>
      <c r="R1092" s="24"/>
      <c r="S1092" s="24"/>
      <c r="T1092" s="24"/>
      <c r="U1092" s="24"/>
    </row>
    <row r="1093" spans="1:21" s="5" customFormat="1" ht="15.75">
      <c r="A1093" s="24"/>
      <c r="B1093" s="29"/>
      <c r="C1093" s="24"/>
      <c r="D1093" s="31"/>
      <c r="E1093" s="24"/>
      <c r="F1093" s="24"/>
      <c r="G1093" s="24"/>
      <c r="H1093" s="24"/>
      <c r="I1093" s="24"/>
      <c r="J1093" s="24"/>
      <c r="K1093" s="24"/>
      <c r="L1093" s="24"/>
      <c r="M1093" s="24"/>
      <c r="N1093" s="24"/>
      <c r="O1093" s="24"/>
      <c r="P1093" s="24"/>
      <c r="Q1093" s="24"/>
      <c r="R1093" s="24"/>
      <c r="S1093" s="24"/>
      <c r="T1093" s="24"/>
      <c r="U1093" s="24"/>
    </row>
    <row r="1094" spans="1:21" s="5" customFormat="1" ht="15.75">
      <c r="A1094" s="24"/>
      <c r="B1094" s="29"/>
      <c r="C1094" s="24"/>
      <c r="D1094" s="31"/>
      <c r="E1094" s="24"/>
      <c r="F1094" s="24"/>
      <c r="G1094" s="24"/>
      <c r="H1094" s="24"/>
      <c r="I1094" s="24"/>
      <c r="J1094" s="24"/>
      <c r="K1094" s="24"/>
      <c r="L1094" s="24"/>
      <c r="M1094" s="24"/>
      <c r="N1094" s="24"/>
      <c r="O1094" s="24"/>
      <c r="P1094" s="24"/>
      <c r="Q1094" s="24"/>
      <c r="R1094" s="24"/>
      <c r="S1094" s="24"/>
      <c r="T1094" s="24"/>
      <c r="U1094" s="24"/>
    </row>
    <row r="1095" spans="1:21" s="5" customFormat="1" ht="15.75">
      <c r="A1095" s="24"/>
      <c r="B1095" s="29"/>
      <c r="C1095" s="24"/>
      <c r="D1095" s="31"/>
      <c r="E1095" s="24"/>
      <c r="F1095" s="24"/>
      <c r="G1095" s="24"/>
      <c r="H1095" s="24"/>
      <c r="I1095" s="24"/>
      <c r="J1095" s="24"/>
      <c r="K1095" s="24"/>
      <c r="L1095" s="24"/>
      <c r="M1095" s="24"/>
      <c r="N1095" s="24"/>
      <c r="O1095" s="24"/>
      <c r="P1095" s="24"/>
      <c r="Q1095" s="24"/>
      <c r="R1095" s="24"/>
      <c r="S1095" s="24"/>
      <c r="T1095" s="24"/>
      <c r="U1095" s="24"/>
    </row>
    <row r="1096" spans="1:21" s="5" customFormat="1" ht="15.75">
      <c r="A1096" s="24"/>
      <c r="B1096" s="29"/>
      <c r="C1096" s="24"/>
      <c r="D1096" s="31"/>
      <c r="E1096" s="24"/>
      <c r="F1096" s="24"/>
      <c r="G1096" s="24"/>
      <c r="H1096" s="24"/>
      <c r="I1096" s="24"/>
      <c r="J1096" s="24"/>
      <c r="K1096" s="24"/>
      <c r="L1096" s="24"/>
      <c r="M1096" s="24"/>
      <c r="N1096" s="24"/>
      <c r="O1096" s="24"/>
      <c r="P1096" s="24"/>
      <c r="Q1096" s="24"/>
      <c r="R1096" s="24"/>
      <c r="S1096" s="24"/>
      <c r="T1096" s="24"/>
      <c r="U1096" s="24"/>
    </row>
    <row r="1097" spans="1:21" s="5" customFormat="1" ht="15.75">
      <c r="A1097" s="24"/>
      <c r="B1097" s="29"/>
      <c r="C1097" s="24"/>
      <c r="D1097" s="31"/>
      <c r="E1097" s="24"/>
      <c r="F1097" s="24"/>
      <c r="G1097" s="24"/>
      <c r="H1097" s="24"/>
      <c r="I1097" s="24"/>
      <c r="J1097" s="24"/>
      <c r="K1097" s="24"/>
      <c r="L1097" s="24"/>
      <c r="M1097" s="24"/>
      <c r="N1097" s="24"/>
      <c r="O1097" s="24"/>
      <c r="P1097" s="24"/>
      <c r="Q1097" s="24"/>
      <c r="R1097" s="24"/>
      <c r="S1097" s="24"/>
      <c r="T1097" s="24"/>
      <c r="U1097" s="24"/>
    </row>
    <row r="1098" spans="1:21" s="5" customFormat="1" ht="15.75">
      <c r="A1098" s="24"/>
      <c r="B1098" s="29"/>
      <c r="C1098" s="24"/>
      <c r="D1098" s="31"/>
      <c r="E1098" s="24"/>
      <c r="F1098" s="24"/>
      <c r="G1098" s="24"/>
      <c r="H1098" s="24"/>
      <c r="I1098" s="24"/>
      <c r="J1098" s="24"/>
      <c r="K1098" s="24"/>
      <c r="L1098" s="24"/>
      <c r="M1098" s="24"/>
      <c r="N1098" s="24"/>
      <c r="O1098" s="24"/>
      <c r="P1098" s="24"/>
      <c r="Q1098" s="24"/>
      <c r="R1098" s="24"/>
      <c r="S1098" s="24"/>
      <c r="T1098" s="24"/>
      <c r="U1098" s="24"/>
    </row>
    <row r="1099" spans="1:21" s="5" customFormat="1" ht="15.75">
      <c r="A1099" s="24"/>
      <c r="B1099" s="29"/>
      <c r="C1099" s="24"/>
      <c r="D1099" s="31"/>
      <c r="E1099" s="24"/>
      <c r="F1099" s="24"/>
      <c r="G1099" s="24"/>
      <c r="H1099" s="24"/>
      <c r="I1099" s="24"/>
      <c r="J1099" s="24"/>
      <c r="K1099" s="24"/>
      <c r="L1099" s="24"/>
      <c r="M1099" s="24"/>
      <c r="N1099" s="24"/>
      <c r="O1099" s="24"/>
      <c r="P1099" s="24"/>
      <c r="Q1099" s="24"/>
      <c r="R1099" s="24"/>
      <c r="S1099" s="24"/>
      <c r="T1099" s="24"/>
      <c r="U1099" s="24"/>
    </row>
    <row r="1100" spans="1:21" s="5" customFormat="1" ht="15.75">
      <c r="A1100" s="24"/>
      <c r="B1100" s="29"/>
      <c r="C1100" s="24"/>
      <c r="D1100" s="31"/>
      <c r="E1100" s="24"/>
      <c r="F1100" s="24"/>
      <c r="G1100" s="24"/>
      <c r="H1100" s="24"/>
      <c r="I1100" s="24"/>
      <c r="J1100" s="24"/>
      <c r="K1100" s="24"/>
      <c r="L1100" s="24"/>
      <c r="M1100" s="24"/>
      <c r="N1100" s="24"/>
      <c r="O1100" s="24"/>
      <c r="P1100" s="24"/>
      <c r="Q1100" s="24"/>
      <c r="R1100" s="24"/>
      <c r="S1100" s="24"/>
      <c r="T1100" s="24"/>
      <c r="U1100" s="24"/>
    </row>
    <row r="1101" spans="1:21" s="5" customFormat="1" ht="15.75">
      <c r="A1101" s="24"/>
      <c r="B1101" s="29"/>
      <c r="C1101" s="24"/>
      <c r="D1101" s="31"/>
      <c r="E1101" s="24"/>
      <c r="F1101" s="24"/>
      <c r="G1101" s="24"/>
      <c r="H1101" s="24"/>
      <c r="I1101" s="24"/>
      <c r="J1101" s="24"/>
      <c r="K1101" s="24"/>
      <c r="L1101" s="24"/>
      <c r="M1101" s="24"/>
      <c r="N1101" s="24"/>
      <c r="O1101" s="24"/>
      <c r="P1101" s="24"/>
      <c r="Q1101" s="24"/>
      <c r="R1101" s="24"/>
      <c r="S1101" s="24"/>
      <c r="T1101" s="24"/>
      <c r="U1101" s="24"/>
    </row>
    <row r="1102" spans="1:21" s="5" customFormat="1" ht="15.75">
      <c r="A1102" s="24"/>
      <c r="B1102" s="29"/>
      <c r="C1102" s="24"/>
      <c r="D1102" s="31"/>
      <c r="E1102" s="24"/>
      <c r="F1102" s="24"/>
      <c r="G1102" s="24"/>
      <c r="H1102" s="24"/>
      <c r="I1102" s="24"/>
      <c r="J1102" s="24"/>
      <c r="K1102" s="24"/>
      <c r="L1102" s="24"/>
      <c r="M1102" s="24"/>
      <c r="N1102" s="24"/>
      <c r="O1102" s="24"/>
      <c r="P1102" s="24"/>
      <c r="Q1102" s="24"/>
      <c r="R1102" s="24"/>
      <c r="S1102" s="24"/>
      <c r="T1102" s="24"/>
      <c r="U1102" s="24"/>
    </row>
    <row r="1103" spans="1:21" s="5" customFormat="1" ht="15.75">
      <c r="A1103" s="24"/>
      <c r="B1103" s="29"/>
      <c r="C1103" s="24"/>
      <c r="D1103" s="31"/>
      <c r="E1103" s="24"/>
      <c r="F1103" s="24"/>
      <c r="G1103" s="24"/>
      <c r="H1103" s="24"/>
      <c r="I1103" s="24"/>
      <c r="J1103" s="24"/>
      <c r="K1103" s="24"/>
      <c r="L1103" s="24"/>
      <c r="M1103" s="24"/>
      <c r="N1103" s="24"/>
      <c r="O1103" s="24"/>
      <c r="P1103" s="24"/>
      <c r="Q1103" s="24"/>
      <c r="R1103" s="24"/>
      <c r="S1103" s="24"/>
      <c r="T1103" s="24"/>
      <c r="U1103" s="24"/>
    </row>
    <row r="1104" spans="1:21" s="5" customFormat="1" ht="15.75">
      <c r="A1104" s="24"/>
      <c r="B1104" s="29"/>
      <c r="C1104" s="24"/>
      <c r="D1104" s="31"/>
      <c r="E1104" s="24"/>
      <c r="F1104" s="24"/>
      <c r="G1104" s="24"/>
      <c r="H1104" s="24"/>
      <c r="I1104" s="24"/>
      <c r="J1104" s="24"/>
      <c r="K1104" s="24"/>
      <c r="L1104" s="24"/>
      <c r="M1104" s="24"/>
      <c r="N1104" s="24"/>
      <c r="O1104" s="24"/>
      <c r="P1104" s="24"/>
      <c r="Q1104" s="24"/>
      <c r="R1104" s="24"/>
      <c r="S1104" s="24"/>
      <c r="T1104" s="24"/>
      <c r="U1104" s="24"/>
    </row>
    <row r="1105" spans="1:21" s="5" customFormat="1" ht="15.75">
      <c r="A1105" s="24"/>
      <c r="B1105" s="29"/>
      <c r="C1105" s="24"/>
      <c r="D1105" s="31"/>
      <c r="E1105" s="24"/>
      <c r="F1105" s="24"/>
      <c r="G1105" s="24"/>
      <c r="H1105" s="24"/>
      <c r="I1105" s="24"/>
      <c r="J1105" s="24"/>
      <c r="K1105" s="24"/>
      <c r="L1105" s="24"/>
      <c r="M1105" s="24"/>
      <c r="N1105" s="24"/>
      <c r="O1105" s="24"/>
      <c r="P1105" s="24"/>
      <c r="Q1105" s="24"/>
      <c r="R1105" s="24"/>
      <c r="S1105" s="24"/>
      <c r="T1105" s="24"/>
      <c r="U1105" s="24"/>
    </row>
    <row r="1106" spans="1:21" s="5" customFormat="1" ht="15.75">
      <c r="A1106" s="24"/>
      <c r="B1106" s="29"/>
      <c r="C1106" s="24"/>
      <c r="D1106" s="31"/>
      <c r="E1106" s="24"/>
      <c r="F1106" s="24"/>
      <c r="G1106" s="24"/>
      <c r="H1106" s="24"/>
      <c r="I1106" s="24"/>
      <c r="J1106" s="24"/>
      <c r="K1106" s="24"/>
      <c r="L1106" s="24"/>
      <c r="M1106" s="24"/>
      <c r="N1106" s="24"/>
      <c r="O1106" s="24"/>
      <c r="P1106" s="24"/>
      <c r="Q1106" s="24"/>
      <c r="R1106" s="24"/>
      <c r="S1106" s="24"/>
      <c r="T1106" s="24"/>
      <c r="U1106" s="24"/>
    </row>
    <row r="1107" spans="1:21" s="5" customFormat="1" ht="15.75">
      <c r="A1107" s="24"/>
      <c r="B1107" s="29"/>
      <c r="C1107" s="24"/>
      <c r="D1107" s="31"/>
      <c r="E1107" s="24"/>
      <c r="F1107" s="24"/>
      <c r="G1107" s="24"/>
      <c r="H1107" s="24"/>
      <c r="I1107" s="24"/>
      <c r="J1107" s="24"/>
      <c r="K1107" s="24"/>
      <c r="L1107" s="24"/>
      <c r="M1107" s="24"/>
      <c r="N1107" s="24"/>
      <c r="O1107" s="24"/>
      <c r="P1107" s="24"/>
      <c r="Q1107" s="24"/>
      <c r="R1107" s="24"/>
      <c r="S1107" s="24"/>
      <c r="T1107" s="24"/>
      <c r="U1107" s="24"/>
    </row>
    <row r="1108" spans="1:21" s="1" customFormat="1" ht="15.75">
      <c r="A1108" s="24"/>
      <c r="B1108" s="29"/>
      <c r="C1108" s="24"/>
      <c r="D1108" s="31"/>
      <c r="E1108" s="24"/>
      <c r="F1108" s="24"/>
      <c r="G1108" s="24"/>
      <c r="H1108" s="24"/>
      <c r="I1108" s="24"/>
      <c r="J1108" s="24"/>
      <c r="K1108" s="24"/>
      <c r="L1108" s="24"/>
      <c r="M1108" s="24"/>
      <c r="N1108" s="24"/>
      <c r="O1108" s="24"/>
      <c r="P1108" s="24"/>
      <c r="Q1108" s="24"/>
      <c r="R1108" s="24"/>
      <c r="S1108" s="24"/>
      <c r="T1108" s="24"/>
      <c r="U1108" s="24"/>
    </row>
  </sheetData>
  <mergeCells count="333">
    <mergeCell ref="A498:D498"/>
    <mergeCell ref="Q501:U501"/>
    <mergeCell ref="A467:D467"/>
    <mergeCell ref="Q470:U470"/>
    <mergeCell ref="A476:U476"/>
    <mergeCell ref="A477:U477"/>
    <mergeCell ref="A478:U478"/>
    <mergeCell ref="A479:Q479"/>
    <mergeCell ref="R479:U479"/>
    <mergeCell ref="A480:A481"/>
    <mergeCell ref="B480:B481"/>
    <mergeCell ref="C480:C481"/>
    <mergeCell ref="D480:D481"/>
    <mergeCell ref="G480:I480"/>
    <mergeCell ref="J480:K480"/>
    <mergeCell ref="L480:M480"/>
    <mergeCell ref="N480:O480"/>
    <mergeCell ref="P480:P481"/>
    <mergeCell ref="Q480:Q481"/>
    <mergeCell ref="R480:U480"/>
    <mergeCell ref="A446:U446"/>
    <mergeCell ref="A447:U447"/>
    <mergeCell ref="A448:Q448"/>
    <mergeCell ref="R448:U448"/>
    <mergeCell ref="A449:A450"/>
    <mergeCell ref="B449:B450"/>
    <mergeCell ref="C449:C450"/>
    <mergeCell ref="D449:D450"/>
    <mergeCell ref="G449:I449"/>
    <mergeCell ref="J449:K449"/>
    <mergeCell ref="L449:M449"/>
    <mergeCell ref="N449:O449"/>
    <mergeCell ref="P449:P450"/>
    <mergeCell ref="Q449:Q450"/>
    <mergeCell ref="R449:U449"/>
    <mergeCell ref="A375:D375"/>
    <mergeCell ref="Q378:U378"/>
    <mergeCell ref="A412:U412"/>
    <mergeCell ref="A413:U413"/>
    <mergeCell ref="A414:U414"/>
    <mergeCell ref="A415:Q415"/>
    <mergeCell ref="R415:U415"/>
    <mergeCell ref="A416:A417"/>
    <mergeCell ref="B416:B417"/>
    <mergeCell ref="C416:C417"/>
    <mergeCell ref="D416:D417"/>
    <mergeCell ref="G416:I416"/>
    <mergeCell ref="J416:K416"/>
    <mergeCell ref="L416:M416"/>
    <mergeCell ref="N416:O416"/>
    <mergeCell ref="P416:P417"/>
    <mergeCell ref="Q416:Q417"/>
    <mergeCell ref="R416:U416"/>
    <mergeCell ref="Q383:Q384"/>
    <mergeCell ref="R383:U383"/>
    <mergeCell ref="C383:C384"/>
    <mergeCell ref="D383:D384"/>
    <mergeCell ref="G383:I383"/>
    <mergeCell ref="J383:K383"/>
    <mergeCell ref="A343:D343"/>
    <mergeCell ref="Q346:U346"/>
    <mergeCell ref="A347:U347"/>
    <mergeCell ref="A348:U348"/>
    <mergeCell ref="A349:U349"/>
    <mergeCell ref="A350:Q350"/>
    <mergeCell ref="R350:U350"/>
    <mergeCell ref="A351:A352"/>
    <mergeCell ref="B351:B352"/>
    <mergeCell ref="C351:C352"/>
    <mergeCell ref="D351:D352"/>
    <mergeCell ref="G351:I351"/>
    <mergeCell ref="J351:K351"/>
    <mergeCell ref="L351:M351"/>
    <mergeCell ref="N351:O351"/>
    <mergeCell ref="P351:P352"/>
    <mergeCell ref="Q351:Q352"/>
    <mergeCell ref="R351:U351"/>
    <mergeCell ref="A318:Q318"/>
    <mergeCell ref="R318:U318"/>
    <mergeCell ref="A319:A320"/>
    <mergeCell ref="B319:B320"/>
    <mergeCell ref="C319:C320"/>
    <mergeCell ref="D319:D320"/>
    <mergeCell ref="G319:I319"/>
    <mergeCell ref="J319:K319"/>
    <mergeCell ref="L319:M319"/>
    <mergeCell ref="N319:O319"/>
    <mergeCell ref="P319:P320"/>
    <mergeCell ref="Q319:Q320"/>
    <mergeCell ref="R319:U319"/>
    <mergeCell ref="A252:U252"/>
    <mergeCell ref="A253:U253"/>
    <mergeCell ref="A254:Q254"/>
    <mergeCell ref="R254:U254"/>
    <mergeCell ref="A255:A256"/>
    <mergeCell ref="B255:B256"/>
    <mergeCell ref="C255:C256"/>
    <mergeCell ref="D255:D256"/>
    <mergeCell ref="G255:I255"/>
    <mergeCell ref="J255:K255"/>
    <mergeCell ref="L255:M255"/>
    <mergeCell ref="N255:O255"/>
    <mergeCell ref="P255:P256"/>
    <mergeCell ref="Q255:Q256"/>
    <mergeCell ref="R255:U255"/>
    <mergeCell ref="Q282:U282"/>
    <mergeCell ref="A283:U283"/>
    <mergeCell ref="A284:U284"/>
    <mergeCell ref="A285:U285"/>
    <mergeCell ref="A286:Q286"/>
    <mergeCell ref="C40:C42"/>
    <mergeCell ref="A401:D401"/>
    <mergeCell ref="A141:D141"/>
    <mergeCell ref="Q144:U144"/>
    <mergeCell ref="A145:U145"/>
    <mergeCell ref="A146:U146"/>
    <mergeCell ref="A147:U147"/>
    <mergeCell ref="A148:Q148"/>
    <mergeCell ref="R148:U148"/>
    <mergeCell ref="N149:O149"/>
    <mergeCell ref="P149:P150"/>
    <mergeCell ref="R286:U286"/>
    <mergeCell ref="A287:A288"/>
    <mergeCell ref="B287:B288"/>
    <mergeCell ref="C287:C288"/>
    <mergeCell ref="D287:D288"/>
    <mergeCell ref="G287:I287"/>
    <mergeCell ref="J287:K287"/>
    <mergeCell ref="A251:U251"/>
    <mergeCell ref="N287:O287"/>
    <mergeCell ref="P287:P288"/>
    <mergeCell ref="Q287:Q288"/>
    <mergeCell ref="R287:U287"/>
    <mergeCell ref="A311:D311"/>
    <mergeCell ref="A1:U1"/>
    <mergeCell ref="A2:U2"/>
    <mergeCell ref="A3:U3"/>
    <mergeCell ref="A4:Q4"/>
    <mergeCell ref="R4:U4"/>
    <mergeCell ref="A5:A6"/>
    <mergeCell ref="B5:B6"/>
    <mergeCell ref="D5:D6"/>
    <mergeCell ref="E5:E6"/>
    <mergeCell ref="G5:I5"/>
    <mergeCell ref="J5:K5"/>
    <mergeCell ref="L5:M5"/>
    <mergeCell ref="N5:O5"/>
    <mergeCell ref="P5:P6"/>
    <mergeCell ref="Q5:Q6"/>
    <mergeCell ref="R5:U5"/>
    <mergeCell ref="C5:C6"/>
    <mergeCell ref="C7:C8"/>
    <mergeCell ref="A279:D279"/>
    <mergeCell ref="A9:D9"/>
    <mergeCell ref="Q13:U13"/>
    <mergeCell ref="A34:U34"/>
    <mergeCell ref="A35:U35"/>
    <mergeCell ref="A36:U36"/>
    <mergeCell ref="A37:Q37"/>
    <mergeCell ref="R37:U37"/>
    <mergeCell ref="A38:A39"/>
    <mergeCell ref="B38:B39"/>
    <mergeCell ref="C38:C39"/>
    <mergeCell ref="D38:D39"/>
    <mergeCell ref="G38:I38"/>
    <mergeCell ref="J38:K38"/>
    <mergeCell ref="L38:M38"/>
    <mergeCell ref="N38:O38"/>
    <mergeCell ref="P38:P39"/>
    <mergeCell ref="Q38:Q39"/>
    <mergeCell ref="R38:U38"/>
    <mergeCell ref="C43:C45"/>
    <mergeCell ref="C46:C52"/>
    <mergeCell ref="C53:C59"/>
    <mergeCell ref="C60:C66"/>
    <mergeCell ref="A67:D67"/>
    <mergeCell ref="A108:U108"/>
    <mergeCell ref="A109:U109"/>
    <mergeCell ref="A110:U110"/>
    <mergeCell ref="A111:Q111"/>
    <mergeCell ref="R111:U111"/>
    <mergeCell ref="C77:C79"/>
    <mergeCell ref="C80:C82"/>
    <mergeCell ref="C83:C89"/>
    <mergeCell ref="C90:C96"/>
    <mergeCell ref="C97:C103"/>
    <mergeCell ref="A104:D104"/>
    <mergeCell ref="Q70:U70"/>
    <mergeCell ref="Q107:U107"/>
    <mergeCell ref="Q314:U314"/>
    <mergeCell ref="A315:U315"/>
    <mergeCell ref="A316:U316"/>
    <mergeCell ref="A317:U317"/>
    <mergeCell ref="C513:C514"/>
    <mergeCell ref="B112:B113"/>
    <mergeCell ref="C112:C113"/>
    <mergeCell ref="D112:D113"/>
    <mergeCell ref="G112:I112"/>
    <mergeCell ref="J112:K112"/>
    <mergeCell ref="L112:M112"/>
    <mergeCell ref="N112:O112"/>
    <mergeCell ref="A112:A113"/>
    <mergeCell ref="P112:P113"/>
    <mergeCell ref="Q112:Q113"/>
    <mergeCell ref="R112:U112"/>
    <mergeCell ref="C114:C116"/>
    <mergeCell ref="C117:C119"/>
    <mergeCell ref="C120:C126"/>
    <mergeCell ref="C127:C133"/>
    <mergeCell ref="C134:C140"/>
    <mergeCell ref="L287:M287"/>
    <mergeCell ref="A383:A384"/>
    <mergeCell ref="B383:B384"/>
    <mergeCell ref="A247:D247"/>
    <mergeCell ref="Q250:U250"/>
    <mergeCell ref="A379:U379"/>
    <mergeCell ref="A380:U380"/>
    <mergeCell ref="A381:U381"/>
    <mergeCell ref="A547:A548"/>
    <mergeCell ref="B547:B548"/>
    <mergeCell ref="C547:C548"/>
    <mergeCell ref="D547:D548"/>
    <mergeCell ref="G547:I547"/>
    <mergeCell ref="J547:K547"/>
    <mergeCell ref="L547:M547"/>
    <mergeCell ref="N547:O547"/>
    <mergeCell ref="P547:P548"/>
    <mergeCell ref="Q513:Q514"/>
    <mergeCell ref="A543:U543"/>
    <mergeCell ref="A544:U544"/>
    <mergeCell ref="A524:D524"/>
    <mergeCell ref="Q527:U527"/>
    <mergeCell ref="R513:U513"/>
    <mergeCell ref="A545:U545"/>
    <mergeCell ref="A546:Q546"/>
    <mergeCell ref="R546:U546"/>
    <mergeCell ref="L383:M383"/>
    <mergeCell ref="A182:U182"/>
    <mergeCell ref="A183:U183"/>
    <mergeCell ref="A184:U184"/>
    <mergeCell ref="A185:Q185"/>
    <mergeCell ref="R185:U185"/>
    <mergeCell ref="A186:A187"/>
    <mergeCell ref="B186:B187"/>
    <mergeCell ref="C186:C187"/>
    <mergeCell ref="D186:D187"/>
    <mergeCell ref="G186:I186"/>
    <mergeCell ref="J186:K186"/>
    <mergeCell ref="L186:M186"/>
    <mergeCell ref="N186:O186"/>
    <mergeCell ref="P186:P187"/>
    <mergeCell ref="Q186:Q187"/>
    <mergeCell ref="A382:Q382"/>
    <mergeCell ref="R382:U382"/>
    <mergeCell ref="A510:U510"/>
    <mergeCell ref="A511:U511"/>
    <mergeCell ref="A512:Q512"/>
    <mergeCell ref="R512:U512"/>
    <mergeCell ref="A513:A514"/>
    <mergeCell ref="B513:B514"/>
    <mergeCell ref="A567:D567"/>
    <mergeCell ref="Q547:Q548"/>
    <mergeCell ref="R547:U547"/>
    <mergeCell ref="Q404:U404"/>
    <mergeCell ref="A509:U509"/>
    <mergeCell ref="N383:O383"/>
    <mergeCell ref="P383:P384"/>
    <mergeCell ref="D513:D514"/>
    <mergeCell ref="G513:I513"/>
    <mergeCell ref="J513:K513"/>
    <mergeCell ref="L513:M513"/>
    <mergeCell ref="N513:O513"/>
    <mergeCell ref="P513:P514"/>
    <mergeCell ref="A434:D434"/>
    <mergeCell ref="Q437:U437"/>
    <mergeCell ref="A445:U445"/>
    <mergeCell ref="Q570:U570"/>
    <mergeCell ref="A71:U71"/>
    <mergeCell ref="A72:U72"/>
    <mergeCell ref="A73:U73"/>
    <mergeCell ref="A74:Q74"/>
    <mergeCell ref="R74:U74"/>
    <mergeCell ref="A75:A76"/>
    <mergeCell ref="B75:B76"/>
    <mergeCell ref="C75:C76"/>
    <mergeCell ref="D75:D76"/>
    <mergeCell ref="G75:I75"/>
    <mergeCell ref="J75:K75"/>
    <mergeCell ref="L75:M75"/>
    <mergeCell ref="N75:O75"/>
    <mergeCell ref="P75:P76"/>
    <mergeCell ref="Q75:Q76"/>
    <mergeCell ref="R75:U75"/>
    <mergeCell ref="R186:U186"/>
    <mergeCell ref="Q149:Q150"/>
    <mergeCell ref="R149:U149"/>
    <mergeCell ref="C151:C153"/>
    <mergeCell ref="C154:C156"/>
    <mergeCell ref="C157:C163"/>
    <mergeCell ref="C164:C170"/>
    <mergeCell ref="C171:C177"/>
    <mergeCell ref="A178:D178"/>
    <mergeCell ref="Q181:U181"/>
    <mergeCell ref="A149:A150"/>
    <mergeCell ref="B149:B150"/>
    <mergeCell ref="C149:C150"/>
    <mergeCell ref="D149:D150"/>
    <mergeCell ref="G149:I149"/>
    <mergeCell ref="J149:K149"/>
    <mergeCell ref="L149:M149"/>
    <mergeCell ref="C188:C190"/>
    <mergeCell ref="C191:C193"/>
    <mergeCell ref="C194:C200"/>
    <mergeCell ref="C201:C207"/>
    <mergeCell ref="C208:C214"/>
    <mergeCell ref="A215:D215"/>
    <mergeCell ref="Q218:U218"/>
    <mergeCell ref="A223:A224"/>
    <mergeCell ref="B223:B224"/>
    <mergeCell ref="C223:C224"/>
    <mergeCell ref="D223:D224"/>
    <mergeCell ref="G223:I223"/>
    <mergeCell ref="J223:K223"/>
    <mergeCell ref="L223:M223"/>
    <mergeCell ref="N223:O223"/>
    <mergeCell ref="P223:P224"/>
    <mergeCell ref="Q223:Q224"/>
    <mergeCell ref="R223:U223"/>
    <mergeCell ref="A219:U219"/>
    <mergeCell ref="A220:U220"/>
    <mergeCell ref="A221:U221"/>
    <mergeCell ref="A222:Q222"/>
    <mergeCell ref="R222:U222"/>
  </mergeCells>
  <pageMargins left="0.25" right="0.25" top="0.25" bottom="0.25" header="0.3" footer="0.25"/>
  <pageSetup paperSize="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F44"/>
  <sheetViews>
    <sheetView topLeftCell="A28" zoomScale="145" zoomScaleNormal="145" workbookViewId="0">
      <selection activeCell="B35" sqref="B35:B36"/>
    </sheetView>
  </sheetViews>
  <sheetFormatPr defaultRowHeight="15"/>
  <cols>
    <col min="1" max="1" width="3.42578125" customWidth="1"/>
    <col min="2" max="2" width="18.28515625" customWidth="1"/>
    <col min="3" max="3" width="8.28515625" customWidth="1"/>
    <col min="4" max="4" width="8.7109375" bestFit="1" customWidth="1"/>
    <col min="5" max="5" width="7.28515625" bestFit="1" customWidth="1"/>
    <col min="6" max="6" width="37.7109375" customWidth="1"/>
  </cols>
  <sheetData>
    <row r="1" spans="1:6" ht="21">
      <c r="A1" s="420" t="s">
        <v>285</v>
      </c>
      <c r="B1" s="420"/>
      <c r="C1" s="420"/>
      <c r="D1" s="420"/>
      <c r="E1" s="420"/>
      <c r="F1" s="420"/>
    </row>
    <row r="2" spans="1:6" ht="18.75">
      <c r="A2" s="421" t="s">
        <v>159</v>
      </c>
      <c r="B2" s="421"/>
      <c r="C2" s="421"/>
      <c r="D2" s="421"/>
      <c r="E2" s="421"/>
      <c r="F2" s="421"/>
    </row>
    <row r="3" spans="1:6" ht="33" customHeight="1" thickBot="1">
      <c r="A3" s="539" t="s">
        <v>563</v>
      </c>
      <c r="B3" s="539"/>
      <c r="C3" s="539"/>
      <c r="D3" s="539"/>
      <c r="E3" s="539"/>
      <c r="F3" s="539"/>
    </row>
    <row r="4" spans="1:6" ht="32.25" customHeight="1" thickBot="1">
      <c r="A4" s="14" t="s">
        <v>160</v>
      </c>
      <c r="B4" s="422" t="s">
        <v>16</v>
      </c>
      <c r="C4" s="423"/>
      <c r="D4" s="15" t="s">
        <v>161</v>
      </c>
      <c r="E4" s="15" t="s">
        <v>162</v>
      </c>
      <c r="F4" s="15" t="s">
        <v>34</v>
      </c>
    </row>
    <row r="5" spans="1:6" ht="15.75">
      <c r="A5" s="424">
        <v>1</v>
      </c>
      <c r="B5" s="426" t="s">
        <v>286</v>
      </c>
      <c r="C5" s="16" t="s">
        <v>24</v>
      </c>
      <c r="D5" s="17">
        <v>2471</v>
      </c>
      <c r="E5" s="17">
        <v>2471</v>
      </c>
      <c r="F5" s="17">
        <f>SUM(D5:E5)</f>
        <v>4942</v>
      </c>
    </row>
    <row r="6" spans="1:6" ht="15.75">
      <c r="A6" s="425"/>
      <c r="B6" s="427"/>
      <c r="C6" s="18" t="s">
        <v>25</v>
      </c>
      <c r="D6" s="17"/>
      <c r="E6" s="17"/>
      <c r="F6" s="17">
        <f t="shared" ref="F6:F40" si="0">SUM(D6:E6)</f>
        <v>0</v>
      </c>
    </row>
    <row r="7" spans="1:6" ht="15.75">
      <c r="A7" s="425">
        <v>2</v>
      </c>
      <c r="B7" s="425" t="s">
        <v>287</v>
      </c>
      <c r="C7" s="18" t="s">
        <v>24</v>
      </c>
      <c r="D7" s="19">
        <v>4911</v>
      </c>
      <c r="E7" s="19">
        <v>4911</v>
      </c>
      <c r="F7" s="17">
        <f t="shared" si="0"/>
        <v>9822</v>
      </c>
    </row>
    <row r="8" spans="1:6" ht="15.75">
      <c r="A8" s="425"/>
      <c r="B8" s="425"/>
      <c r="C8" s="18" t="s">
        <v>25</v>
      </c>
      <c r="D8" s="19"/>
      <c r="E8" s="19"/>
      <c r="F8" s="17">
        <f t="shared" si="0"/>
        <v>0</v>
      </c>
    </row>
    <row r="9" spans="1:6" ht="15.75">
      <c r="A9" s="428">
        <v>3</v>
      </c>
      <c r="B9" s="428" t="s">
        <v>288</v>
      </c>
      <c r="C9" s="18" t="s">
        <v>24</v>
      </c>
      <c r="D9" s="19">
        <v>5124</v>
      </c>
      <c r="E9" s="19">
        <v>5124</v>
      </c>
      <c r="F9" s="17">
        <f t="shared" si="0"/>
        <v>10248</v>
      </c>
    </row>
    <row r="10" spans="1:6" ht="15.75">
      <c r="A10" s="424"/>
      <c r="B10" s="424"/>
      <c r="C10" s="18" t="s">
        <v>25</v>
      </c>
      <c r="D10" s="19"/>
      <c r="E10" s="19"/>
      <c r="F10" s="17">
        <f t="shared" si="0"/>
        <v>0</v>
      </c>
    </row>
    <row r="11" spans="1:6" ht="15.75">
      <c r="A11" s="424">
        <v>4</v>
      </c>
      <c r="B11" s="428" t="s">
        <v>289</v>
      </c>
      <c r="C11" s="18" t="s">
        <v>24</v>
      </c>
      <c r="D11" s="19">
        <v>3889</v>
      </c>
      <c r="E11" s="19">
        <v>3889</v>
      </c>
      <c r="F11" s="17">
        <f t="shared" si="0"/>
        <v>7778</v>
      </c>
    </row>
    <row r="12" spans="1:6" ht="15.75">
      <c r="A12" s="425"/>
      <c r="B12" s="424"/>
      <c r="C12" s="18" t="s">
        <v>25</v>
      </c>
      <c r="D12" s="19"/>
      <c r="E12" s="19"/>
      <c r="F12" s="17">
        <f t="shared" si="0"/>
        <v>0</v>
      </c>
    </row>
    <row r="13" spans="1:6" ht="15.75">
      <c r="A13" s="424">
        <v>5</v>
      </c>
      <c r="B13" s="428" t="s">
        <v>290</v>
      </c>
      <c r="C13" s="18" t="s">
        <v>24</v>
      </c>
      <c r="D13" s="19">
        <v>9755</v>
      </c>
      <c r="E13" s="19">
        <v>9755</v>
      </c>
      <c r="F13" s="17">
        <f t="shared" si="0"/>
        <v>19510</v>
      </c>
    </row>
    <row r="14" spans="1:6" ht="15.75">
      <c r="A14" s="425"/>
      <c r="B14" s="424"/>
      <c r="C14" s="18" t="s">
        <v>25</v>
      </c>
      <c r="D14" s="19"/>
      <c r="E14" s="19"/>
      <c r="F14" s="17">
        <f t="shared" si="0"/>
        <v>0</v>
      </c>
    </row>
    <row r="15" spans="1:6" ht="15.75">
      <c r="A15" s="425">
        <v>6</v>
      </c>
      <c r="B15" s="428" t="s">
        <v>291</v>
      </c>
      <c r="C15" s="18" t="s">
        <v>24</v>
      </c>
      <c r="D15" s="19">
        <v>2796</v>
      </c>
      <c r="E15" s="19">
        <v>2796</v>
      </c>
      <c r="F15" s="17">
        <f t="shared" si="0"/>
        <v>5592</v>
      </c>
    </row>
    <row r="16" spans="1:6" ht="15.75">
      <c r="A16" s="425"/>
      <c r="B16" s="424"/>
      <c r="C16" s="18" t="s">
        <v>25</v>
      </c>
      <c r="D16" s="19"/>
      <c r="E16" s="19"/>
      <c r="F16" s="17">
        <f t="shared" si="0"/>
        <v>0</v>
      </c>
    </row>
    <row r="17" spans="1:6" ht="15.75">
      <c r="A17" s="428">
        <v>7</v>
      </c>
      <c r="B17" s="429" t="s">
        <v>292</v>
      </c>
      <c r="C17" s="18" t="s">
        <v>24</v>
      </c>
      <c r="D17" s="19">
        <v>6277</v>
      </c>
      <c r="E17" s="19">
        <v>6277</v>
      </c>
      <c r="F17" s="17">
        <f t="shared" si="0"/>
        <v>12554</v>
      </c>
    </row>
    <row r="18" spans="1:6" ht="15.75">
      <c r="A18" s="424"/>
      <c r="B18" s="426"/>
      <c r="C18" s="18" t="s">
        <v>25</v>
      </c>
      <c r="D18" s="19"/>
      <c r="E18" s="19"/>
      <c r="F18" s="17">
        <f t="shared" si="0"/>
        <v>0</v>
      </c>
    </row>
    <row r="19" spans="1:6" ht="15.75">
      <c r="A19" s="424">
        <v>8</v>
      </c>
      <c r="B19" s="429" t="s">
        <v>293</v>
      </c>
      <c r="C19" s="18" t="s">
        <v>24</v>
      </c>
      <c r="D19" s="19">
        <v>4818</v>
      </c>
      <c r="E19" s="19">
        <v>4818</v>
      </c>
      <c r="F19" s="17">
        <f t="shared" si="0"/>
        <v>9636</v>
      </c>
    </row>
    <row r="20" spans="1:6" ht="15.75">
      <c r="A20" s="425"/>
      <c r="B20" s="426"/>
      <c r="C20" s="18" t="s">
        <v>25</v>
      </c>
      <c r="D20" s="19"/>
      <c r="E20" s="19"/>
      <c r="F20" s="17">
        <f t="shared" si="0"/>
        <v>0</v>
      </c>
    </row>
    <row r="21" spans="1:6" ht="15.75">
      <c r="A21" s="424">
        <v>9</v>
      </c>
      <c r="B21" s="429" t="s">
        <v>294</v>
      </c>
      <c r="C21" s="18" t="s">
        <v>24</v>
      </c>
      <c r="D21" s="19">
        <v>4041</v>
      </c>
      <c r="E21" s="19">
        <v>4041</v>
      </c>
      <c r="F21" s="17">
        <f t="shared" si="0"/>
        <v>8082</v>
      </c>
    </row>
    <row r="22" spans="1:6" ht="15.75">
      <c r="A22" s="425"/>
      <c r="B22" s="426"/>
      <c r="C22" s="18" t="s">
        <v>25</v>
      </c>
      <c r="D22" s="19"/>
      <c r="E22" s="19"/>
      <c r="F22" s="17">
        <f t="shared" si="0"/>
        <v>0</v>
      </c>
    </row>
    <row r="23" spans="1:6" ht="15.75">
      <c r="A23" s="424">
        <v>10</v>
      </c>
      <c r="B23" s="429" t="s">
        <v>295</v>
      </c>
      <c r="C23" s="18" t="s">
        <v>24</v>
      </c>
      <c r="D23" s="19">
        <v>5117</v>
      </c>
      <c r="E23" s="19">
        <v>5117</v>
      </c>
      <c r="F23" s="17">
        <f t="shared" si="0"/>
        <v>10234</v>
      </c>
    </row>
    <row r="24" spans="1:6" ht="15.75">
      <c r="A24" s="425"/>
      <c r="B24" s="426"/>
      <c r="C24" s="18" t="s">
        <v>25</v>
      </c>
      <c r="D24" s="19"/>
      <c r="E24" s="19"/>
      <c r="F24" s="17">
        <f t="shared" si="0"/>
        <v>0</v>
      </c>
    </row>
    <row r="25" spans="1:6" ht="15.75">
      <c r="A25" s="425">
        <v>11</v>
      </c>
      <c r="B25" s="429" t="s">
        <v>296</v>
      </c>
      <c r="C25" s="18" t="s">
        <v>24</v>
      </c>
      <c r="D25" s="19">
        <v>2762</v>
      </c>
      <c r="E25" s="19">
        <v>2762</v>
      </c>
      <c r="F25" s="17">
        <f t="shared" si="0"/>
        <v>5524</v>
      </c>
    </row>
    <row r="26" spans="1:6" ht="15.75">
      <c r="A26" s="425"/>
      <c r="B26" s="426"/>
      <c r="C26" s="18" t="s">
        <v>25</v>
      </c>
      <c r="D26" s="19"/>
      <c r="E26" s="19"/>
      <c r="F26" s="17">
        <f t="shared" si="0"/>
        <v>0</v>
      </c>
    </row>
    <row r="27" spans="1:6" ht="15.75">
      <c r="A27" s="428">
        <v>12</v>
      </c>
      <c r="B27" s="429" t="s">
        <v>297</v>
      </c>
      <c r="C27" s="18" t="s">
        <v>24</v>
      </c>
      <c r="D27" s="19">
        <v>2995</v>
      </c>
      <c r="E27" s="19">
        <v>2995</v>
      </c>
      <c r="F27" s="17">
        <f t="shared" si="0"/>
        <v>5990</v>
      </c>
    </row>
    <row r="28" spans="1:6" ht="15.75">
      <c r="A28" s="424"/>
      <c r="B28" s="426"/>
      <c r="C28" s="18" t="s">
        <v>25</v>
      </c>
      <c r="D28" s="19"/>
      <c r="E28" s="19"/>
      <c r="F28" s="17">
        <f t="shared" si="0"/>
        <v>0</v>
      </c>
    </row>
    <row r="29" spans="1:6" ht="15.75">
      <c r="A29" s="424">
        <v>13</v>
      </c>
      <c r="B29" s="429" t="s">
        <v>298</v>
      </c>
      <c r="C29" s="18" t="s">
        <v>24</v>
      </c>
      <c r="D29" s="19">
        <v>2849</v>
      </c>
      <c r="E29" s="19">
        <v>2849</v>
      </c>
      <c r="F29" s="17">
        <f t="shared" si="0"/>
        <v>5698</v>
      </c>
    </row>
    <row r="30" spans="1:6" ht="15.75">
      <c r="A30" s="425"/>
      <c r="B30" s="426"/>
      <c r="C30" s="18" t="s">
        <v>25</v>
      </c>
      <c r="D30" s="19"/>
      <c r="E30" s="19"/>
      <c r="F30" s="17">
        <f t="shared" si="0"/>
        <v>0</v>
      </c>
    </row>
    <row r="31" spans="1:6" s="43" customFormat="1" ht="15.75">
      <c r="A31" s="424">
        <v>14</v>
      </c>
      <c r="B31" s="429" t="s">
        <v>299</v>
      </c>
      <c r="C31" s="46" t="s">
        <v>24</v>
      </c>
      <c r="D31" s="19">
        <v>2033</v>
      </c>
      <c r="E31" s="19">
        <v>2033</v>
      </c>
      <c r="F31" s="17">
        <f t="shared" si="0"/>
        <v>4066</v>
      </c>
    </row>
    <row r="32" spans="1:6" s="43" customFormat="1" ht="15.75">
      <c r="A32" s="425"/>
      <c r="B32" s="426"/>
      <c r="C32" s="46" t="s">
        <v>25</v>
      </c>
      <c r="D32" s="19"/>
      <c r="E32" s="19"/>
      <c r="F32" s="17">
        <f t="shared" si="0"/>
        <v>0</v>
      </c>
    </row>
    <row r="33" spans="1:6" s="43" customFormat="1" ht="15.75">
      <c r="A33" s="425">
        <v>15</v>
      </c>
      <c r="B33" s="429" t="s">
        <v>300</v>
      </c>
      <c r="C33" s="46" t="s">
        <v>24</v>
      </c>
      <c r="D33" s="19">
        <v>6538</v>
      </c>
      <c r="E33" s="19">
        <v>6538</v>
      </c>
      <c r="F33" s="17">
        <f t="shared" si="0"/>
        <v>13076</v>
      </c>
    </row>
    <row r="34" spans="1:6" s="43" customFormat="1" ht="15.75">
      <c r="A34" s="425"/>
      <c r="B34" s="426"/>
      <c r="C34" s="46" t="s">
        <v>25</v>
      </c>
      <c r="D34" s="19"/>
      <c r="E34" s="19"/>
      <c r="F34" s="17">
        <f t="shared" si="0"/>
        <v>0</v>
      </c>
    </row>
    <row r="35" spans="1:6" s="43" customFormat="1" ht="15.75">
      <c r="A35" s="428">
        <v>16</v>
      </c>
      <c r="B35" s="429" t="s">
        <v>219</v>
      </c>
      <c r="C35" s="46" t="s">
        <v>24</v>
      </c>
      <c r="D35" s="19">
        <v>5</v>
      </c>
      <c r="E35" s="19">
        <v>5</v>
      </c>
      <c r="F35" s="17">
        <f t="shared" si="0"/>
        <v>10</v>
      </c>
    </row>
    <row r="36" spans="1:6" s="43" customFormat="1" ht="15.75">
      <c r="A36" s="424"/>
      <c r="B36" s="426"/>
      <c r="C36" s="46" t="s">
        <v>25</v>
      </c>
      <c r="D36" s="19"/>
      <c r="E36" s="19"/>
      <c r="F36" s="17">
        <f t="shared" si="0"/>
        <v>0</v>
      </c>
    </row>
    <row r="37" spans="1:6" ht="15.75">
      <c r="A37" s="424">
        <v>17</v>
      </c>
      <c r="B37" s="429" t="s">
        <v>220</v>
      </c>
      <c r="C37" s="18" t="s">
        <v>24</v>
      </c>
      <c r="D37" s="19">
        <v>2</v>
      </c>
      <c r="E37" s="19">
        <v>2</v>
      </c>
      <c r="F37" s="17">
        <f t="shared" si="0"/>
        <v>4</v>
      </c>
    </row>
    <row r="38" spans="1:6" ht="15.75">
      <c r="A38" s="425"/>
      <c r="B38" s="426"/>
      <c r="C38" s="18" t="s">
        <v>25</v>
      </c>
      <c r="D38" s="19"/>
      <c r="E38" s="19"/>
      <c r="F38" s="17">
        <f t="shared" si="0"/>
        <v>0</v>
      </c>
    </row>
    <row r="39" spans="1:6" ht="15.75">
      <c r="A39" s="425">
        <v>18</v>
      </c>
      <c r="B39" s="429" t="s">
        <v>221</v>
      </c>
      <c r="C39" s="18" t="s">
        <v>24</v>
      </c>
      <c r="D39" s="19">
        <v>15</v>
      </c>
      <c r="E39" s="19">
        <v>15</v>
      </c>
      <c r="F39" s="17">
        <f t="shared" si="0"/>
        <v>30</v>
      </c>
    </row>
    <row r="40" spans="1:6" ht="15.75">
      <c r="A40" s="425"/>
      <c r="B40" s="426"/>
      <c r="C40" s="18" t="s">
        <v>25</v>
      </c>
      <c r="D40" s="19"/>
      <c r="E40" s="19"/>
      <c r="F40" s="17">
        <f t="shared" si="0"/>
        <v>0</v>
      </c>
    </row>
    <row r="41" spans="1:6" ht="15.75">
      <c r="A41" s="430" t="s">
        <v>301</v>
      </c>
      <c r="B41" s="430"/>
      <c r="C41" s="430"/>
      <c r="D41" s="19">
        <f t="shared" ref="D41:F42" si="1">D5+D7+D9+D11+D13+D15+D17+D19+D21+D23+D25+D27+D29+D31+D33+D35+D37+D39</f>
        <v>66398</v>
      </c>
      <c r="E41" s="19">
        <f t="shared" si="1"/>
        <v>66398</v>
      </c>
      <c r="F41" s="19">
        <f t="shared" si="1"/>
        <v>132796</v>
      </c>
    </row>
    <row r="42" spans="1:6" ht="15.75">
      <c r="A42" s="430" t="s">
        <v>25</v>
      </c>
      <c r="B42" s="430"/>
      <c r="C42" s="430"/>
      <c r="D42" s="19">
        <f t="shared" si="1"/>
        <v>0</v>
      </c>
      <c r="E42" s="19">
        <f t="shared" si="1"/>
        <v>0</v>
      </c>
      <c r="F42" s="19">
        <f t="shared" si="1"/>
        <v>0</v>
      </c>
    </row>
    <row r="43" spans="1:6" ht="15.75">
      <c r="A43" s="430" t="s">
        <v>70</v>
      </c>
      <c r="B43" s="430"/>
      <c r="C43" s="430"/>
      <c r="D43" s="19">
        <f>D41-D42</f>
        <v>66398</v>
      </c>
      <c r="E43" s="19">
        <f>E41-E42</f>
        <v>66398</v>
      </c>
      <c r="F43" s="19">
        <f>F41-F42</f>
        <v>132796</v>
      </c>
    </row>
    <row r="44" spans="1:6" ht="15.75">
      <c r="A44" s="20"/>
      <c r="B44" s="20"/>
      <c r="C44" s="20"/>
      <c r="D44" s="21"/>
      <c r="E44" s="21"/>
      <c r="F44" s="21"/>
    </row>
  </sheetData>
  <mergeCells count="43">
    <mergeCell ref="B31:B32"/>
    <mergeCell ref="A31:A32"/>
    <mergeCell ref="B33:B34"/>
    <mergeCell ref="A33:A34"/>
    <mergeCell ref="A35:A36"/>
    <mergeCell ref="B35:B36"/>
    <mergeCell ref="A42:C42"/>
    <mergeCell ref="A43:C43"/>
    <mergeCell ref="A37:A38"/>
    <mergeCell ref="B37:B38"/>
    <mergeCell ref="A39:A40"/>
    <mergeCell ref="B39:B40"/>
    <mergeCell ref="A41:C41"/>
    <mergeCell ref="A25:A26"/>
    <mergeCell ref="B25:B26"/>
    <mergeCell ref="A27:A28"/>
    <mergeCell ref="B27:B28"/>
    <mergeCell ref="A29:A30"/>
    <mergeCell ref="B29:B30"/>
    <mergeCell ref="A19:A20"/>
    <mergeCell ref="B19:B20"/>
    <mergeCell ref="A21:A22"/>
    <mergeCell ref="B21:B22"/>
    <mergeCell ref="A23:A24"/>
    <mergeCell ref="B23:B24"/>
    <mergeCell ref="A13:A14"/>
    <mergeCell ref="B13:B14"/>
    <mergeCell ref="A15:A16"/>
    <mergeCell ref="B15:B16"/>
    <mergeCell ref="A17:A18"/>
    <mergeCell ref="B17:B18"/>
    <mergeCell ref="A7:A8"/>
    <mergeCell ref="B7:B8"/>
    <mergeCell ref="A9:A10"/>
    <mergeCell ref="B9:B10"/>
    <mergeCell ref="A11:A12"/>
    <mergeCell ref="B11:B12"/>
    <mergeCell ref="A1:F1"/>
    <mergeCell ref="A2:F2"/>
    <mergeCell ref="A3:F3"/>
    <mergeCell ref="B4:C4"/>
    <mergeCell ref="A5:A6"/>
    <mergeCell ref="B5:B6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3">
    <tabColor rgb="FF00B0F0"/>
  </sheetPr>
  <dimension ref="A1:AE129"/>
  <sheetViews>
    <sheetView topLeftCell="A130" zoomScaleNormal="100" workbookViewId="0">
      <selection activeCell="A104" sqref="A104:A123"/>
    </sheetView>
  </sheetViews>
  <sheetFormatPr defaultRowHeight="15"/>
  <cols>
    <col min="1" max="1" width="3.42578125" customWidth="1"/>
    <col min="2" max="2" width="8.42578125" customWidth="1"/>
    <col min="3" max="3" width="8.140625" customWidth="1"/>
    <col min="4" max="14" width="6.7109375" customWidth="1"/>
    <col min="15" max="15" width="7.28515625" customWidth="1"/>
    <col min="16" max="16" width="6.7109375" customWidth="1"/>
    <col min="17" max="22" width="7.28515625" bestFit="1" customWidth="1"/>
    <col min="23" max="23" width="6.140625" bestFit="1" customWidth="1"/>
    <col min="24" max="29" width="7.28515625" bestFit="1" customWidth="1"/>
    <col min="30" max="30" width="6.140625" bestFit="1" customWidth="1"/>
    <col min="31" max="31" width="8.28515625" customWidth="1"/>
  </cols>
  <sheetData>
    <row r="1" spans="1:31" ht="21">
      <c r="A1" s="448" t="s">
        <v>158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</row>
    <row r="2" spans="1:31" ht="18.75">
      <c r="A2" s="449" t="s">
        <v>159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</row>
    <row r="3" spans="1:31" ht="20.25">
      <c r="A3" s="446" t="s">
        <v>303</v>
      </c>
      <c r="B3" s="446"/>
      <c r="C3" s="446"/>
      <c r="D3" s="446"/>
      <c r="E3" s="446"/>
      <c r="F3" s="446"/>
      <c r="G3" s="446"/>
      <c r="H3" s="446"/>
      <c r="I3" s="446"/>
      <c r="J3" s="446"/>
      <c r="K3" s="446"/>
      <c r="L3" s="446"/>
      <c r="M3" s="446"/>
      <c r="N3" s="446"/>
      <c r="O3" s="446"/>
      <c r="P3" s="446"/>
      <c r="Q3" s="446"/>
      <c r="R3" s="446"/>
      <c r="S3" s="446"/>
      <c r="T3" s="446"/>
      <c r="U3" s="446"/>
      <c r="V3" s="446"/>
      <c r="W3" s="446"/>
      <c r="X3" s="446"/>
      <c r="Y3" s="446"/>
      <c r="Z3" s="446"/>
      <c r="AA3" s="446"/>
      <c r="AB3" s="446"/>
      <c r="AC3" s="447" t="s">
        <v>302</v>
      </c>
      <c r="AD3" s="447"/>
      <c r="AE3" s="447"/>
    </row>
    <row r="4" spans="1:31" ht="15.75">
      <c r="A4" s="435" t="s">
        <v>160</v>
      </c>
      <c r="B4" s="437" t="s">
        <v>16</v>
      </c>
      <c r="C4" s="438"/>
      <c r="D4" s="441" t="s">
        <v>165</v>
      </c>
      <c r="E4" s="441"/>
      <c r="F4" s="441"/>
      <c r="G4" s="442" t="s">
        <v>166</v>
      </c>
      <c r="H4" s="442"/>
      <c r="I4" s="442"/>
      <c r="J4" s="443" t="s">
        <v>167</v>
      </c>
      <c r="K4" s="444"/>
      <c r="L4" s="444"/>
      <c r="M4" s="444"/>
      <c r="N4" s="444"/>
      <c r="O4" s="444"/>
      <c r="P4" s="445"/>
      <c r="Q4" s="350" t="s">
        <v>171</v>
      </c>
      <c r="R4" s="431"/>
      <c r="S4" s="431"/>
      <c r="T4" s="431"/>
      <c r="U4" s="431"/>
      <c r="V4" s="431"/>
      <c r="W4" s="351"/>
      <c r="X4" s="432" t="s">
        <v>172</v>
      </c>
      <c r="Y4" s="433"/>
      <c r="Z4" s="433"/>
      <c r="AA4" s="433"/>
      <c r="AB4" s="433"/>
      <c r="AC4" s="433"/>
      <c r="AD4" s="434"/>
      <c r="AE4" s="435" t="s">
        <v>88</v>
      </c>
    </row>
    <row r="5" spans="1:31" ht="15.75">
      <c r="A5" s="436"/>
      <c r="B5" s="439"/>
      <c r="C5" s="440"/>
      <c r="D5" s="75" t="s">
        <v>26</v>
      </c>
      <c r="E5" s="75" t="s">
        <v>168</v>
      </c>
      <c r="F5" s="76" t="s">
        <v>31</v>
      </c>
      <c r="G5" s="40" t="s">
        <v>26</v>
      </c>
      <c r="H5" s="40" t="s">
        <v>168</v>
      </c>
      <c r="I5" s="47" t="s">
        <v>31</v>
      </c>
      <c r="J5" s="75" t="s">
        <v>26</v>
      </c>
      <c r="K5" s="75" t="s">
        <v>168</v>
      </c>
      <c r="L5" s="76" t="s">
        <v>31</v>
      </c>
      <c r="M5" s="77" t="s">
        <v>169</v>
      </c>
      <c r="N5" s="77" t="s">
        <v>32</v>
      </c>
      <c r="O5" s="76" t="s">
        <v>170</v>
      </c>
      <c r="P5" s="76" t="s">
        <v>49</v>
      </c>
      <c r="Q5" s="41" t="s">
        <v>26</v>
      </c>
      <c r="R5" s="41" t="s">
        <v>168</v>
      </c>
      <c r="S5" s="48" t="s">
        <v>31</v>
      </c>
      <c r="T5" s="48" t="s">
        <v>169</v>
      </c>
      <c r="U5" s="48" t="s">
        <v>32</v>
      </c>
      <c r="V5" s="48" t="s">
        <v>170</v>
      </c>
      <c r="W5" s="48" t="s">
        <v>49</v>
      </c>
      <c r="X5" s="79" t="s">
        <v>26</v>
      </c>
      <c r="Y5" s="79" t="s">
        <v>168</v>
      </c>
      <c r="Z5" s="80" t="s">
        <v>31</v>
      </c>
      <c r="AA5" s="80" t="s">
        <v>169</v>
      </c>
      <c r="AB5" s="80" t="s">
        <v>32</v>
      </c>
      <c r="AC5" s="80" t="s">
        <v>170</v>
      </c>
      <c r="AD5" s="80" t="s">
        <v>49</v>
      </c>
      <c r="AE5" s="436"/>
    </row>
    <row r="6" spans="1:31" ht="15.75">
      <c r="A6" s="425">
        <v>1</v>
      </c>
      <c r="B6" s="427" t="s">
        <v>57</v>
      </c>
      <c r="C6" s="46" t="s">
        <v>24</v>
      </c>
      <c r="D6" s="77">
        <v>4745</v>
      </c>
      <c r="E6" s="77">
        <v>4745</v>
      </c>
      <c r="F6" s="77">
        <v>4745</v>
      </c>
      <c r="G6" s="46">
        <v>4822</v>
      </c>
      <c r="H6" s="46">
        <v>4822</v>
      </c>
      <c r="I6" s="46">
        <v>4822</v>
      </c>
      <c r="J6" s="77">
        <v>5025</v>
      </c>
      <c r="K6" s="77">
        <v>5025</v>
      </c>
      <c r="L6" s="77">
        <v>5025</v>
      </c>
      <c r="M6" s="77">
        <v>5025</v>
      </c>
      <c r="N6" s="77">
        <v>5025</v>
      </c>
      <c r="O6" s="77">
        <v>4288</v>
      </c>
      <c r="P6" s="77">
        <v>721</v>
      </c>
      <c r="Q6" s="46">
        <v>4696</v>
      </c>
      <c r="R6" s="46">
        <v>4696</v>
      </c>
      <c r="S6" s="46">
        <v>4696</v>
      </c>
      <c r="T6" s="46">
        <v>4696</v>
      </c>
      <c r="U6" s="46">
        <v>4696</v>
      </c>
      <c r="V6" s="7">
        <v>3977</v>
      </c>
      <c r="W6" s="7">
        <v>708</v>
      </c>
      <c r="X6" s="81">
        <v>4389</v>
      </c>
      <c r="Y6" s="81">
        <v>4389</v>
      </c>
      <c r="Z6" s="81">
        <v>4389</v>
      </c>
      <c r="AA6" s="81">
        <v>4389</v>
      </c>
      <c r="AB6" s="81">
        <v>4389</v>
      </c>
      <c r="AC6" s="81">
        <v>3733</v>
      </c>
      <c r="AD6" s="81">
        <v>644</v>
      </c>
      <c r="AE6" s="7">
        <f>SUM(D6:AD6)</f>
        <v>113322</v>
      </c>
    </row>
    <row r="7" spans="1:31" ht="15.75">
      <c r="A7" s="425"/>
      <c r="B7" s="427"/>
      <c r="C7" s="46" t="s">
        <v>25</v>
      </c>
      <c r="D7" s="77"/>
      <c r="E7" s="77"/>
      <c r="F7" s="77"/>
      <c r="G7" s="46"/>
      <c r="H7" s="46"/>
      <c r="I7" s="46"/>
      <c r="J7" s="77"/>
      <c r="K7" s="77"/>
      <c r="L7" s="77"/>
      <c r="M7" s="77"/>
      <c r="N7" s="77"/>
      <c r="O7" s="77"/>
      <c r="P7" s="77"/>
      <c r="Q7" s="46"/>
      <c r="R7" s="7"/>
      <c r="S7" s="7"/>
      <c r="T7" s="7"/>
      <c r="U7" s="7"/>
      <c r="V7" s="7"/>
      <c r="W7" s="7"/>
      <c r="X7" s="81"/>
      <c r="Y7" s="81"/>
      <c r="Z7" s="81"/>
      <c r="AA7" s="81"/>
      <c r="AB7" s="81"/>
      <c r="AC7" s="81"/>
      <c r="AD7" s="81"/>
      <c r="AE7" s="7">
        <f t="shared" ref="AE7:AE26" si="0">SUM(D7:AD7)</f>
        <v>0</v>
      </c>
    </row>
    <row r="8" spans="1:31" s="43" customFormat="1" ht="15.75">
      <c r="A8" s="425">
        <v>2</v>
      </c>
      <c r="B8" s="425" t="s">
        <v>304</v>
      </c>
      <c r="C8" s="46" t="s">
        <v>24</v>
      </c>
      <c r="D8" s="77">
        <v>2687</v>
      </c>
      <c r="E8" s="77">
        <v>2687</v>
      </c>
      <c r="F8" s="77">
        <v>2687</v>
      </c>
      <c r="G8" s="46">
        <v>2677</v>
      </c>
      <c r="H8" s="46">
        <v>2677</v>
      </c>
      <c r="I8" s="46">
        <v>2677</v>
      </c>
      <c r="J8" s="77">
        <v>2604</v>
      </c>
      <c r="K8" s="77">
        <v>2604</v>
      </c>
      <c r="L8" s="77">
        <v>2604</v>
      </c>
      <c r="M8" s="77">
        <v>2604</v>
      </c>
      <c r="N8" s="77">
        <v>2604</v>
      </c>
      <c r="O8" s="77">
        <v>2372</v>
      </c>
      <c r="P8" s="77">
        <v>232</v>
      </c>
      <c r="Q8" s="46">
        <v>2523</v>
      </c>
      <c r="R8" s="46">
        <v>2523</v>
      </c>
      <c r="S8" s="46">
        <v>2523</v>
      </c>
      <c r="T8" s="46">
        <v>2523</v>
      </c>
      <c r="U8" s="46">
        <v>2523</v>
      </c>
      <c r="V8" s="7">
        <v>2338</v>
      </c>
      <c r="W8" s="7">
        <v>185</v>
      </c>
      <c r="X8" s="81">
        <v>2263</v>
      </c>
      <c r="Y8" s="81">
        <v>2263</v>
      </c>
      <c r="Z8" s="81">
        <v>2263</v>
      </c>
      <c r="AA8" s="81">
        <v>2263</v>
      </c>
      <c r="AB8" s="81">
        <v>2263</v>
      </c>
      <c r="AC8" s="81">
        <v>2021</v>
      </c>
      <c r="AD8" s="81">
        <v>242</v>
      </c>
      <c r="AE8" s="7">
        <f t="shared" si="0"/>
        <v>60432</v>
      </c>
    </row>
    <row r="9" spans="1:31" s="43" customFormat="1" ht="15.75">
      <c r="A9" s="425"/>
      <c r="B9" s="425"/>
      <c r="C9" s="46" t="s">
        <v>25</v>
      </c>
      <c r="D9" s="77"/>
      <c r="E9" s="77"/>
      <c r="F9" s="77"/>
      <c r="G9" s="46"/>
      <c r="H9" s="46"/>
      <c r="I9" s="46"/>
      <c r="J9" s="77"/>
      <c r="K9" s="77"/>
      <c r="L9" s="77"/>
      <c r="M9" s="77"/>
      <c r="N9" s="77"/>
      <c r="O9" s="77"/>
      <c r="P9" s="77"/>
      <c r="Q9" s="46"/>
      <c r="R9" s="7"/>
      <c r="S9" s="7"/>
      <c r="T9" s="7"/>
      <c r="U9" s="7"/>
      <c r="V9" s="7"/>
      <c r="W9" s="7"/>
      <c r="X9" s="81"/>
      <c r="Y9" s="81"/>
      <c r="Z9" s="81"/>
      <c r="AA9" s="81"/>
      <c r="AB9" s="81"/>
      <c r="AC9" s="81"/>
      <c r="AD9" s="81"/>
      <c r="AE9" s="7">
        <f t="shared" si="0"/>
        <v>0</v>
      </c>
    </row>
    <row r="10" spans="1:31" s="43" customFormat="1" ht="15.75">
      <c r="A10" s="425">
        <v>3</v>
      </c>
      <c r="B10" s="429" t="s">
        <v>305</v>
      </c>
      <c r="C10" s="46" t="s">
        <v>24</v>
      </c>
      <c r="D10" s="77">
        <v>10660</v>
      </c>
      <c r="E10" s="77">
        <v>10660</v>
      </c>
      <c r="F10" s="77">
        <v>10660</v>
      </c>
      <c r="G10" s="46">
        <v>10627</v>
      </c>
      <c r="H10" s="57">
        <v>10627</v>
      </c>
      <c r="I10" s="57">
        <v>10627</v>
      </c>
      <c r="J10" s="77">
        <v>10222</v>
      </c>
      <c r="K10" s="77">
        <v>10222</v>
      </c>
      <c r="L10" s="77">
        <v>10222</v>
      </c>
      <c r="M10" s="77">
        <v>10222</v>
      </c>
      <c r="N10" s="77">
        <v>10222</v>
      </c>
      <c r="O10" s="77">
        <v>9169</v>
      </c>
      <c r="P10" s="77">
        <v>1051</v>
      </c>
      <c r="Q10" s="46">
        <v>9348</v>
      </c>
      <c r="R10" s="57">
        <v>9348</v>
      </c>
      <c r="S10" s="57">
        <v>9348</v>
      </c>
      <c r="T10" s="57">
        <v>9348</v>
      </c>
      <c r="U10" s="57">
        <v>9348</v>
      </c>
      <c r="V10" s="7">
        <v>8429</v>
      </c>
      <c r="W10" s="7">
        <v>919</v>
      </c>
      <c r="X10" s="81">
        <v>8157</v>
      </c>
      <c r="Y10" s="81">
        <v>8157</v>
      </c>
      <c r="Z10" s="81">
        <v>8157</v>
      </c>
      <c r="AA10" s="81">
        <v>8157</v>
      </c>
      <c r="AB10" s="81">
        <v>8157</v>
      </c>
      <c r="AC10" s="81">
        <v>7375</v>
      </c>
      <c r="AD10" s="81">
        <v>782</v>
      </c>
      <c r="AE10" s="7">
        <f t="shared" si="0"/>
        <v>230221</v>
      </c>
    </row>
    <row r="11" spans="1:31" s="43" customFormat="1" ht="15.75">
      <c r="A11" s="425"/>
      <c r="B11" s="426"/>
      <c r="C11" s="46" t="s">
        <v>25</v>
      </c>
      <c r="D11" s="77"/>
      <c r="E11" s="77"/>
      <c r="F11" s="77"/>
      <c r="G11" s="46"/>
      <c r="H11" s="46"/>
      <c r="I11" s="46"/>
      <c r="J11" s="77"/>
      <c r="K11" s="77"/>
      <c r="L11" s="77"/>
      <c r="M11" s="77"/>
      <c r="N11" s="77"/>
      <c r="O11" s="77"/>
      <c r="P11" s="77"/>
      <c r="Q11" s="46"/>
      <c r="R11" s="7"/>
      <c r="S11" s="7"/>
      <c r="T11" s="7"/>
      <c r="U11" s="7"/>
      <c r="V11" s="7"/>
      <c r="W11" s="7"/>
      <c r="X11" s="81"/>
      <c r="Y11" s="81"/>
      <c r="Z11" s="81"/>
      <c r="AA11" s="81"/>
      <c r="AB11" s="81"/>
      <c r="AC11" s="81"/>
      <c r="AD11" s="81"/>
      <c r="AE11" s="7">
        <f t="shared" si="0"/>
        <v>0</v>
      </c>
    </row>
    <row r="12" spans="1:31" s="43" customFormat="1" ht="15.75">
      <c r="A12" s="425">
        <v>4</v>
      </c>
      <c r="B12" s="425" t="s">
        <v>59</v>
      </c>
      <c r="C12" s="46" t="s">
        <v>24</v>
      </c>
      <c r="D12" s="77">
        <v>6772</v>
      </c>
      <c r="E12" s="77">
        <v>6772</v>
      </c>
      <c r="F12" s="77">
        <v>6772</v>
      </c>
      <c r="G12" s="46">
        <v>6554</v>
      </c>
      <c r="H12" s="127">
        <v>6554</v>
      </c>
      <c r="I12" s="127">
        <v>6554</v>
      </c>
      <c r="J12" s="77">
        <v>6522</v>
      </c>
      <c r="K12" s="77">
        <v>6522</v>
      </c>
      <c r="L12" s="77">
        <v>6522</v>
      </c>
      <c r="M12" s="77">
        <v>6522</v>
      </c>
      <c r="N12" s="77">
        <v>6522</v>
      </c>
      <c r="O12" s="77">
        <v>6305</v>
      </c>
      <c r="P12" s="77">
        <v>217</v>
      </c>
      <c r="Q12" s="46">
        <v>6144</v>
      </c>
      <c r="R12" s="127">
        <v>6144</v>
      </c>
      <c r="S12" s="127">
        <v>6144</v>
      </c>
      <c r="T12" s="127">
        <v>6144</v>
      </c>
      <c r="U12" s="127">
        <v>6144</v>
      </c>
      <c r="V12" s="7">
        <v>5952</v>
      </c>
      <c r="W12" s="7">
        <v>192</v>
      </c>
      <c r="X12" s="81">
        <v>5386</v>
      </c>
      <c r="Y12" s="81">
        <v>5386</v>
      </c>
      <c r="Z12" s="81">
        <v>5386</v>
      </c>
      <c r="AA12" s="81">
        <v>5386</v>
      </c>
      <c r="AB12" s="81">
        <v>5386</v>
      </c>
      <c r="AC12" s="81">
        <v>5232</v>
      </c>
      <c r="AD12" s="81">
        <v>153</v>
      </c>
      <c r="AE12" s="7">
        <f t="shared" si="0"/>
        <v>148289</v>
      </c>
    </row>
    <row r="13" spans="1:31" s="43" customFormat="1" ht="15.75">
      <c r="A13" s="425"/>
      <c r="B13" s="425"/>
      <c r="C13" s="46" t="s">
        <v>25</v>
      </c>
      <c r="D13" s="77"/>
      <c r="E13" s="77"/>
      <c r="F13" s="77"/>
      <c r="G13" s="46"/>
      <c r="H13" s="46"/>
      <c r="I13" s="46"/>
      <c r="J13" s="77"/>
      <c r="K13" s="77"/>
      <c r="L13" s="77"/>
      <c r="M13" s="77"/>
      <c r="N13" s="77"/>
      <c r="O13" s="77"/>
      <c r="P13" s="77"/>
      <c r="Q13" s="46"/>
      <c r="R13" s="7"/>
      <c r="S13" s="7"/>
      <c r="T13" s="7"/>
      <c r="U13" s="7"/>
      <c r="V13" s="7"/>
      <c r="W13" s="7"/>
      <c r="X13" s="81"/>
      <c r="Y13" s="81"/>
      <c r="Z13" s="81"/>
      <c r="AA13" s="81"/>
      <c r="AB13" s="81"/>
      <c r="AC13" s="81"/>
      <c r="AD13" s="81"/>
      <c r="AE13" s="7">
        <f t="shared" si="0"/>
        <v>0</v>
      </c>
    </row>
    <row r="14" spans="1:31" s="43" customFormat="1" ht="15.75">
      <c r="A14" s="425">
        <v>5</v>
      </c>
      <c r="B14" s="425" t="s">
        <v>58</v>
      </c>
      <c r="C14" s="46" t="s">
        <v>24</v>
      </c>
      <c r="D14" s="77">
        <v>9082</v>
      </c>
      <c r="E14" s="77">
        <v>9082</v>
      </c>
      <c r="F14" s="77">
        <v>9082</v>
      </c>
      <c r="G14" s="46">
        <v>9084</v>
      </c>
      <c r="H14" s="127">
        <v>9084</v>
      </c>
      <c r="I14" s="127">
        <v>9084</v>
      </c>
      <c r="J14" s="77">
        <v>8750</v>
      </c>
      <c r="K14" s="77">
        <v>8750</v>
      </c>
      <c r="L14" s="77">
        <v>8750</v>
      </c>
      <c r="M14" s="77">
        <v>8750</v>
      </c>
      <c r="N14" s="77">
        <v>8750</v>
      </c>
      <c r="O14" s="77">
        <v>8054</v>
      </c>
      <c r="P14" s="77">
        <v>696</v>
      </c>
      <c r="Q14" s="46">
        <v>8192</v>
      </c>
      <c r="R14" s="127">
        <v>8192</v>
      </c>
      <c r="S14" s="127">
        <v>8192</v>
      </c>
      <c r="T14" s="127">
        <v>8192</v>
      </c>
      <c r="U14" s="127">
        <v>8192</v>
      </c>
      <c r="V14" s="7">
        <v>7504</v>
      </c>
      <c r="W14" s="7">
        <v>688</v>
      </c>
      <c r="X14" s="81">
        <v>7391</v>
      </c>
      <c r="Y14" s="81">
        <v>7391</v>
      </c>
      <c r="Z14" s="81">
        <v>7391</v>
      </c>
      <c r="AA14" s="81">
        <v>7391</v>
      </c>
      <c r="AB14" s="81">
        <v>7391</v>
      </c>
      <c r="AC14" s="81">
        <v>6824</v>
      </c>
      <c r="AD14" s="81">
        <v>567</v>
      </c>
      <c r="AE14" s="7">
        <f t="shared" si="0"/>
        <v>200496</v>
      </c>
    </row>
    <row r="15" spans="1:31" s="43" customFormat="1" ht="15.75">
      <c r="A15" s="425"/>
      <c r="B15" s="425"/>
      <c r="C15" s="46" t="s">
        <v>25</v>
      </c>
      <c r="D15" s="77"/>
      <c r="E15" s="77"/>
      <c r="F15" s="77"/>
      <c r="G15" s="46"/>
      <c r="H15" s="46"/>
      <c r="I15" s="46"/>
      <c r="J15" s="77"/>
      <c r="K15" s="77"/>
      <c r="L15" s="77"/>
      <c r="M15" s="77"/>
      <c r="N15" s="77"/>
      <c r="O15" s="77"/>
      <c r="P15" s="77"/>
      <c r="Q15" s="46"/>
      <c r="R15" s="7"/>
      <c r="S15" s="7"/>
      <c r="T15" s="7"/>
      <c r="U15" s="7"/>
      <c r="V15" s="7"/>
      <c r="W15" s="7"/>
      <c r="X15" s="81"/>
      <c r="Y15" s="81"/>
      <c r="Z15" s="81"/>
      <c r="AA15" s="81"/>
      <c r="AB15" s="81"/>
      <c r="AC15" s="81"/>
      <c r="AD15" s="81"/>
      <c r="AE15" s="7">
        <f t="shared" si="0"/>
        <v>0</v>
      </c>
    </row>
    <row r="16" spans="1:31" ht="15.75">
      <c r="A16" s="425">
        <v>6</v>
      </c>
      <c r="B16" s="425" t="s">
        <v>108</v>
      </c>
      <c r="C16" s="46" t="s">
        <v>24</v>
      </c>
      <c r="D16" s="77">
        <v>3464</v>
      </c>
      <c r="E16" s="77">
        <v>3464</v>
      </c>
      <c r="F16" s="77">
        <v>3464</v>
      </c>
      <c r="G16" s="46">
        <v>3588</v>
      </c>
      <c r="H16" s="127">
        <v>3588</v>
      </c>
      <c r="I16" s="127">
        <v>3588</v>
      </c>
      <c r="J16" s="77">
        <v>3477</v>
      </c>
      <c r="K16" s="77">
        <v>3477</v>
      </c>
      <c r="L16" s="77">
        <v>3477</v>
      </c>
      <c r="M16" s="77">
        <v>3477</v>
      </c>
      <c r="N16" s="77">
        <v>3477</v>
      </c>
      <c r="O16" s="77">
        <v>3337</v>
      </c>
      <c r="P16" s="77">
        <v>140</v>
      </c>
      <c r="Q16" s="46">
        <v>3471</v>
      </c>
      <c r="R16" s="127">
        <v>3471</v>
      </c>
      <c r="S16" s="127">
        <v>3471</v>
      </c>
      <c r="T16" s="127">
        <v>3471</v>
      </c>
      <c r="U16" s="127">
        <v>3471</v>
      </c>
      <c r="V16" s="7">
        <v>3337</v>
      </c>
      <c r="W16" s="7">
        <v>134</v>
      </c>
      <c r="X16" s="81">
        <v>3166</v>
      </c>
      <c r="Y16" s="81">
        <v>3166</v>
      </c>
      <c r="Z16" s="81">
        <v>3166</v>
      </c>
      <c r="AA16" s="81">
        <v>3166</v>
      </c>
      <c r="AB16" s="81">
        <v>3166</v>
      </c>
      <c r="AC16" s="81">
        <v>3035</v>
      </c>
      <c r="AD16" s="81">
        <v>131</v>
      </c>
      <c r="AE16" s="7">
        <f t="shared" si="0"/>
        <v>81840</v>
      </c>
    </row>
    <row r="17" spans="1:31" ht="15.75">
      <c r="A17" s="425"/>
      <c r="B17" s="425"/>
      <c r="C17" s="46" t="s">
        <v>25</v>
      </c>
      <c r="D17" s="77"/>
      <c r="E17" s="77"/>
      <c r="F17" s="77"/>
      <c r="G17" s="46"/>
      <c r="H17" s="46"/>
      <c r="I17" s="46"/>
      <c r="J17" s="77"/>
      <c r="K17" s="77"/>
      <c r="L17" s="77"/>
      <c r="M17" s="77"/>
      <c r="N17" s="77"/>
      <c r="O17" s="77"/>
      <c r="P17" s="77"/>
      <c r="Q17" s="46"/>
      <c r="R17" s="7"/>
      <c r="S17" s="7"/>
      <c r="T17" s="7"/>
      <c r="U17" s="7"/>
      <c r="V17" s="7"/>
      <c r="W17" s="7"/>
      <c r="X17" s="81"/>
      <c r="Y17" s="81"/>
      <c r="Z17" s="81"/>
      <c r="AA17" s="81"/>
      <c r="AB17" s="81"/>
      <c r="AC17" s="81"/>
      <c r="AD17" s="81"/>
      <c r="AE17" s="7">
        <f t="shared" si="0"/>
        <v>0</v>
      </c>
    </row>
    <row r="18" spans="1:31" ht="15.75">
      <c r="A18" s="425">
        <v>7</v>
      </c>
      <c r="B18" s="427" t="s">
        <v>219</v>
      </c>
      <c r="C18" s="46" t="s">
        <v>24</v>
      </c>
      <c r="D18" s="77">
        <v>2</v>
      </c>
      <c r="E18" s="77">
        <v>2</v>
      </c>
      <c r="F18" s="77">
        <v>2</v>
      </c>
      <c r="G18" s="46">
        <v>2</v>
      </c>
      <c r="H18" s="127">
        <v>2</v>
      </c>
      <c r="I18" s="127">
        <v>2</v>
      </c>
      <c r="J18" s="77">
        <v>2</v>
      </c>
      <c r="K18" s="77">
        <v>2</v>
      </c>
      <c r="L18" s="77">
        <v>2</v>
      </c>
      <c r="M18" s="77">
        <v>2</v>
      </c>
      <c r="N18" s="77">
        <v>2</v>
      </c>
      <c r="O18" s="77">
        <v>2</v>
      </c>
      <c r="P18" s="77">
        <v>2</v>
      </c>
      <c r="Q18" s="46">
        <v>2</v>
      </c>
      <c r="R18" s="127">
        <v>2</v>
      </c>
      <c r="S18" s="127">
        <v>2</v>
      </c>
      <c r="T18" s="127">
        <v>2</v>
      </c>
      <c r="U18" s="127">
        <v>2</v>
      </c>
      <c r="V18" s="127">
        <v>2</v>
      </c>
      <c r="W18" s="127">
        <v>2</v>
      </c>
      <c r="X18" s="81">
        <v>2</v>
      </c>
      <c r="Y18" s="81">
        <v>2</v>
      </c>
      <c r="Z18" s="81">
        <v>2</v>
      </c>
      <c r="AA18" s="81">
        <v>2</v>
      </c>
      <c r="AB18" s="81">
        <v>2</v>
      </c>
      <c r="AC18" s="81">
        <v>2</v>
      </c>
      <c r="AD18" s="81">
        <v>2</v>
      </c>
      <c r="AE18" s="7">
        <f t="shared" si="0"/>
        <v>54</v>
      </c>
    </row>
    <row r="19" spans="1:31" ht="15.75">
      <c r="A19" s="425"/>
      <c r="B19" s="427"/>
      <c r="C19" s="46" t="s">
        <v>25</v>
      </c>
      <c r="D19" s="77"/>
      <c r="E19" s="77"/>
      <c r="F19" s="77"/>
      <c r="G19" s="46"/>
      <c r="H19" s="46"/>
      <c r="I19" s="46"/>
      <c r="J19" s="77"/>
      <c r="K19" s="77"/>
      <c r="L19" s="77"/>
      <c r="M19" s="77"/>
      <c r="N19" s="77"/>
      <c r="O19" s="77"/>
      <c r="P19" s="77"/>
      <c r="Q19" s="46"/>
      <c r="R19" s="7"/>
      <c r="S19" s="7"/>
      <c r="T19" s="7"/>
      <c r="U19" s="7"/>
      <c r="V19" s="7"/>
      <c r="W19" s="7"/>
      <c r="X19" s="81"/>
      <c r="Y19" s="81"/>
      <c r="Z19" s="81"/>
      <c r="AA19" s="81"/>
      <c r="AB19" s="81"/>
      <c r="AC19" s="81"/>
      <c r="AD19" s="81"/>
      <c r="AE19" s="7">
        <f t="shared" si="0"/>
        <v>0</v>
      </c>
    </row>
    <row r="20" spans="1:31" ht="15.75">
      <c r="A20" s="425">
        <v>8</v>
      </c>
      <c r="B20" s="427" t="s">
        <v>220</v>
      </c>
      <c r="C20" s="46" t="s">
        <v>24</v>
      </c>
      <c r="D20" s="77">
        <v>2</v>
      </c>
      <c r="E20" s="77">
        <v>2</v>
      </c>
      <c r="F20" s="77">
        <v>2</v>
      </c>
      <c r="G20" s="127">
        <v>2</v>
      </c>
      <c r="H20" s="127">
        <v>2</v>
      </c>
      <c r="I20" s="127">
        <v>2</v>
      </c>
      <c r="J20" s="77">
        <v>2</v>
      </c>
      <c r="K20" s="77">
        <v>2</v>
      </c>
      <c r="L20" s="77">
        <v>2</v>
      </c>
      <c r="M20" s="77">
        <v>2</v>
      </c>
      <c r="N20" s="77">
        <v>2</v>
      </c>
      <c r="O20" s="77">
        <v>2</v>
      </c>
      <c r="P20" s="77">
        <v>2</v>
      </c>
      <c r="Q20" s="127">
        <v>2</v>
      </c>
      <c r="R20" s="127">
        <v>2</v>
      </c>
      <c r="S20" s="127">
        <v>2</v>
      </c>
      <c r="T20" s="127">
        <v>2</v>
      </c>
      <c r="U20" s="127">
        <v>2</v>
      </c>
      <c r="V20" s="127">
        <v>2</v>
      </c>
      <c r="W20" s="127">
        <v>2</v>
      </c>
      <c r="X20" s="81">
        <v>2</v>
      </c>
      <c r="Y20" s="81">
        <v>2</v>
      </c>
      <c r="Z20" s="81">
        <v>2</v>
      </c>
      <c r="AA20" s="81">
        <v>2</v>
      </c>
      <c r="AB20" s="81">
        <v>2</v>
      </c>
      <c r="AC20" s="81">
        <v>2</v>
      </c>
      <c r="AD20" s="81">
        <v>2</v>
      </c>
      <c r="AE20" s="7">
        <f t="shared" si="0"/>
        <v>54</v>
      </c>
    </row>
    <row r="21" spans="1:31" ht="15.75">
      <c r="A21" s="425"/>
      <c r="B21" s="427"/>
      <c r="C21" s="46" t="s">
        <v>25</v>
      </c>
      <c r="D21" s="77"/>
      <c r="E21" s="77"/>
      <c r="F21" s="77"/>
      <c r="G21" s="46"/>
      <c r="H21" s="46"/>
      <c r="I21" s="46"/>
      <c r="J21" s="77"/>
      <c r="K21" s="77"/>
      <c r="L21" s="77"/>
      <c r="M21" s="77"/>
      <c r="N21" s="77"/>
      <c r="O21" s="77"/>
      <c r="P21" s="77"/>
      <c r="Q21" s="46"/>
      <c r="R21" s="7"/>
      <c r="S21" s="7"/>
      <c r="T21" s="7"/>
      <c r="U21" s="7"/>
      <c r="V21" s="7"/>
      <c r="W21" s="7"/>
      <c r="X21" s="81"/>
      <c r="Y21" s="81"/>
      <c r="Z21" s="81"/>
      <c r="AA21" s="81"/>
      <c r="AB21" s="81"/>
      <c r="AC21" s="81"/>
      <c r="AD21" s="81"/>
      <c r="AE21" s="7">
        <f t="shared" si="0"/>
        <v>0</v>
      </c>
    </row>
    <row r="22" spans="1:31" ht="15.75">
      <c r="A22" s="425">
        <v>9</v>
      </c>
      <c r="B22" s="427" t="s">
        <v>306</v>
      </c>
      <c r="C22" s="46" t="s">
        <v>24</v>
      </c>
      <c r="D22" s="77">
        <v>6</v>
      </c>
      <c r="E22" s="77">
        <v>6</v>
      </c>
      <c r="F22" s="77">
        <v>6</v>
      </c>
      <c r="G22" s="46">
        <v>6</v>
      </c>
      <c r="H22" s="127">
        <v>6</v>
      </c>
      <c r="I22" s="127">
        <v>6</v>
      </c>
      <c r="J22" s="77">
        <v>6</v>
      </c>
      <c r="K22" s="77">
        <v>6</v>
      </c>
      <c r="L22" s="77">
        <v>6</v>
      </c>
      <c r="M22" s="77">
        <v>6</v>
      </c>
      <c r="N22" s="77">
        <v>6</v>
      </c>
      <c r="O22" s="77">
        <v>6</v>
      </c>
      <c r="P22" s="77">
        <v>6</v>
      </c>
      <c r="Q22" s="46">
        <v>6</v>
      </c>
      <c r="R22" s="127">
        <v>6</v>
      </c>
      <c r="S22" s="127">
        <v>6</v>
      </c>
      <c r="T22" s="127">
        <v>6</v>
      </c>
      <c r="U22" s="127">
        <v>6</v>
      </c>
      <c r="V22" s="127">
        <v>6</v>
      </c>
      <c r="W22" s="127">
        <v>6</v>
      </c>
      <c r="X22" s="81">
        <v>6</v>
      </c>
      <c r="Y22" s="81">
        <v>6</v>
      </c>
      <c r="Z22" s="81">
        <v>6</v>
      </c>
      <c r="AA22" s="81">
        <v>6</v>
      </c>
      <c r="AB22" s="81">
        <v>6</v>
      </c>
      <c r="AC22" s="81">
        <v>6</v>
      </c>
      <c r="AD22" s="81">
        <v>6</v>
      </c>
      <c r="AE22" s="7">
        <f t="shared" si="0"/>
        <v>162</v>
      </c>
    </row>
    <row r="23" spans="1:31" ht="15.75">
      <c r="A23" s="425"/>
      <c r="B23" s="427"/>
      <c r="C23" s="46" t="s">
        <v>25</v>
      </c>
      <c r="D23" s="77"/>
      <c r="E23" s="77"/>
      <c r="F23" s="77"/>
      <c r="G23" s="46"/>
      <c r="H23" s="46"/>
      <c r="I23" s="46"/>
      <c r="J23" s="77"/>
      <c r="K23" s="77"/>
      <c r="L23" s="77"/>
      <c r="M23" s="77"/>
      <c r="N23" s="77"/>
      <c r="O23" s="77"/>
      <c r="P23" s="77"/>
      <c r="Q23" s="46"/>
      <c r="R23" s="7"/>
      <c r="S23" s="7"/>
      <c r="T23" s="7"/>
      <c r="U23" s="7"/>
      <c r="V23" s="7"/>
      <c r="W23" s="7"/>
      <c r="X23" s="81"/>
      <c r="Y23" s="81"/>
      <c r="Z23" s="81"/>
      <c r="AA23" s="81"/>
      <c r="AB23" s="81"/>
      <c r="AC23" s="81"/>
      <c r="AD23" s="81"/>
      <c r="AE23" s="7">
        <f t="shared" si="0"/>
        <v>0</v>
      </c>
    </row>
    <row r="24" spans="1:31" ht="15.75">
      <c r="A24" s="425" t="s">
        <v>163</v>
      </c>
      <c r="B24" s="425"/>
      <c r="C24" s="425"/>
      <c r="D24" s="77">
        <f>D6+D8+D10+D12+D14+D16+D18+D20+D22</f>
        <v>37420</v>
      </c>
      <c r="E24" s="77">
        <f t="shared" ref="E24:AD24" si="1">E6+E8+E10+E12+E14+E16+E18+E20+E22</f>
        <v>37420</v>
      </c>
      <c r="F24" s="77">
        <f t="shared" si="1"/>
        <v>37420</v>
      </c>
      <c r="G24" s="77">
        <f t="shared" si="1"/>
        <v>37362</v>
      </c>
      <c r="H24" s="77">
        <f t="shared" si="1"/>
        <v>37362</v>
      </c>
      <c r="I24" s="77">
        <f t="shared" si="1"/>
        <v>37362</v>
      </c>
      <c r="J24" s="77">
        <f t="shared" si="1"/>
        <v>36610</v>
      </c>
      <c r="K24" s="77">
        <f t="shared" si="1"/>
        <v>36610</v>
      </c>
      <c r="L24" s="77">
        <f t="shared" si="1"/>
        <v>36610</v>
      </c>
      <c r="M24" s="77">
        <f t="shared" si="1"/>
        <v>36610</v>
      </c>
      <c r="N24" s="77">
        <f t="shared" si="1"/>
        <v>36610</v>
      </c>
      <c r="O24" s="77">
        <f t="shared" si="1"/>
        <v>33535</v>
      </c>
      <c r="P24" s="77">
        <f t="shared" si="1"/>
        <v>3067</v>
      </c>
      <c r="Q24" s="77">
        <f t="shared" si="1"/>
        <v>34384</v>
      </c>
      <c r="R24" s="77">
        <f t="shared" si="1"/>
        <v>34384</v>
      </c>
      <c r="S24" s="77">
        <f t="shared" si="1"/>
        <v>34384</v>
      </c>
      <c r="T24" s="77">
        <f t="shared" si="1"/>
        <v>34384</v>
      </c>
      <c r="U24" s="77">
        <f t="shared" si="1"/>
        <v>34384</v>
      </c>
      <c r="V24" s="77">
        <f t="shared" si="1"/>
        <v>31547</v>
      </c>
      <c r="W24" s="77">
        <f t="shared" si="1"/>
        <v>2836</v>
      </c>
      <c r="X24" s="77">
        <f t="shared" si="1"/>
        <v>30762</v>
      </c>
      <c r="Y24" s="77">
        <f t="shared" si="1"/>
        <v>30762</v>
      </c>
      <c r="Z24" s="77">
        <f t="shared" si="1"/>
        <v>30762</v>
      </c>
      <c r="AA24" s="77">
        <f t="shared" si="1"/>
        <v>30762</v>
      </c>
      <c r="AB24" s="77">
        <f t="shared" si="1"/>
        <v>30762</v>
      </c>
      <c r="AC24" s="77">
        <f t="shared" si="1"/>
        <v>28230</v>
      </c>
      <c r="AD24" s="77">
        <f t="shared" si="1"/>
        <v>2529</v>
      </c>
      <c r="AE24" s="7">
        <f t="shared" si="0"/>
        <v>834870</v>
      </c>
    </row>
    <row r="25" spans="1:31" ht="15.75">
      <c r="A25" s="425" t="s">
        <v>164</v>
      </c>
      <c r="B25" s="425"/>
      <c r="C25" s="425"/>
      <c r="D25" s="77">
        <f>D7+D9+D11+D13+D15+D17+D19+D21+D23</f>
        <v>0</v>
      </c>
      <c r="E25" s="77">
        <f t="shared" ref="E25:AD25" si="2">E7+E9+E11+E13+E15+E17+E19+E21+E23</f>
        <v>0</v>
      </c>
      <c r="F25" s="77">
        <f t="shared" si="2"/>
        <v>0</v>
      </c>
      <c r="G25" s="77">
        <f t="shared" si="2"/>
        <v>0</v>
      </c>
      <c r="H25" s="77">
        <f t="shared" si="2"/>
        <v>0</v>
      </c>
      <c r="I25" s="77">
        <f t="shared" si="2"/>
        <v>0</v>
      </c>
      <c r="J25" s="77">
        <f t="shared" si="2"/>
        <v>0</v>
      </c>
      <c r="K25" s="77">
        <f t="shared" si="2"/>
        <v>0</v>
      </c>
      <c r="L25" s="77">
        <f t="shared" si="2"/>
        <v>0</v>
      </c>
      <c r="M25" s="77">
        <f t="shared" si="2"/>
        <v>0</v>
      </c>
      <c r="N25" s="77">
        <f t="shared" si="2"/>
        <v>0</v>
      </c>
      <c r="O25" s="77">
        <f t="shared" si="2"/>
        <v>0</v>
      </c>
      <c r="P25" s="77">
        <f t="shared" si="2"/>
        <v>0</v>
      </c>
      <c r="Q25" s="77">
        <f t="shared" si="2"/>
        <v>0</v>
      </c>
      <c r="R25" s="77">
        <f t="shared" si="2"/>
        <v>0</v>
      </c>
      <c r="S25" s="77">
        <f t="shared" si="2"/>
        <v>0</v>
      </c>
      <c r="T25" s="77">
        <f t="shared" si="2"/>
        <v>0</v>
      </c>
      <c r="U25" s="77">
        <f t="shared" si="2"/>
        <v>0</v>
      </c>
      <c r="V25" s="77">
        <f t="shared" si="2"/>
        <v>0</v>
      </c>
      <c r="W25" s="77">
        <f t="shared" si="2"/>
        <v>0</v>
      </c>
      <c r="X25" s="77">
        <f t="shared" si="2"/>
        <v>0</v>
      </c>
      <c r="Y25" s="77">
        <f t="shared" si="2"/>
        <v>0</v>
      </c>
      <c r="Z25" s="77">
        <f t="shared" si="2"/>
        <v>0</v>
      </c>
      <c r="AA25" s="77">
        <f t="shared" si="2"/>
        <v>0</v>
      </c>
      <c r="AB25" s="77">
        <f t="shared" si="2"/>
        <v>0</v>
      </c>
      <c r="AC25" s="77">
        <f t="shared" si="2"/>
        <v>0</v>
      </c>
      <c r="AD25" s="77">
        <f t="shared" si="2"/>
        <v>0</v>
      </c>
      <c r="AE25" s="7">
        <f t="shared" si="0"/>
        <v>0</v>
      </c>
    </row>
    <row r="26" spans="1:31" ht="15.75">
      <c r="A26" s="425" t="s">
        <v>70</v>
      </c>
      <c r="B26" s="425"/>
      <c r="C26" s="425"/>
      <c r="D26" s="77">
        <f>D24-D25</f>
        <v>37420</v>
      </c>
      <c r="E26" s="77">
        <f t="shared" ref="E26:AD26" si="3">E24-E25</f>
        <v>37420</v>
      </c>
      <c r="F26" s="77">
        <f t="shared" si="3"/>
        <v>37420</v>
      </c>
      <c r="G26" s="77">
        <f t="shared" si="3"/>
        <v>37362</v>
      </c>
      <c r="H26" s="77">
        <f t="shared" si="3"/>
        <v>37362</v>
      </c>
      <c r="I26" s="77">
        <f t="shared" si="3"/>
        <v>37362</v>
      </c>
      <c r="J26" s="77">
        <f t="shared" si="3"/>
        <v>36610</v>
      </c>
      <c r="K26" s="77">
        <f t="shared" si="3"/>
        <v>36610</v>
      </c>
      <c r="L26" s="77">
        <f t="shared" si="3"/>
        <v>36610</v>
      </c>
      <c r="M26" s="77">
        <f t="shared" si="3"/>
        <v>36610</v>
      </c>
      <c r="N26" s="77">
        <f t="shared" si="3"/>
        <v>36610</v>
      </c>
      <c r="O26" s="77">
        <f t="shared" si="3"/>
        <v>33535</v>
      </c>
      <c r="P26" s="77">
        <f t="shared" si="3"/>
        <v>3067</v>
      </c>
      <c r="Q26" s="77">
        <f t="shared" si="3"/>
        <v>34384</v>
      </c>
      <c r="R26" s="77">
        <f t="shared" si="3"/>
        <v>34384</v>
      </c>
      <c r="S26" s="77">
        <f t="shared" si="3"/>
        <v>34384</v>
      </c>
      <c r="T26" s="77">
        <f t="shared" si="3"/>
        <v>34384</v>
      </c>
      <c r="U26" s="77">
        <f t="shared" si="3"/>
        <v>34384</v>
      </c>
      <c r="V26" s="77">
        <f t="shared" si="3"/>
        <v>31547</v>
      </c>
      <c r="W26" s="77">
        <f t="shared" si="3"/>
        <v>2836</v>
      </c>
      <c r="X26" s="77">
        <f t="shared" si="3"/>
        <v>30762</v>
      </c>
      <c r="Y26" s="77">
        <f t="shared" si="3"/>
        <v>30762</v>
      </c>
      <c r="Z26" s="77">
        <f t="shared" si="3"/>
        <v>30762</v>
      </c>
      <c r="AA26" s="77">
        <f t="shared" si="3"/>
        <v>30762</v>
      </c>
      <c r="AB26" s="77">
        <f t="shared" si="3"/>
        <v>30762</v>
      </c>
      <c r="AC26" s="77">
        <f t="shared" si="3"/>
        <v>28230</v>
      </c>
      <c r="AD26" s="77">
        <f t="shared" si="3"/>
        <v>2529</v>
      </c>
      <c r="AE26" s="7">
        <f t="shared" si="0"/>
        <v>834870</v>
      </c>
    </row>
    <row r="27" spans="1:31"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</row>
    <row r="28" spans="1:31" s="43" customFormat="1" ht="20.25">
      <c r="A28" s="446" t="s">
        <v>346</v>
      </c>
      <c r="B28" s="446"/>
      <c r="C28" s="446"/>
      <c r="D28" s="446"/>
      <c r="E28" s="446"/>
      <c r="F28" s="446"/>
      <c r="G28" s="446"/>
      <c r="H28" s="446"/>
      <c r="I28" s="446"/>
      <c r="J28" s="446"/>
      <c r="K28" s="446"/>
      <c r="L28" s="446"/>
      <c r="M28" s="446"/>
      <c r="N28" s="446"/>
      <c r="O28" s="446"/>
      <c r="P28" s="446"/>
      <c r="Q28" s="446"/>
      <c r="R28" s="446"/>
      <c r="S28" s="446"/>
      <c r="T28" s="446"/>
      <c r="U28" s="446"/>
      <c r="V28" s="446"/>
      <c r="W28" s="446"/>
      <c r="X28" s="446"/>
      <c r="Y28" s="446"/>
      <c r="Z28" s="446"/>
      <c r="AA28" s="446"/>
      <c r="AB28" s="446"/>
      <c r="AC28" s="447" t="s">
        <v>302</v>
      </c>
      <c r="AD28" s="447"/>
      <c r="AE28" s="447"/>
    </row>
    <row r="29" spans="1:31" s="43" customFormat="1" ht="15.75">
      <c r="A29" s="435" t="s">
        <v>160</v>
      </c>
      <c r="B29" s="437" t="s">
        <v>16</v>
      </c>
      <c r="C29" s="438"/>
      <c r="D29" s="441" t="s">
        <v>165</v>
      </c>
      <c r="E29" s="441"/>
      <c r="F29" s="441"/>
      <c r="G29" s="442" t="s">
        <v>166</v>
      </c>
      <c r="H29" s="442"/>
      <c r="I29" s="442"/>
      <c r="J29" s="443" t="s">
        <v>167</v>
      </c>
      <c r="K29" s="444"/>
      <c r="L29" s="444"/>
      <c r="M29" s="444"/>
      <c r="N29" s="444"/>
      <c r="O29" s="444"/>
      <c r="P29" s="445"/>
      <c r="Q29" s="350" t="s">
        <v>171</v>
      </c>
      <c r="R29" s="431"/>
      <c r="S29" s="431"/>
      <c r="T29" s="431"/>
      <c r="U29" s="431"/>
      <c r="V29" s="431"/>
      <c r="W29" s="351"/>
      <c r="X29" s="432" t="s">
        <v>172</v>
      </c>
      <c r="Y29" s="433"/>
      <c r="Z29" s="433"/>
      <c r="AA29" s="433"/>
      <c r="AB29" s="433"/>
      <c r="AC29" s="433"/>
      <c r="AD29" s="434"/>
      <c r="AE29" s="435" t="s">
        <v>88</v>
      </c>
    </row>
    <row r="30" spans="1:31" s="43" customFormat="1" ht="15.75">
      <c r="A30" s="436"/>
      <c r="B30" s="439"/>
      <c r="C30" s="440"/>
      <c r="D30" s="75" t="s">
        <v>26</v>
      </c>
      <c r="E30" s="75" t="s">
        <v>168</v>
      </c>
      <c r="F30" s="76" t="s">
        <v>31</v>
      </c>
      <c r="G30" s="40" t="s">
        <v>26</v>
      </c>
      <c r="H30" s="40" t="s">
        <v>168</v>
      </c>
      <c r="I30" s="128" t="s">
        <v>31</v>
      </c>
      <c r="J30" s="75" t="s">
        <v>26</v>
      </c>
      <c r="K30" s="75" t="s">
        <v>168</v>
      </c>
      <c r="L30" s="76" t="s">
        <v>31</v>
      </c>
      <c r="M30" s="77" t="s">
        <v>169</v>
      </c>
      <c r="N30" s="77" t="s">
        <v>32</v>
      </c>
      <c r="O30" s="76" t="s">
        <v>170</v>
      </c>
      <c r="P30" s="76" t="s">
        <v>49</v>
      </c>
      <c r="Q30" s="41" t="s">
        <v>26</v>
      </c>
      <c r="R30" s="41" t="s">
        <v>168</v>
      </c>
      <c r="S30" s="129" t="s">
        <v>31</v>
      </c>
      <c r="T30" s="129" t="s">
        <v>169</v>
      </c>
      <c r="U30" s="129" t="s">
        <v>32</v>
      </c>
      <c r="V30" s="129" t="s">
        <v>170</v>
      </c>
      <c r="W30" s="129" t="s">
        <v>49</v>
      </c>
      <c r="X30" s="79" t="s">
        <v>26</v>
      </c>
      <c r="Y30" s="79" t="s">
        <v>168</v>
      </c>
      <c r="Z30" s="80" t="s">
        <v>31</v>
      </c>
      <c r="AA30" s="80" t="s">
        <v>169</v>
      </c>
      <c r="AB30" s="80" t="s">
        <v>32</v>
      </c>
      <c r="AC30" s="80" t="s">
        <v>170</v>
      </c>
      <c r="AD30" s="80" t="s">
        <v>49</v>
      </c>
      <c r="AE30" s="436"/>
    </row>
    <row r="31" spans="1:31" s="43" customFormat="1" ht="15.75">
      <c r="A31" s="425">
        <v>1</v>
      </c>
      <c r="B31" s="427" t="s">
        <v>347</v>
      </c>
      <c r="C31" s="127" t="s">
        <v>24</v>
      </c>
      <c r="D31" s="77">
        <v>2743</v>
      </c>
      <c r="E31" s="77">
        <v>2743</v>
      </c>
      <c r="F31" s="77">
        <v>2743</v>
      </c>
      <c r="G31" s="127">
        <v>2766</v>
      </c>
      <c r="H31" s="127">
        <v>2766</v>
      </c>
      <c r="I31" s="127">
        <v>2766</v>
      </c>
      <c r="J31" s="77">
        <v>2780</v>
      </c>
      <c r="K31" s="77">
        <v>2780</v>
      </c>
      <c r="L31" s="77">
        <v>2780</v>
      </c>
      <c r="M31" s="77">
        <v>2780</v>
      </c>
      <c r="N31" s="77">
        <v>2780</v>
      </c>
      <c r="O31" s="77">
        <v>1563</v>
      </c>
      <c r="P31" s="77">
        <v>1131</v>
      </c>
      <c r="Q31" s="127">
        <v>2584</v>
      </c>
      <c r="R31" s="127">
        <v>2584</v>
      </c>
      <c r="S31" s="127">
        <v>2584</v>
      </c>
      <c r="T31" s="127">
        <v>2584</v>
      </c>
      <c r="U31" s="127">
        <v>2584</v>
      </c>
      <c r="V31" s="7">
        <v>1471</v>
      </c>
      <c r="W31" s="7">
        <v>1014</v>
      </c>
      <c r="X31" s="81">
        <v>2490</v>
      </c>
      <c r="Y31" s="81">
        <v>2490</v>
      </c>
      <c r="Z31" s="81">
        <v>2490</v>
      </c>
      <c r="AA31" s="81">
        <v>2490</v>
      </c>
      <c r="AB31" s="81">
        <v>2490</v>
      </c>
      <c r="AC31" s="81">
        <v>1415</v>
      </c>
      <c r="AD31" s="81">
        <v>977</v>
      </c>
      <c r="AE31" s="7">
        <f>SUM(D31:AD31)</f>
        <v>63368</v>
      </c>
    </row>
    <row r="32" spans="1:31" s="43" customFormat="1" ht="15.75">
      <c r="A32" s="425"/>
      <c r="B32" s="427"/>
      <c r="C32" s="127" t="s">
        <v>25</v>
      </c>
      <c r="D32" s="77"/>
      <c r="E32" s="77"/>
      <c r="F32" s="77"/>
      <c r="G32" s="127"/>
      <c r="H32" s="127"/>
      <c r="I32" s="127"/>
      <c r="J32" s="77"/>
      <c r="K32" s="77"/>
      <c r="L32" s="77"/>
      <c r="M32" s="77"/>
      <c r="N32" s="77"/>
      <c r="O32" s="77"/>
      <c r="P32" s="77"/>
      <c r="Q32" s="127"/>
      <c r="R32" s="7"/>
      <c r="S32" s="7"/>
      <c r="T32" s="7"/>
      <c r="U32" s="7"/>
      <c r="V32" s="7"/>
      <c r="W32" s="7"/>
      <c r="X32" s="81"/>
      <c r="Y32" s="81"/>
      <c r="Z32" s="81"/>
      <c r="AA32" s="81"/>
      <c r="AB32" s="81"/>
      <c r="AC32" s="81"/>
      <c r="AD32" s="81"/>
      <c r="AE32" s="7">
        <f t="shared" ref="AE32:AE54" si="4">SUM(D32:AD32)</f>
        <v>0</v>
      </c>
    </row>
    <row r="33" spans="1:31" s="43" customFormat="1" ht="15.75">
      <c r="A33" s="425">
        <v>2</v>
      </c>
      <c r="B33" s="425" t="s">
        <v>348</v>
      </c>
      <c r="C33" s="127" t="s">
        <v>24</v>
      </c>
      <c r="D33" s="77">
        <v>3983</v>
      </c>
      <c r="E33" s="77">
        <v>3983</v>
      </c>
      <c r="F33" s="77">
        <v>3983</v>
      </c>
      <c r="G33" s="127">
        <v>4027</v>
      </c>
      <c r="H33" s="127">
        <v>4027</v>
      </c>
      <c r="I33" s="127">
        <v>4027</v>
      </c>
      <c r="J33" s="77">
        <v>4319</v>
      </c>
      <c r="K33" s="77">
        <v>4319</v>
      </c>
      <c r="L33" s="77">
        <v>4319</v>
      </c>
      <c r="M33" s="77">
        <v>4319</v>
      </c>
      <c r="N33" s="77">
        <v>4319</v>
      </c>
      <c r="O33" s="77">
        <v>3148</v>
      </c>
      <c r="P33" s="77">
        <v>1138</v>
      </c>
      <c r="Q33" s="127">
        <v>4241</v>
      </c>
      <c r="R33" s="127">
        <v>4241</v>
      </c>
      <c r="S33" s="127">
        <v>4241</v>
      </c>
      <c r="T33" s="127">
        <v>4241</v>
      </c>
      <c r="U33" s="127">
        <v>4241</v>
      </c>
      <c r="V33" s="7">
        <v>3126</v>
      </c>
      <c r="W33" s="7">
        <v>1086</v>
      </c>
      <c r="X33" s="81">
        <v>4007</v>
      </c>
      <c r="Y33" s="81">
        <v>4007</v>
      </c>
      <c r="Z33" s="81">
        <v>4007</v>
      </c>
      <c r="AA33" s="81">
        <v>4007</v>
      </c>
      <c r="AB33" s="81">
        <v>4007</v>
      </c>
      <c r="AC33" s="81">
        <v>2969</v>
      </c>
      <c r="AD33" s="81">
        <v>1003</v>
      </c>
      <c r="AE33" s="7">
        <f t="shared" si="4"/>
        <v>99335</v>
      </c>
    </row>
    <row r="34" spans="1:31" s="43" customFormat="1" ht="15.75">
      <c r="A34" s="425"/>
      <c r="B34" s="425"/>
      <c r="C34" s="127" t="s">
        <v>25</v>
      </c>
      <c r="D34" s="77"/>
      <c r="E34" s="77"/>
      <c r="F34" s="77"/>
      <c r="G34" s="127"/>
      <c r="H34" s="127"/>
      <c r="I34" s="127"/>
      <c r="J34" s="77"/>
      <c r="K34" s="77"/>
      <c r="L34" s="77"/>
      <c r="M34" s="77"/>
      <c r="N34" s="77"/>
      <c r="O34" s="77"/>
      <c r="P34" s="77"/>
      <c r="Q34" s="127"/>
      <c r="R34" s="127"/>
      <c r="S34" s="127"/>
      <c r="T34" s="127"/>
      <c r="U34" s="127"/>
      <c r="V34" s="7"/>
      <c r="W34" s="7"/>
      <c r="X34" s="81"/>
      <c r="Y34" s="81"/>
      <c r="Z34" s="81"/>
      <c r="AA34" s="81"/>
      <c r="AB34" s="81"/>
      <c r="AC34" s="81"/>
      <c r="AD34" s="81"/>
      <c r="AE34" s="7">
        <f t="shared" si="4"/>
        <v>0</v>
      </c>
    </row>
    <row r="35" spans="1:31" s="43" customFormat="1" ht="15.75">
      <c r="A35" s="425">
        <v>3</v>
      </c>
      <c r="B35" s="429" t="s">
        <v>349</v>
      </c>
      <c r="C35" s="127" t="s">
        <v>24</v>
      </c>
      <c r="D35" s="77">
        <v>5780</v>
      </c>
      <c r="E35" s="77">
        <v>5780</v>
      </c>
      <c r="F35" s="77">
        <v>5780</v>
      </c>
      <c r="G35" s="127">
        <v>5848</v>
      </c>
      <c r="H35" s="127">
        <v>5848</v>
      </c>
      <c r="I35" s="127">
        <v>5848</v>
      </c>
      <c r="J35" s="77">
        <v>5877</v>
      </c>
      <c r="K35" s="77">
        <v>5877</v>
      </c>
      <c r="L35" s="77">
        <v>5877</v>
      </c>
      <c r="M35" s="77">
        <v>5877</v>
      </c>
      <c r="N35" s="77">
        <v>5877</v>
      </c>
      <c r="O35" s="77">
        <v>5303</v>
      </c>
      <c r="P35" s="77">
        <v>558</v>
      </c>
      <c r="Q35" s="127">
        <v>5942</v>
      </c>
      <c r="R35" s="127">
        <v>5942</v>
      </c>
      <c r="S35" s="127">
        <v>5942</v>
      </c>
      <c r="T35" s="127">
        <v>5942</v>
      </c>
      <c r="U35" s="127">
        <v>5942</v>
      </c>
      <c r="V35" s="7">
        <v>5441</v>
      </c>
      <c r="W35" s="7">
        <v>489</v>
      </c>
      <c r="X35" s="81">
        <v>5945</v>
      </c>
      <c r="Y35" s="81">
        <v>5945</v>
      </c>
      <c r="Z35" s="81">
        <v>5945</v>
      </c>
      <c r="AA35" s="81">
        <v>5945</v>
      </c>
      <c r="AB35" s="81">
        <v>5945</v>
      </c>
      <c r="AC35" s="81">
        <v>5415</v>
      </c>
      <c r="AD35" s="81">
        <v>517</v>
      </c>
      <c r="AE35" s="7">
        <f t="shared" si="4"/>
        <v>141427</v>
      </c>
    </row>
    <row r="36" spans="1:31" s="43" customFormat="1" ht="15.75">
      <c r="A36" s="425"/>
      <c r="B36" s="426"/>
      <c r="C36" s="127" t="s">
        <v>25</v>
      </c>
      <c r="D36" s="77"/>
      <c r="E36" s="77"/>
      <c r="F36" s="77"/>
      <c r="G36" s="127"/>
      <c r="H36" s="127"/>
      <c r="I36" s="127"/>
      <c r="J36" s="77"/>
      <c r="K36" s="77"/>
      <c r="L36" s="77"/>
      <c r="M36" s="77"/>
      <c r="N36" s="77"/>
      <c r="O36" s="77"/>
      <c r="P36" s="77"/>
      <c r="Q36" s="127"/>
      <c r="R36" s="127"/>
      <c r="S36" s="127"/>
      <c r="T36" s="127"/>
      <c r="U36" s="127"/>
      <c r="V36" s="7"/>
      <c r="W36" s="7"/>
      <c r="X36" s="81"/>
      <c r="Y36" s="81"/>
      <c r="Z36" s="81"/>
      <c r="AA36" s="81"/>
      <c r="AB36" s="81"/>
      <c r="AC36" s="81"/>
      <c r="AD36" s="81"/>
      <c r="AE36" s="7">
        <f t="shared" si="4"/>
        <v>0</v>
      </c>
    </row>
    <row r="37" spans="1:31" s="43" customFormat="1" ht="15.75">
      <c r="A37" s="425">
        <v>4</v>
      </c>
      <c r="B37" s="425" t="s">
        <v>350</v>
      </c>
      <c r="C37" s="127" t="s">
        <v>24</v>
      </c>
      <c r="D37" s="77">
        <v>2711</v>
      </c>
      <c r="E37" s="77">
        <v>2711</v>
      </c>
      <c r="F37" s="77">
        <v>2711</v>
      </c>
      <c r="G37" s="127">
        <v>2796</v>
      </c>
      <c r="H37" s="127">
        <v>2796</v>
      </c>
      <c r="I37" s="127">
        <v>2796</v>
      </c>
      <c r="J37" s="77">
        <v>2913</v>
      </c>
      <c r="K37" s="77">
        <v>2913</v>
      </c>
      <c r="L37" s="77">
        <v>2913</v>
      </c>
      <c r="M37" s="77">
        <v>2913</v>
      </c>
      <c r="N37" s="77">
        <v>2913</v>
      </c>
      <c r="O37" s="77">
        <v>2438</v>
      </c>
      <c r="P37" s="77">
        <v>464</v>
      </c>
      <c r="Q37" s="127">
        <v>2865</v>
      </c>
      <c r="R37" s="127">
        <v>2865</v>
      </c>
      <c r="S37" s="127">
        <v>2865</v>
      </c>
      <c r="T37" s="127">
        <v>2865</v>
      </c>
      <c r="U37" s="127">
        <v>2865</v>
      </c>
      <c r="V37" s="7">
        <v>2427</v>
      </c>
      <c r="W37" s="7">
        <v>431</v>
      </c>
      <c r="X37" s="81">
        <v>2557</v>
      </c>
      <c r="Y37" s="81">
        <v>2557</v>
      </c>
      <c r="Z37" s="81">
        <v>2557</v>
      </c>
      <c r="AA37" s="81">
        <v>2557</v>
      </c>
      <c r="AB37" s="81">
        <v>2557</v>
      </c>
      <c r="AC37" s="81">
        <v>2150</v>
      </c>
      <c r="AD37" s="81">
        <v>398</v>
      </c>
      <c r="AE37" s="7">
        <f t="shared" si="4"/>
        <v>66504</v>
      </c>
    </row>
    <row r="38" spans="1:31" s="43" customFormat="1" ht="15.75">
      <c r="A38" s="425"/>
      <c r="B38" s="425"/>
      <c r="C38" s="127" t="s">
        <v>25</v>
      </c>
      <c r="D38" s="77"/>
      <c r="E38" s="77"/>
      <c r="F38" s="77"/>
      <c r="G38" s="127"/>
      <c r="H38" s="127"/>
      <c r="I38" s="127"/>
      <c r="J38" s="77"/>
      <c r="K38" s="77"/>
      <c r="L38" s="77"/>
      <c r="M38" s="77"/>
      <c r="N38" s="77"/>
      <c r="O38" s="77"/>
      <c r="P38" s="77"/>
      <c r="Q38" s="127"/>
      <c r="R38" s="127"/>
      <c r="S38" s="127"/>
      <c r="T38" s="127"/>
      <c r="U38" s="127"/>
      <c r="V38" s="7"/>
      <c r="W38" s="7"/>
      <c r="X38" s="81"/>
      <c r="Y38" s="81"/>
      <c r="Z38" s="81"/>
      <c r="AA38" s="81"/>
      <c r="AB38" s="81"/>
      <c r="AC38" s="81"/>
      <c r="AD38" s="81"/>
      <c r="AE38" s="7">
        <f t="shared" si="4"/>
        <v>0</v>
      </c>
    </row>
    <row r="39" spans="1:31" s="43" customFormat="1" ht="15.75">
      <c r="A39" s="425">
        <v>5</v>
      </c>
      <c r="B39" s="425" t="s">
        <v>351</v>
      </c>
      <c r="C39" s="127" t="s">
        <v>24</v>
      </c>
      <c r="D39" s="77">
        <v>2387</v>
      </c>
      <c r="E39" s="77">
        <v>2387</v>
      </c>
      <c r="F39" s="77">
        <v>2387</v>
      </c>
      <c r="G39" s="127">
        <v>2382</v>
      </c>
      <c r="H39" s="127">
        <v>2382</v>
      </c>
      <c r="I39" s="127">
        <v>2382</v>
      </c>
      <c r="J39" s="77">
        <v>2511</v>
      </c>
      <c r="K39" s="77">
        <v>2511</v>
      </c>
      <c r="L39" s="77">
        <v>2511</v>
      </c>
      <c r="M39" s="77">
        <v>2511</v>
      </c>
      <c r="N39" s="77">
        <v>2511</v>
      </c>
      <c r="O39" s="77">
        <v>2380</v>
      </c>
      <c r="P39" s="77">
        <v>129</v>
      </c>
      <c r="Q39" s="127">
        <v>2657</v>
      </c>
      <c r="R39" s="127">
        <v>2657</v>
      </c>
      <c r="S39" s="127">
        <v>2657</v>
      </c>
      <c r="T39" s="127">
        <v>2657</v>
      </c>
      <c r="U39" s="127">
        <v>2657</v>
      </c>
      <c r="V39" s="7">
        <v>2526</v>
      </c>
      <c r="W39" s="7">
        <v>129</v>
      </c>
      <c r="X39" s="81">
        <v>2558</v>
      </c>
      <c r="Y39" s="81">
        <v>2558</v>
      </c>
      <c r="Z39" s="81">
        <v>2558</v>
      </c>
      <c r="AA39" s="81">
        <v>2558</v>
      </c>
      <c r="AB39" s="81">
        <v>2558</v>
      </c>
      <c r="AC39" s="81">
        <v>2454</v>
      </c>
      <c r="AD39" s="81">
        <v>103</v>
      </c>
      <c r="AE39" s="7">
        <f t="shared" si="4"/>
        <v>60658</v>
      </c>
    </row>
    <row r="40" spans="1:31" s="43" customFormat="1" ht="15.75">
      <c r="A40" s="425"/>
      <c r="B40" s="425"/>
      <c r="C40" s="127" t="s">
        <v>25</v>
      </c>
      <c r="D40" s="77"/>
      <c r="E40" s="77"/>
      <c r="F40" s="77"/>
      <c r="G40" s="127"/>
      <c r="H40" s="127"/>
      <c r="I40" s="127"/>
      <c r="J40" s="77"/>
      <c r="K40" s="77"/>
      <c r="L40" s="77"/>
      <c r="M40" s="77"/>
      <c r="N40" s="77"/>
      <c r="O40" s="77"/>
      <c r="P40" s="77"/>
      <c r="Q40" s="127"/>
      <c r="R40" s="127"/>
      <c r="S40" s="127"/>
      <c r="T40" s="127"/>
      <c r="U40" s="127"/>
      <c r="V40" s="7"/>
      <c r="W40" s="7"/>
      <c r="X40" s="81"/>
      <c r="Y40" s="81"/>
      <c r="Z40" s="81"/>
      <c r="AA40" s="81"/>
      <c r="AB40" s="81"/>
      <c r="AC40" s="81"/>
      <c r="AD40" s="81"/>
      <c r="AE40" s="7">
        <f t="shared" si="4"/>
        <v>0</v>
      </c>
    </row>
    <row r="41" spans="1:31" s="43" customFormat="1" ht="15.75">
      <c r="A41" s="425">
        <v>6</v>
      </c>
      <c r="B41" s="425" t="s">
        <v>352</v>
      </c>
      <c r="C41" s="127" t="s">
        <v>24</v>
      </c>
      <c r="D41" s="77">
        <v>4364</v>
      </c>
      <c r="E41" s="77">
        <v>4364</v>
      </c>
      <c r="F41" s="77">
        <v>4364</v>
      </c>
      <c r="G41" s="127">
        <v>4081</v>
      </c>
      <c r="H41" s="127">
        <v>4081</v>
      </c>
      <c r="I41" s="127">
        <v>4081</v>
      </c>
      <c r="J41" s="77">
        <v>4064</v>
      </c>
      <c r="K41" s="77">
        <v>4064</v>
      </c>
      <c r="L41" s="77">
        <v>4064</v>
      </c>
      <c r="M41" s="77">
        <v>4064</v>
      </c>
      <c r="N41" s="77">
        <v>4064</v>
      </c>
      <c r="O41" s="77">
        <v>4006</v>
      </c>
      <c r="P41" s="77">
        <v>58</v>
      </c>
      <c r="Q41" s="127">
        <v>3877</v>
      </c>
      <c r="R41" s="127">
        <v>3877</v>
      </c>
      <c r="S41" s="127">
        <v>3877</v>
      </c>
      <c r="T41" s="127">
        <v>3877</v>
      </c>
      <c r="U41" s="127">
        <v>3877</v>
      </c>
      <c r="V41" s="7">
        <v>3811</v>
      </c>
      <c r="W41" s="7">
        <v>66</v>
      </c>
      <c r="X41" s="81">
        <v>3592</v>
      </c>
      <c r="Y41" s="81">
        <v>3592</v>
      </c>
      <c r="Z41" s="81">
        <v>3592</v>
      </c>
      <c r="AA41" s="81">
        <v>3592</v>
      </c>
      <c r="AB41" s="81">
        <v>3592</v>
      </c>
      <c r="AC41" s="81">
        <v>3522</v>
      </c>
      <c r="AD41" s="81">
        <v>70</v>
      </c>
      <c r="AE41" s="7">
        <f t="shared" si="4"/>
        <v>94533</v>
      </c>
    </row>
    <row r="42" spans="1:31" s="43" customFormat="1" ht="15.75">
      <c r="A42" s="425"/>
      <c r="B42" s="425"/>
      <c r="C42" s="127" t="s">
        <v>25</v>
      </c>
      <c r="D42" s="77"/>
      <c r="E42" s="77"/>
      <c r="F42" s="77"/>
      <c r="G42" s="127"/>
      <c r="H42" s="127"/>
      <c r="I42" s="127"/>
      <c r="J42" s="77"/>
      <c r="K42" s="77"/>
      <c r="L42" s="77"/>
      <c r="M42" s="77"/>
      <c r="N42" s="77"/>
      <c r="O42" s="77"/>
      <c r="P42" s="77"/>
      <c r="Q42" s="127"/>
      <c r="R42" s="127"/>
      <c r="S42" s="127"/>
      <c r="T42" s="127"/>
      <c r="U42" s="127"/>
      <c r="V42" s="7"/>
      <c r="W42" s="7"/>
      <c r="X42" s="81"/>
      <c r="Y42" s="81"/>
      <c r="Z42" s="81"/>
      <c r="AA42" s="81"/>
      <c r="AB42" s="81"/>
      <c r="AC42" s="81"/>
      <c r="AD42" s="81"/>
      <c r="AE42" s="7">
        <f t="shared" si="4"/>
        <v>0</v>
      </c>
    </row>
    <row r="43" spans="1:31" s="43" customFormat="1" ht="15.75">
      <c r="A43" s="425">
        <v>7</v>
      </c>
      <c r="B43" s="427" t="s">
        <v>353</v>
      </c>
      <c r="C43" s="127" t="s">
        <v>24</v>
      </c>
      <c r="D43" s="77">
        <v>6500</v>
      </c>
      <c r="E43" s="77">
        <v>6500</v>
      </c>
      <c r="F43" s="77">
        <v>6500</v>
      </c>
      <c r="G43" s="127">
        <v>6260</v>
      </c>
      <c r="H43" s="127">
        <v>6260</v>
      </c>
      <c r="I43" s="127">
        <v>6260</v>
      </c>
      <c r="J43" s="77">
        <v>6276</v>
      </c>
      <c r="K43" s="77">
        <v>6276</v>
      </c>
      <c r="L43" s="77">
        <v>6276</v>
      </c>
      <c r="M43" s="77">
        <v>6276</v>
      </c>
      <c r="N43" s="77">
        <v>6276</v>
      </c>
      <c r="O43" s="77">
        <v>6100</v>
      </c>
      <c r="P43" s="77">
        <v>176</v>
      </c>
      <c r="Q43" s="127">
        <v>5879</v>
      </c>
      <c r="R43" s="127">
        <v>5879</v>
      </c>
      <c r="S43" s="127">
        <v>5879</v>
      </c>
      <c r="T43" s="127">
        <v>5879</v>
      </c>
      <c r="U43" s="127">
        <v>5879</v>
      </c>
      <c r="V43" s="127">
        <v>5699</v>
      </c>
      <c r="W43" s="127">
        <v>180</v>
      </c>
      <c r="X43" s="81">
        <v>5235</v>
      </c>
      <c r="Y43" s="81">
        <v>5235</v>
      </c>
      <c r="Z43" s="81">
        <v>5235</v>
      </c>
      <c r="AA43" s="81">
        <v>5235</v>
      </c>
      <c r="AB43" s="81">
        <v>5235</v>
      </c>
      <c r="AC43" s="81">
        <v>5089</v>
      </c>
      <c r="AD43" s="81">
        <v>146</v>
      </c>
      <c r="AE43" s="7">
        <f t="shared" si="4"/>
        <v>142620</v>
      </c>
    </row>
    <row r="44" spans="1:31" s="43" customFormat="1" ht="15.75">
      <c r="A44" s="425"/>
      <c r="B44" s="427"/>
      <c r="C44" s="127" t="s">
        <v>25</v>
      </c>
      <c r="D44" s="77"/>
      <c r="E44" s="77"/>
      <c r="F44" s="77"/>
      <c r="G44" s="127"/>
      <c r="H44" s="127"/>
      <c r="I44" s="127"/>
      <c r="J44" s="77"/>
      <c r="K44" s="77"/>
      <c r="L44" s="77"/>
      <c r="M44" s="77"/>
      <c r="N44" s="77"/>
      <c r="O44" s="77"/>
      <c r="P44" s="77"/>
      <c r="Q44" s="127"/>
      <c r="R44" s="127"/>
      <c r="S44" s="127"/>
      <c r="T44" s="127"/>
      <c r="U44" s="127"/>
      <c r="V44" s="7"/>
      <c r="W44" s="7"/>
      <c r="X44" s="81"/>
      <c r="Y44" s="81"/>
      <c r="Z44" s="81"/>
      <c r="AA44" s="81"/>
      <c r="AB44" s="81"/>
      <c r="AC44" s="81"/>
      <c r="AD44" s="81"/>
      <c r="AE44" s="7">
        <f t="shared" si="4"/>
        <v>0</v>
      </c>
    </row>
    <row r="45" spans="1:31" s="43" customFormat="1" ht="15.75">
      <c r="A45" s="425">
        <v>8</v>
      </c>
      <c r="B45" s="427" t="s">
        <v>354</v>
      </c>
      <c r="C45" s="127" t="s">
        <v>24</v>
      </c>
      <c r="D45" s="77">
        <v>2787</v>
      </c>
      <c r="E45" s="77">
        <v>2787</v>
      </c>
      <c r="F45" s="77">
        <v>2787</v>
      </c>
      <c r="G45" s="127">
        <v>2625</v>
      </c>
      <c r="H45" s="127">
        <v>2625</v>
      </c>
      <c r="I45" s="127">
        <v>2625</v>
      </c>
      <c r="J45" s="77">
        <v>2429</v>
      </c>
      <c r="K45" s="77">
        <v>2429</v>
      </c>
      <c r="L45" s="77">
        <v>2429</v>
      </c>
      <c r="M45" s="77">
        <v>2429</v>
      </c>
      <c r="N45" s="77">
        <v>2429</v>
      </c>
      <c r="O45" s="77">
        <v>2362</v>
      </c>
      <c r="P45" s="77">
        <v>67</v>
      </c>
      <c r="Q45" s="127">
        <v>2376</v>
      </c>
      <c r="R45" s="127">
        <v>2376</v>
      </c>
      <c r="S45" s="127">
        <v>2376</v>
      </c>
      <c r="T45" s="127">
        <v>2376</v>
      </c>
      <c r="U45" s="127">
        <v>2376</v>
      </c>
      <c r="V45" s="127">
        <v>2295</v>
      </c>
      <c r="W45" s="127">
        <v>81</v>
      </c>
      <c r="X45" s="81">
        <v>2028</v>
      </c>
      <c r="Y45" s="81">
        <v>2028</v>
      </c>
      <c r="Z45" s="81">
        <v>2028</v>
      </c>
      <c r="AA45" s="81">
        <v>2028</v>
      </c>
      <c r="AB45" s="81">
        <v>2028</v>
      </c>
      <c r="AC45" s="81">
        <v>1959</v>
      </c>
      <c r="AD45" s="81">
        <v>69</v>
      </c>
      <c r="AE45" s="7">
        <f t="shared" si="4"/>
        <v>57234</v>
      </c>
    </row>
    <row r="46" spans="1:31" s="43" customFormat="1" ht="15.75">
      <c r="A46" s="425"/>
      <c r="B46" s="427"/>
      <c r="C46" s="127" t="s">
        <v>25</v>
      </c>
      <c r="D46" s="77"/>
      <c r="E46" s="77"/>
      <c r="F46" s="77"/>
      <c r="G46" s="127"/>
      <c r="H46" s="127"/>
      <c r="I46" s="127"/>
      <c r="J46" s="77"/>
      <c r="K46" s="77"/>
      <c r="L46" s="77"/>
      <c r="M46" s="77"/>
      <c r="N46" s="77"/>
      <c r="O46" s="77"/>
      <c r="P46" s="77"/>
      <c r="Q46" s="127"/>
      <c r="R46" s="127"/>
      <c r="S46" s="127"/>
      <c r="T46" s="127"/>
      <c r="U46" s="127"/>
      <c r="V46" s="7"/>
      <c r="W46" s="7"/>
      <c r="X46" s="81"/>
      <c r="Y46" s="81"/>
      <c r="Z46" s="81"/>
      <c r="AA46" s="81"/>
      <c r="AB46" s="81"/>
      <c r="AC46" s="81"/>
      <c r="AD46" s="81"/>
      <c r="AE46" s="7">
        <f t="shared" si="4"/>
        <v>0</v>
      </c>
    </row>
    <row r="47" spans="1:31" s="43" customFormat="1" ht="15.75">
      <c r="A47" s="425">
        <v>9</v>
      </c>
      <c r="B47" s="427" t="s">
        <v>355</v>
      </c>
      <c r="C47" s="127" t="s">
        <v>24</v>
      </c>
      <c r="D47" s="77">
        <v>3444</v>
      </c>
      <c r="E47" s="77">
        <v>3444</v>
      </c>
      <c r="F47" s="77">
        <v>3444</v>
      </c>
      <c r="G47" s="127">
        <v>3424</v>
      </c>
      <c r="H47" s="127">
        <v>3424</v>
      </c>
      <c r="I47" s="127">
        <v>3424</v>
      </c>
      <c r="J47" s="77">
        <v>3480</v>
      </c>
      <c r="K47" s="77">
        <v>3480</v>
      </c>
      <c r="L47" s="77">
        <v>3480</v>
      </c>
      <c r="M47" s="77">
        <v>3480</v>
      </c>
      <c r="N47" s="77">
        <v>3480</v>
      </c>
      <c r="O47" s="77">
        <v>3197</v>
      </c>
      <c r="P47" s="77">
        <v>277</v>
      </c>
      <c r="Q47" s="127">
        <v>3371</v>
      </c>
      <c r="R47" s="127">
        <v>3371</v>
      </c>
      <c r="S47" s="127">
        <v>3371</v>
      </c>
      <c r="T47" s="127">
        <v>3371</v>
      </c>
      <c r="U47" s="127">
        <v>3371</v>
      </c>
      <c r="V47" s="7">
        <v>3106</v>
      </c>
      <c r="W47" s="7">
        <v>259</v>
      </c>
      <c r="X47" s="81">
        <v>3056</v>
      </c>
      <c r="Y47" s="81">
        <v>3056</v>
      </c>
      <c r="Z47" s="81">
        <v>3056</v>
      </c>
      <c r="AA47" s="81">
        <v>3056</v>
      </c>
      <c r="AB47" s="81">
        <v>3056</v>
      </c>
      <c r="AC47" s="81">
        <v>2796</v>
      </c>
      <c r="AD47" s="81">
        <v>253</v>
      </c>
      <c r="AE47" s="7">
        <f t="shared" si="4"/>
        <v>80027</v>
      </c>
    </row>
    <row r="48" spans="1:31" s="43" customFormat="1" ht="15.75">
      <c r="A48" s="425"/>
      <c r="B48" s="427"/>
      <c r="C48" s="127" t="s">
        <v>25</v>
      </c>
      <c r="D48" s="77"/>
      <c r="E48" s="77"/>
      <c r="F48" s="77"/>
      <c r="G48" s="127"/>
      <c r="H48" s="127"/>
      <c r="I48" s="127"/>
      <c r="J48" s="77"/>
      <c r="K48" s="77"/>
      <c r="L48" s="77"/>
      <c r="M48" s="77"/>
      <c r="N48" s="77"/>
      <c r="O48" s="77"/>
      <c r="P48" s="77"/>
      <c r="Q48" s="127"/>
      <c r="R48" s="127"/>
      <c r="S48" s="127"/>
      <c r="T48" s="127"/>
      <c r="U48" s="127"/>
      <c r="V48" s="7"/>
      <c r="W48" s="7"/>
      <c r="X48" s="81"/>
      <c r="Y48" s="81"/>
      <c r="Z48" s="81"/>
      <c r="AA48" s="81"/>
      <c r="AB48" s="81"/>
      <c r="AC48" s="81"/>
      <c r="AD48" s="81"/>
      <c r="AE48" s="7">
        <f t="shared" si="4"/>
        <v>0</v>
      </c>
    </row>
    <row r="49" spans="1:31" s="43" customFormat="1" ht="15.75">
      <c r="A49" s="425">
        <v>10</v>
      </c>
      <c r="B49" s="427" t="s">
        <v>219</v>
      </c>
      <c r="C49" s="127" t="s">
        <v>24</v>
      </c>
      <c r="D49" s="77">
        <v>2</v>
      </c>
      <c r="E49" s="77">
        <v>2</v>
      </c>
      <c r="F49" s="77">
        <v>2</v>
      </c>
      <c r="G49" s="127">
        <v>2</v>
      </c>
      <c r="H49" s="127">
        <v>2</v>
      </c>
      <c r="I49" s="127">
        <v>2</v>
      </c>
      <c r="J49" s="77">
        <v>2</v>
      </c>
      <c r="K49" s="77">
        <v>2</v>
      </c>
      <c r="L49" s="77">
        <v>2</v>
      </c>
      <c r="M49" s="77">
        <v>2</v>
      </c>
      <c r="N49" s="77">
        <v>2</v>
      </c>
      <c r="O49" s="77">
        <v>2</v>
      </c>
      <c r="P49" s="77">
        <v>2</v>
      </c>
      <c r="Q49" s="127">
        <v>2</v>
      </c>
      <c r="R49" s="127">
        <v>2</v>
      </c>
      <c r="S49" s="127">
        <v>2</v>
      </c>
      <c r="T49" s="127">
        <v>2</v>
      </c>
      <c r="U49" s="127">
        <v>2</v>
      </c>
      <c r="V49" s="7">
        <v>2</v>
      </c>
      <c r="W49" s="7">
        <v>2</v>
      </c>
      <c r="X49" s="81">
        <v>2</v>
      </c>
      <c r="Y49" s="81">
        <v>2</v>
      </c>
      <c r="Z49" s="81">
        <v>2</v>
      </c>
      <c r="AA49" s="81">
        <v>2</v>
      </c>
      <c r="AB49" s="81">
        <v>2</v>
      </c>
      <c r="AC49" s="81">
        <v>2</v>
      </c>
      <c r="AD49" s="81">
        <v>2</v>
      </c>
      <c r="AE49" s="7">
        <f t="shared" si="4"/>
        <v>54</v>
      </c>
    </row>
    <row r="50" spans="1:31" s="43" customFormat="1" ht="15.75">
      <c r="A50" s="425"/>
      <c r="B50" s="427"/>
      <c r="C50" s="127" t="s">
        <v>25</v>
      </c>
      <c r="D50" s="77"/>
      <c r="E50" s="77"/>
      <c r="F50" s="77"/>
      <c r="G50" s="127"/>
      <c r="H50" s="127"/>
      <c r="I50" s="127"/>
      <c r="J50" s="77"/>
      <c r="K50" s="77"/>
      <c r="L50" s="77"/>
      <c r="M50" s="77"/>
      <c r="N50" s="77"/>
      <c r="O50" s="77"/>
      <c r="P50" s="77"/>
      <c r="Q50" s="127"/>
      <c r="R50" s="127"/>
      <c r="S50" s="127"/>
      <c r="T50" s="127"/>
      <c r="U50" s="127"/>
      <c r="V50" s="7"/>
      <c r="W50" s="7"/>
      <c r="X50" s="81"/>
      <c r="Y50" s="81"/>
      <c r="Z50" s="81"/>
      <c r="AA50" s="81"/>
      <c r="AB50" s="81"/>
      <c r="AC50" s="81"/>
      <c r="AD50" s="81"/>
      <c r="AE50" s="7">
        <f t="shared" si="4"/>
        <v>0</v>
      </c>
    </row>
    <row r="51" spans="1:31" s="43" customFormat="1" ht="15.75">
      <c r="A51" s="425">
        <v>11</v>
      </c>
      <c r="B51" s="427" t="s">
        <v>220</v>
      </c>
      <c r="C51" s="127" t="s">
        <v>24</v>
      </c>
      <c r="D51" s="77">
        <v>2</v>
      </c>
      <c r="E51" s="77">
        <v>2</v>
      </c>
      <c r="F51" s="77">
        <v>2</v>
      </c>
      <c r="G51" s="127">
        <v>2</v>
      </c>
      <c r="H51" s="127">
        <v>2</v>
      </c>
      <c r="I51" s="127">
        <v>2</v>
      </c>
      <c r="J51" s="77">
        <v>2</v>
      </c>
      <c r="K51" s="77">
        <v>2</v>
      </c>
      <c r="L51" s="77">
        <v>2</v>
      </c>
      <c r="M51" s="77">
        <v>2</v>
      </c>
      <c r="N51" s="77">
        <v>2</v>
      </c>
      <c r="O51" s="77">
        <v>2</v>
      </c>
      <c r="P51" s="77">
        <v>2</v>
      </c>
      <c r="Q51" s="127">
        <v>2</v>
      </c>
      <c r="R51" s="127">
        <v>2</v>
      </c>
      <c r="S51" s="127">
        <v>2</v>
      </c>
      <c r="T51" s="127">
        <v>2</v>
      </c>
      <c r="U51" s="127">
        <v>2</v>
      </c>
      <c r="V51" s="7">
        <v>2</v>
      </c>
      <c r="W51" s="7">
        <v>2</v>
      </c>
      <c r="X51" s="81">
        <v>2</v>
      </c>
      <c r="Y51" s="81">
        <v>2</v>
      </c>
      <c r="Z51" s="81">
        <v>2</v>
      </c>
      <c r="AA51" s="81">
        <v>2</v>
      </c>
      <c r="AB51" s="81">
        <v>2</v>
      </c>
      <c r="AC51" s="81">
        <v>2</v>
      </c>
      <c r="AD51" s="81">
        <v>2</v>
      </c>
      <c r="AE51" s="7">
        <f t="shared" si="4"/>
        <v>54</v>
      </c>
    </row>
    <row r="52" spans="1:31" s="43" customFormat="1" ht="15.75">
      <c r="A52" s="425"/>
      <c r="B52" s="427"/>
      <c r="C52" s="127" t="s">
        <v>25</v>
      </c>
      <c r="D52" s="77"/>
      <c r="E52" s="77"/>
      <c r="F52" s="77"/>
      <c r="G52" s="127"/>
      <c r="H52" s="127"/>
      <c r="I52" s="127"/>
      <c r="J52" s="77"/>
      <c r="K52" s="77"/>
      <c r="L52" s="77"/>
      <c r="M52" s="77"/>
      <c r="N52" s="77"/>
      <c r="O52" s="77"/>
      <c r="P52" s="77"/>
      <c r="Q52" s="127"/>
      <c r="R52" s="127"/>
      <c r="S52" s="127"/>
      <c r="T52" s="127"/>
      <c r="U52" s="127"/>
      <c r="V52" s="7"/>
      <c r="W52" s="7"/>
      <c r="X52" s="81"/>
      <c r="Y52" s="81"/>
      <c r="Z52" s="81"/>
      <c r="AA52" s="81"/>
      <c r="AB52" s="81"/>
      <c r="AC52" s="81"/>
      <c r="AD52" s="81"/>
      <c r="AE52" s="7">
        <f t="shared" si="4"/>
        <v>0</v>
      </c>
    </row>
    <row r="53" spans="1:31" s="43" customFormat="1" ht="15.75">
      <c r="A53" s="425">
        <v>12</v>
      </c>
      <c r="B53" s="427" t="s">
        <v>306</v>
      </c>
      <c r="C53" s="127" t="s">
        <v>24</v>
      </c>
      <c r="D53" s="77">
        <v>9</v>
      </c>
      <c r="E53" s="77">
        <v>9</v>
      </c>
      <c r="F53" s="77">
        <v>9</v>
      </c>
      <c r="G53" s="127">
        <v>9</v>
      </c>
      <c r="H53" s="127">
        <v>9</v>
      </c>
      <c r="I53" s="127">
        <v>9</v>
      </c>
      <c r="J53" s="77">
        <v>9</v>
      </c>
      <c r="K53" s="77">
        <v>9</v>
      </c>
      <c r="L53" s="77">
        <v>9</v>
      </c>
      <c r="M53" s="77">
        <v>9</v>
      </c>
      <c r="N53" s="77">
        <v>9</v>
      </c>
      <c r="O53" s="77">
        <v>9</v>
      </c>
      <c r="P53" s="77">
        <v>9</v>
      </c>
      <c r="Q53" s="127">
        <v>9</v>
      </c>
      <c r="R53" s="127">
        <v>9</v>
      </c>
      <c r="S53" s="127">
        <v>9</v>
      </c>
      <c r="T53" s="127">
        <v>9</v>
      </c>
      <c r="U53" s="127">
        <v>9</v>
      </c>
      <c r="V53" s="127">
        <v>9</v>
      </c>
      <c r="W53" s="127">
        <v>9</v>
      </c>
      <c r="X53" s="81">
        <v>9</v>
      </c>
      <c r="Y53" s="81">
        <v>9</v>
      </c>
      <c r="Z53" s="81">
        <v>9</v>
      </c>
      <c r="AA53" s="81">
        <v>9</v>
      </c>
      <c r="AB53" s="81">
        <v>9</v>
      </c>
      <c r="AC53" s="81">
        <v>9</v>
      </c>
      <c r="AD53" s="81">
        <v>9</v>
      </c>
      <c r="AE53" s="7">
        <f t="shared" si="4"/>
        <v>243</v>
      </c>
    </row>
    <row r="54" spans="1:31" s="43" customFormat="1" ht="15.75">
      <c r="A54" s="425"/>
      <c r="B54" s="427"/>
      <c r="C54" s="127" t="s">
        <v>25</v>
      </c>
      <c r="D54" s="77"/>
      <c r="E54" s="77"/>
      <c r="F54" s="77"/>
      <c r="G54" s="127"/>
      <c r="H54" s="127"/>
      <c r="I54" s="127"/>
      <c r="J54" s="77"/>
      <c r="K54" s="77"/>
      <c r="L54" s="77"/>
      <c r="M54" s="77"/>
      <c r="N54" s="77"/>
      <c r="O54" s="77"/>
      <c r="P54" s="77"/>
      <c r="Q54" s="127"/>
      <c r="R54" s="7"/>
      <c r="S54" s="7"/>
      <c r="T54" s="7"/>
      <c r="U54" s="7"/>
      <c r="V54" s="7"/>
      <c r="W54" s="7"/>
      <c r="X54" s="81"/>
      <c r="Y54" s="81"/>
      <c r="Z54" s="81"/>
      <c r="AA54" s="81"/>
      <c r="AB54" s="81"/>
      <c r="AC54" s="81"/>
      <c r="AD54" s="81"/>
      <c r="AE54" s="7">
        <f t="shared" si="4"/>
        <v>0</v>
      </c>
    </row>
    <row r="55" spans="1:31" s="43" customFormat="1" ht="15.75">
      <c r="A55" s="425" t="s">
        <v>163</v>
      </c>
      <c r="B55" s="425"/>
      <c r="C55" s="425"/>
      <c r="D55" s="77">
        <f>D31+D33+D35+D37+D39+D41+D43+D45+D47+D49+D51+D53</f>
        <v>34712</v>
      </c>
      <c r="E55" s="77">
        <f t="shared" ref="E55:AE55" si="5">E31+E33+E35+E37+E39+E41+E43+E45+E47+E49+E51+E53</f>
        <v>34712</v>
      </c>
      <c r="F55" s="77">
        <f t="shared" si="5"/>
        <v>34712</v>
      </c>
      <c r="G55" s="77">
        <f t="shared" si="5"/>
        <v>34222</v>
      </c>
      <c r="H55" s="77">
        <f t="shared" si="5"/>
        <v>34222</v>
      </c>
      <c r="I55" s="77">
        <f t="shared" si="5"/>
        <v>34222</v>
      </c>
      <c r="J55" s="77">
        <f t="shared" si="5"/>
        <v>34662</v>
      </c>
      <c r="K55" s="77">
        <f t="shared" si="5"/>
        <v>34662</v>
      </c>
      <c r="L55" s="77">
        <f t="shared" si="5"/>
        <v>34662</v>
      </c>
      <c r="M55" s="77">
        <f t="shared" si="5"/>
        <v>34662</v>
      </c>
      <c r="N55" s="77">
        <f t="shared" si="5"/>
        <v>34662</v>
      </c>
      <c r="O55" s="77">
        <f t="shared" si="5"/>
        <v>30510</v>
      </c>
      <c r="P55" s="77">
        <f t="shared" si="5"/>
        <v>4011</v>
      </c>
      <c r="Q55" s="77">
        <f t="shared" si="5"/>
        <v>33805</v>
      </c>
      <c r="R55" s="77">
        <f t="shared" si="5"/>
        <v>33805</v>
      </c>
      <c r="S55" s="77">
        <f t="shared" si="5"/>
        <v>33805</v>
      </c>
      <c r="T55" s="77">
        <f t="shared" si="5"/>
        <v>33805</v>
      </c>
      <c r="U55" s="77">
        <f t="shared" si="5"/>
        <v>33805</v>
      </c>
      <c r="V55" s="77">
        <f t="shared" si="5"/>
        <v>29915</v>
      </c>
      <c r="W55" s="77">
        <f t="shared" si="5"/>
        <v>3748</v>
      </c>
      <c r="X55" s="77">
        <f t="shared" si="5"/>
        <v>31481</v>
      </c>
      <c r="Y55" s="77">
        <f t="shared" si="5"/>
        <v>31481</v>
      </c>
      <c r="Z55" s="77">
        <f t="shared" si="5"/>
        <v>31481</v>
      </c>
      <c r="AA55" s="77">
        <f t="shared" si="5"/>
        <v>31481</v>
      </c>
      <c r="AB55" s="77">
        <f t="shared" si="5"/>
        <v>31481</v>
      </c>
      <c r="AC55" s="77">
        <f t="shared" si="5"/>
        <v>27782</v>
      </c>
      <c r="AD55" s="77">
        <f t="shared" si="5"/>
        <v>3549</v>
      </c>
      <c r="AE55" s="77">
        <f t="shared" si="5"/>
        <v>806057</v>
      </c>
    </row>
    <row r="56" spans="1:31" s="43" customFormat="1" ht="15.75">
      <c r="A56" s="425" t="s">
        <v>164</v>
      </c>
      <c r="B56" s="425"/>
      <c r="C56" s="425"/>
      <c r="D56" s="77">
        <f>D32+D34+D36+D38+D40+D42+D44+D46+D48+D50+D52+D54</f>
        <v>0</v>
      </c>
      <c r="E56" s="77">
        <f t="shared" ref="E56:AE56" si="6">E32+E34+E36+E38+E40+E42+E44+E46+E48+E50+E52+E54</f>
        <v>0</v>
      </c>
      <c r="F56" s="77">
        <f t="shared" si="6"/>
        <v>0</v>
      </c>
      <c r="G56" s="77">
        <f t="shared" si="6"/>
        <v>0</v>
      </c>
      <c r="H56" s="77">
        <f t="shared" si="6"/>
        <v>0</v>
      </c>
      <c r="I56" s="77">
        <f t="shared" si="6"/>
        <v>0</v>
      </c>
      <c r="J56" s="77">
        <f t="shared" si="6"/>
        <v>0</v>
      </c>
      <c r="K56" s="77">
        <f t="shared" si="6"/>
        <v>0</v>
      </c>
      <c r="L56" s="77">
        <f t="shared" si="6"/>
        <v>0</v>
      </c>
      <c r="M56" s="77">
        <f t="shared" si="6"/>
        <v>0</v>
      </c>
      <c r="N56" s="77">
        <f t="shared" si="6"/>
        <v>0</v>
      </c>
      <c r="O56" s="77">
        <f t="shared" si="6"/>
        <v>0</v>
      </c>
      <c r="P56" s="77">
        <f t="shared" si="6"/>
        <v>0</v>
      </c>
      <c r="Q56" s="77">
        <f t="shared" si="6"/>
        <v>0</v>
      </c>
      <c r="R56" s="77">
        <f t="shared" si="6"/>
        <v>0</v>
      </c>
      <c r="S56" s="77">
        <f t="shared" si="6"/>
        <v>0</v>
      </c>
      <c r="T56" s="77">
        <f t="shared" si="6"/>
        <v>0</v>
      </c>
      <c r="U56" s="77">
        <f t="shared" si="6"/>
        <v>0</v>
      </c>
      <c r="V56" s="77">
        <f t="shared" si="6"/>
        <v>0</v>
      </c>
      <c r="W56" s="77">
        <f t="shared" si="6"/>
        <v>0</v>
      </c>
      <c r="X56" s="77">
        <f t="shared" si="6"/>
        <v>0</v>
      </c>
      <c r="Y56" s="77">
        <f t="shared" si="6"/>
        <v>0</v>
      </c>
      <c r="Z56" s="77">
        <f t="shared" si="6"/>
        <v>0</v>
      </c>
      <c r="AA56" s="77">
        <f t="shared" si="6"/>
        <v>0</v>
      </c>
      <c r="AB56" s="77">
        <f t="shared" si="6"/>
        <v>0</v>
      </c>
      <c r="AC56" s="77">
        <f t="shared" si="6"/>
        <v>0</v>
      </c>
      <c r="AD56" s="77">
        <f t="shared" si="6"/>
        <v>0</v>
      </c>
      <c r="AE56" s="77">
        <f t="shared" si="6"/>
        <v>0</v>
      </c>
    </row>
    <row r="57" spans="1:31" s="43" customFormat="1" ht="15.75">
      <c r="A57" s="425" t="s">
        <v>70</v>
      </c>
      <c r="B57" s="425"/>
      <c r="C57" s="425"/>
      <c r="D57" s="77">
        <f>D55-D56</f>
        <v>34712</v>
      </c>
      <c r="E57" s="77">
        <f t="shared" ref="E57" si="7">E55-E56</f>
        <v>34712</v>
      </c>
      <c r="F57" s="77">
        <f t="shared" ref="F57" si="8">F55-F56</f>
        <v>34712</v>
      </c>
      <c r="G57" s="77">
        <f t="shared" ref="G57" si="9">G55-G56</f>
        <v>34222</v>
      </c>
      <c r="H57" s="77">
        <f t="shared" ref="H57" si="10">H55-H56</f>
        <v>34222</v>
      </c>
      <c r="I57" s="77">
        <f t="shared" ref="I57" si="11">I55-I56</f>
        <v>34222</v>
      </c>
      <c r="J57" s="77">
        <f t="shared" ref="J57" si="12">J55-J56</f>
        <v>34662</v>
      </c>
      <c r="K57" s="77">
        <f t="shared" ref="K57" si="13">K55-K56</f>
        <v>34662</v>
      </c>
      <c r="L57" s="77">
        <f t="shared" ref="L57" si="14">L55-L56</f>
        <v>34662</v>
      </c>
      <c r="M57" s="77">
        <f t="shared" ref="M57" si="15">M55-M56</f>
        <v>34662</v>
      </c>
      <c r="N57" s="77">
        <f t="shared" ref="N57" si="16">N55-N56</f>
        <v>34662</v>
      </c>
      <c r="O57" s="77">
        <f t="shared" ref="O57" si="17">O55-O56</f>
        <v>30510</v>
      </c>
      <c r="P57" s="77">
        <f t="shared" ref="P57" si="18">P55-P56</f>
        <v>4011</v>
      </c>
      <c r="Q57" s="77">
        <f t="shared" ref="Q57" si="19">Q55-Q56</f>
        <v>33805</v>
      </c>
      <c r="R57" s="77">
        <f t="shared" ref="R57" si="20">R55-R56</f>
        <v>33805</v>
      </c>
      <c r="S57" s="77">
        <f t="shared" ref="S57" si="21">S55-S56</f>
        <v>33805</v>
      </c>
      <c r="T57" s="77">
        <f t="shared" ref="T57" si="22">T55-T56</f>
        <v>33805</v>
      </c>
      <c r="U57" s="77">
        <f t="shared" ref="U57" si="23">U55-U56</f>
        <v>33805</v>
      </c>
      <c r="V57" s="77">
        <f t="shared" ref="V57" si="24">V55-V56</f>
        <v>29915</v>
      </c>
      <c r="W57" s="77">
        <f t="shared" ref="W57" si="25">W55-W56</f>
        <v>3748</v>
      </c>
      <c r="X57" s="77">
        <f t="shared" ref="X57" si="26">X55-X56</f>
        <v>31481</v>
      </c>
      <c r="Y57" s="77">
        <f t="shared" ref="Y57" si="27">Y55-Y56</f>
        <v>31481</v>
      </c>
      <c r="Z57" s="77">
        <f t="shared" ref="Z57" si="28">Z55-Z56</f>
        <v>31481</v>
      </c>
      <c r="AA57" s="77">
        <f t="shared" ref="AA57" si="29">AA55-AA56</f>
        <v>31481</v>
      </c>
      <c r="AB57" s="77">
        <f t="shared" ref="AB57" si="30">AB55-AB56</f>
        <v>31481</v>
      </c>
      <c r="AC57" s="77">
        <f t="shared" ref="AC57" si="31">AC55-AC56</f>
        <v>27782</v>
      </c>
      <c r="AD57" s="77">
        <f t="shared" ref="AD57" si="32">AD55-AD56</f>
        <v>3549</v>
      </c>
      <c r="AE57" s="7">
        <f t="shared" ref="AE57" si="33">SUM(D57:AD57)</f>
        <v>806057</v>
      </c>
    </row>
    <row r="58" spans="1:31"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</row>
    <row r="59" spans="1:31" s="43" customFormat="1" ht="20.25">
      <c r="A59" s="446" t="s">
        <v>356</v>
      </c>
      <c r="B59" s="446"/>
      <c r="C59" s="446"/>
      <c r="D59" s="446"/>
      <c r="E59" s="446"/>
      <c r="F59" s="446"/>
      <c r="G59" s="446"/>
      <c r="H59" s="446"/>
      <c r="I59" s="446"/>
      <c r="J59" s="446"/>
      <c r="K59" s="446"/>
      <c r="L59" s="446"/>
      <c r="M59" s="446"/>
      <c r="N59" s="446"/>
      <c r="O59" s="446"/>
      <c r="P59" s="446"/>
      <c r="Q59" s="446"/>
      <c r="R59" s="446"/>
      <c r="S59" s="446"/>
      <c r="T59" s="446"/>
      <c r="U59" s="446"/>
      <c r="V59" s="446"/>
      <c r="W59" s="446"/>
      <c r="X59" s="446"/>
      <c r="Y59" s="446"/>
      <c r="Z59" s="446"/>
      <c r="AA59" s="446"/>
      <c r="AB59" s="446"/>
      <c r="AC59" s="447" t="s">
        <v>302</v>
      </c>
      <c r="AD59" s="447"/>
      <c r="AE59" s="447"/>
    </row>
    <row r="60" spans="1:31" s="43" customFormat="1" ht="15.75">
      <c r="A60" s="435" t="s">
        <v>160</v>
      </c>
      <c r="B60" s="437" t="s">
        <v>16</v>
      </c>
      <c r="C60" s="438"/>
      <c r="D60" s="441" t="s">
        <v>165</v>
      </c>
      <c r="E60" s="441"/>
      <c r="F60" s="441"/>
      <c r="G60" s="442" t="s">
        <v>166</v>
      </c>
      <c r="H60" s="442"/>
      <c r="I60" s="442"/>
      <c r="J60" s="443" t="s">
        <v>167</v>
      </c>
      <c r="K60" s="444"/>
      <c r="L60" s="444"/>
      <c r="M60" s="444"/>
      <c r="N60" s="444"/>
      <c r="O60" s="444"/>
      <c r="P60" s="445"/>
      <c r="Q60" s="350" t="s">
        <v>171</v>
      </c>
      <c r="R60" s="431"/>
      <c r="S60" s="431"/>
      <c r="T60" s="431"/>
      <c r="U60" s="431"/>
      <c r="V60" s="431"/>
      <c r="W60" s="351"/>
      <c r="X60" s="432" t="s">
        <v>172</v>
      </c>
      <c r="Y60" s="433"/>
      <c r="Z60" s="433"/>
      <c r="AA60" s="433"/>
      <c r="AB60" s="433"/>
      <c r="AC60" s="433"/>
      <c r="AD60" s="434"/>
      <c r="AE60" s="435" t="s">
        <v>88</v>
      </c>
    </row>
    <row r="61" spans="1:31" s="43" customFormat="1" ht="15.75">
      <c r="A61" s="436"/>
      <c r="B61" s="439"/>
      <c r="C61" s="440"/>
      <c r="D61" s="75" t="s">
        <v>26</v>
      </c>
      <c r="E61" s="75" t="s">
        <v>168</v>
      </c>
      <c r="F61" s="76" t="s">
        <v>31</v>
      </c>
      <c r="G61" s="40" t="s">
        <v>26</v>
      </c>
      <c r="H61" s="40" t="s">
        <v>168</v>
      </c>
      <c r="I61" s="128" t="s">
        <v>31</v>
      </c>
      <c r="J61" s="75" t="s">
        <v>26</v>
      </c>
      <c r="K61" s="75" t="s">
        <v>168</v>
      </c>
      <c r="L61" s="76" t="s">
        <v>31</v>
      </c>
      <c r="M61" s="77" t="s">
        <v>169</v>
      </c>
      <c r="N61" s="77" t="s">
        <v>32</v>
      </c>
      <c r="O61" s="76" t="s">
        <v>170</v>
      </c>
      <c r="P61" s="76" t="s">
        <v>49</v>
      </c>
      <c r="Q61" s="41" t="s">
        <v>26</v>
      </c>
      <c r="R61" s="41" t="s">
        <v>168</v>
      </c>
      <c r="S61" s="129" t="s">
        <v>31</v>
      </c>
      <c r="T61" s="129" t="s">
        <v>169</v>
      </c>
      <c r="U61" s="129" t="s">
        <v>32</v>
      </c>
      <c r="V61" s="129" t="s">
        <v>170</v>
      </c>
      <c r="W61" s="129" t="s">
        <v>49</v>
      </c>
      <c r="X61" s="79" t="s">
        <v>26</v>
      </c>
      <c r="Y61" s="79" t="s">
        <v>168</v>
      </c>
      <c r="Z61" s="80" t="s">
        <v>31</v>
      </c>
      <c r="AA61" s="80" t="s">
        <v>169</v>
      </c>
      <c r="AB61" s="80" t="s">
        <v>32</v>
      </c>
      <c r="AC61" s="80" t="s">
        <v>170</v>
      </c>
      <c r="AD61" s="80" t="s">
        <v>49</v>
      </c>
      <c r="AE61" s="436"/>
    </row>
    <row r="62" spans="1:31" s="43" customFormat="1" ht="15.75">
      <c r="A62" s="425">
        <v>1</v>
      </c>
      <c r="B62" s="427" t="s">
        <v>206</v>
      </c>
      <c r="C62" s="127" t="s">
        <v>24</v>
      </c>
      <c r="D62" s="77">
        <v>2008</v>
      </c>
      <c r="E62" s="77">
        <v>2008</v>
      </c>
      <c r="F62" s="77">
        <v>2008</v>
      </c>
      <c r="G62" s="127">
        <v>2029</v>
      </c>
      <c r="H62" s="127">
        <v>2029</v>
      </c>
      <c r="I62" s="127">
        <v>2029</v>
      </c>
      <c r="J62" s="77">
        <v>2012</v>
      </c>
      <c r="K62" s="77">
        <v>2012</v>
      </c>
      <c r="L62" s="77">
        <v>2012</v>
      </c>
      <c r="M62" s="77">
        <v>2012</v>
      </c>
      <c r="N62" s="77">
        <v>2012</v>
      </c>
      <c r="O62" s="77">
        <v>1764</v>
      </c>
      <c r="P62" s="77">
        <v>248</v>
      </c>
      <c r="Q62" s="127">
        <v>1843</v>
      </c>
      <c r="R62" s="127">
        <v>1843</v>
      </c>
      <c r="S62" s="127">
        <v>1843</v>
      </c>
      <c r="T62" s="127">
        <v>1843</v>
      </c>
      <c r="U62" s="127">
        <v>1843</v>
      </c>
      <c r="V62" s="7">
        <v>1625</v>
      </c>
      <c r="W62" s="7">
        <v>218</v>
      </c>
      <c r="X62" s="81">
        <v>1647</v>
      </c>
      <c r="Y62" s="81">
        <v>1647</v>
      </c>
      <c r="Z62" s="81">
        <v>1647</v>
      </c>
      <c r="AA62" s="81">
        <v>1647</v>
      </c>
      <c r="AB62" s="81">
        <v>1647</v>
      </c>
      <c r="AC62" s="81">
        <v>1429</v>
      </c>
      <c r="AD62" s="81">
        <v>218</v>
      </c>
      <c r="AE62" s="7">
        <f>SUM(D62:AD62)</f>
        <v>45123</v>
      </c>
    </row>
    <row r="63" spans="1:31" s="43" customFormat="1" ht="15.75">
      <c r="A63" s="425"/>
      <c r="B63" s="427"/>
      <c r="C63" s="127" t="s">
        <v>25</v>
      </c>
      <c r="D63" s="77"/>
      <c r="E63" s="77"/>
      <c r="F63" s="77"/>
      <c r="G63" s="127"/>
      <c r="H63" s="127"/>
      <c r="I63" s="127"/>
      <c r="J63" s="77"/>
      <c r="K63" s="77"/>
      <c r="L63" s="77"/>
      <c r="M63" s="77"/>
      <c r="N63" s="77"/>
      <c r="O63" s="77"/>
      <c r="P63" s="77"/>
      <c r="Q63" s="127"/>
      <c r="R63" s="127"/>
      <c r="S63" s="127"/>
      <c r="T63" s="127"/>
      <c r="U63" s="127"/>
      <c r="V63" s="7"/>
      <c r="W63" s="7"/>
      <c r="X63" s="81"/>
      <c r="Y63" s="81"/>
      <c r="Z63" s="81"/>
      <c r="AA63" s="81"/>
      <c r="AB63" s="81"/>
      <c r="AC63" s="81"/>
      <c r="AD63" s="81"/>
      <c r="AE63" s="7">
        <f t="shared" ref="AE63:AE79" si="34">SUM(D63:AD63)</f>
        <v>0</v>
      </c>
    </row>
    <row r="64" spans="1:31" s="43" customFormat="1" ht="15.75">
      <c r="A64" s="425">
        <v>2</v>
      </c>
      <c r="B64" s="425" t="s">
        <v>357</v>
      </c>
      <c r="C64" s="127" t="s">
        <v>24</v>
      </c>
      <c r="D64" s="77">
        <v>6175</v>
      </c>
      <c r="E64" s="77">
        <v>6175</v>
      </c>
      <c r="F64" s="77">
        <v>6175</v>
      </c>
      <c r="G64" s="127">
        <v>6081</v>
      </c>
      <c r="H64" s="127">
        <v>6081</v>
      </c>
      <c r="I64" s="127">
        <v>6081</v>
      </c>
      <c r="J64" s="77">
        <v>6124</v>
      </c>
      <c r="K64" s="77">
        <v>6124</v>
      </c>
      <c r="L64" s="77">
        <v>6124</v>
      </c>
      <c r="M64" s="77">
        <v>6124</v>
      </c>
      <c r="N64" s="77">
        <v>6124</v>
      </c>
      <c r="O64" s="77">
        <v>5851</v>
      </c>
      <c r="P64" s="77">
        <v>271</v>
      </c>
      <c r="Q64" s="127">
        <v>5814</v>
      </c>
      <c r="R64" s="127">
        <v>5814</v>
      </c>
      <c r="S64" s="127">
        <v>5814</v>
      </c>
      <c r="T64" s="127">
        <v>5814</v>
      </c>
      <c r="U64" s="127">
        <v>5814</v>
      </c>
      <c r="V64" s="7">
        <v>5543</v>
      </c>
      <c r="W64" s="7">
        <v>271</v>
      </c>
      <c r="X64" s="81">
        <v>5180</v>
      </c>
      <c r="Y64" s="81">
        <v>5180</v>
      </c>
      <c r="Z64" s="81">
        <v>5180</v>
      </c>
      <c r="AA64" s="81">
        <v>5180</v>
      </c>
      <c r="AB64" s="81">
        <v>5180</v>
      </c>
      <c r="AC64" s="81">
        <v>4927</v>
      </c>
      <c r="AD64" s="81">
        <v>252</v>
      </c>
      <c r="AE64" s="7">
        <f t="shared" si="34"/>
        <v>139473</v>
      </c>
    </row>
    <row r="65" spans="1:31" s="43" customFormat="1" ht="15.75">
      <c r="A65" s="425"/>
      <c r="B65" s="425"/>
      <c r="C65" s="127" t="s">
        <v>25</v>
      </c>
      <c r="D65" s="77"/>
      <c r="E65" s="77"/>
      <c r="F65" s="77"/>
      <c r="G65" s="127"/>
      <c r="H65" s="127"/>
      <c r="I65" s="127"/>
      <c r="J65" s="77"/>
      <c r="K65" s="77"/>
      <c r="L65" s="77"/>
      <c r="M65" s="77"/>
      <c r="N65" s="77"/>
      <c r="O65" s="77"/>
      <c r="P65" s="77"/>
      <c r="Q65" s="127"/>
      <c r="R65" s="127"/>
      <c r="S65" s="127"/>
      <c r="T65" s="127"/>
      <c r="U65" s="127"/>
      <c r="V65" s="7"/>
      <c r="W65" s="7"/>
      <c r="X65" s="81"/>
      <c r="Y65" s="81"/>
      <c r="Z65" s="81"/>
      <c r="AA65" s="81"/>
      <c r="AB65" s="81"/>
      <c r="AC65" s="81"/>
      <c r="AD65" s="81"/>
      <c r="AE65" s="7">
        <f t="shared" si="34"/>
        <v>0</v>
      </c>
    </row>
    <row r="66" spans="1:31" s="43" customFormat="1" ht="15.75">
      <c r="A66" s="425">
        <v>3</v>
      </c>
      <c r="B66" s="429" t="s">
        <v>358</v>
      </c>
      <c r="C66" s="127" t="s">
        <v>24</v>
      </c>
      <c r="D66" s="77">
        <v>18430</v>
      </c>
      <c r="E66" s="77">
        <v>18430</v>
      </c>
      <c r="F66" s="77">
        <v>18430</v>
      </c>
      <c r="G66" s="127">
        <v>17653</v>
      </c>
      <c r="H66" s="127">
        <v>17653</v>
      </c>
      <c r="I66" s="127">
        <v>17653</v>
      </c>
      <c r="J66" s="77">
        <v>17586</v>
      </c>
      <c r="K66" s="77">
        <v>17586</v>
      </c>
      <c r="L66" s="77">
        <v>17586</v>
      </c>
      <c r="M66" s="77">
        <v>17586</v>
      </c>
      <c r="N66" s="77">
        <v>17586</v>
      </c>
      <c r="O66" s="77">
        <v>14767</v>
      </c>
      <c r="P66" s="77">
        <v>2765</v>
      </c>
      <c r="Q66" s="127">
        <v>16786</v>
      </c>
      <c r="R66" s="127">
        <v>16786</v>
      </c>
      <c r="S66" s="127">
        <v>16786</v>
      </c>
      <c r="T66" s="127">
        <v>16786</v>
      </c>
      <c r="U66" s="127">
        <v>16786</v>
      </c>
      <c r="V66" s="7">
        <v>14042</v>
      </c>
      <c r="W66" s="7">
        <v>2694</v>
      </c>
      <c r="X66" s="81">
        <v>15398</v>
      </c>
      <c r="Y66" s="81">
        <v>15398</v>
      </c>
      <c r="Z66" s="81">
        <v>15398</v>
      </c>
      <c r="AA66" s="81">
        <v>15398</v>
      </c>
      <c r="AB66" s="81">
        <v>15398</v>
      </c>
      <c r="AC66" s="81">
        <v>12810</v>
      </c>
      <c r="AD66" s="81">
        <v>2528</v>
      </c>
      <c r="AE66" s="7">
        <f t="shared" si="34"/>
        <v>406705</v>
      </c>
    </row>
    <row r="67" spans="1:31" s="43" customFormat="1" ht="15.75">
      <c r="A67" s="425"/>
      <c r="B67" s="426"/>
      <c r="C67" s="127" t="s">
        <v>25</v>
      </c>
      <c r="D67" s="77"/>
      <c r="E67" s="77"/>
      <c r="F67" s="77"/>
      <c r="G67" s="127"/>
      <c r="H67" s="127"/>
      <c r="I67" s="127"/>
      <c r="J67" s="77"/>
      <c r="K67" s="77"/>
      <c r="L67" s="77"/>
      <c r="M67" s="77"/>
      <c r="N67" s="77"/>
      <c r="O67" s="77"/>
      <c r="P67" s="77"/>
      <c r="Q67" s="127"/>
      <c r="R67" s="127"/>
      <c r="S67" s="127"/>
      <c r="T67" s="127"/>
      <c r="U67" s="127"/>
      <c r="V67" s="7"/>
      <c r="W67" s="7"/>
      <c r="X67" s="81"/>
      <c r="Y67" s="81"/>
      <c r="Z67" s="81"/>
      <c r="AA67" s="81"/>
      <c r="AB67" s="81"/>
      <c r="AC67" s="81"/>
      <c r="AD67" s="81"/>
      <c r="AE67" s="7">
        <f t="shared" si="34"/>
        <v>0</v>
      </c>
    </row>
    <row r="68" spans="1:31" s="43" customFormat="1" ht="15.75">
      <c r="A68" s="425">
        <v>4</v>
      </c>
      <c r="B68" s="425" t="s">
        <v>205</v>
      </c>
      <c r="C68" s="127" t="s">
        <v>24</v>
      </c>
      <c r="D68" s="77">
        <v>7247</v>
      </c>
      <c r="E68" s="77">
        <v>7247</v>
      </c>
      <c r="F68" s="77">
        <v>7247</v>
      </c>
      <c r="G68" s="127">
        <v>6921</v>
      </c>
      <c r="H68" s="127">
        <v>6921</v>
      </c>
      <c r="I68" s="127">
        <v>6921</v>
      </c>
      <c r="J68" s="77">
        <v>7086</v>
      </c>
      <c r="K68" s="77">
        <v>7086</v>
      </c>
      <c r="L68" s="77">
        <v>7086</v>
      </c>
      <c r="M68" s="77">
        <v>7086</v>
      </c>
      <c r="N68" s="77">
        <v>7086</v>
      </c>
      <c r="O68" s="77">
        <v>6877</v>
      </c>
      <c r="P68" s="77">
        <v>205</v>
      </c>
      <c r="Q68" s="127">
        <v>6627</v>
      </c>
      <c r="R68" s="127">
        <v>6627</v>
      </c>
      <c r="S68" s="127">
        <v>6627</v>
      </c>
      <c r="T68" s="127">
        <v>6627</v>
      </c>
      <c r="U68" s="127">
        <v>6627</v>
      </c>
      <c r="V68" s="7">
        <v>6403</v>
      </c>
      <c r="W68" s="7">
        <v>222</v>
      </c>
      <c r="X68" s="81">
        <v>5665</v>
      </c>
      <c r="Y68" s="81">
        <v>5665</v>
      </c>
      <c r="Z68" s="81">
        <v>5665</v>
      </c>
      <c r="AA68" s="81">
        <v>5665</v>
      </c>
      <c r="AB68" s="81">
        <v>5665</v>
      </c>
      <c r="AC68" s="81">
        <v>5489</v>
      </c>
      <c r="AD68" s="81">
        <v>175</v>
      </c>
      <c r="AE68" s="7">
        <f t="shared" si="34"/>
        <v>158765</v>
      </c>
    </row>
    <row r="69" spans="1:31" s="43" customFormat="1" ht="15.75">
      <c r="A69" s="425"/>
      <c r="B69" s="425"/>
      <c r="C69" s="127" t="s">
        <v>25</v>
      </c>
      <c r="D69" s="77"/>
      <c r="E69" s="77"/>
      <c r="F69" s="77"/>
      <c r="G69" s="127"/>
      <c r="H69" s="127"/>
      <c r="I69" s="127"/>
      <c r="J69" s="77"/>
      <c r="K69" s="77"/>
      <c r="L69" s="77"/>
      <c r="M69" s="77"/>
      <c r="N69" s="77"/>
      <c r="O69" s="77"/>
      <c r="P69" s="77"/>
      <c r="Q69" s="127"/>
      <c r="R69" s="127"/>
      <c r="S69" s="127"/>
      <c r="T69" s="127"/>
      <c r="U69" s="127"/>
      <c r="V69" s="7"/>
      <c r="W69" s="7"/>
      <c r="X69" s="81"/>
      <c r="Y69" s="81"/>
      <c r="Z69" s="81"/>
      <c r="AA69" s="81"/>
      <c r="AB69" s="81"/>
      <c r="AC69" s="81"/>
      <c r="AD69" s="81"/>
      <c r="AE69" s="7">
        <f t="shared" si="34"/>
        <v>0</v>
      </c>
    </row>
    <row r="70" spans="1:31" s="43" customFormat="1" ht="15.75">
      <c r="A70" s="425">
        <v>5</v>
      </c>
      <c r="B70" s="425" t="s">
        <v>207</v>
      </c>
      <c r="C70" s="127" t="s">
        <v>24</v>
      </c>
      <c r="D70" s="77">
        <v>2017</v>
      </c>
      <c r="E70" s="77">
        <v>2017</v>
      </c>
      <c r="F70" s="77">
        <v>2017</v>
      </c>
      <c r="G70" s="127">
        <v>1939</v>
      </c>
      <c r="H70" s="127">
        <v>1939</v>
      </c>
      <c r="I70" s="127">
        <v>1939</v>
      </c>
      <c r="J70" s="77">
        <v>2049</v>
      </c>
      <c r="K70" s="77">
        <v>2049</v>
      </c>
      <c r="L70" s="77">
        <v>2049</v>
      </c>
      <c r="M70" s="77">
        <v>2049</v>
      </c>
      <c r="N70" s="77">
        <v>2049</v>
      </c>
      <c r="O70" s="77">
        <v>1802</v>
      </c>
      <c r="P70" s="77">
        <v>247</v>
      </c>
      <c r="Q70" s="127">
        <v>1995</v>
      </c>
      <c r="R70" s="127">
        <v>1995</v>
      </c>
      <c r="S70" s="127">
        <v>1995</v>
      </c>
      <c r="T70" s="127">
        <v>1995</v>
      </c>
      <c r="U70" s="127">
        <v>1995</v>
      </c>
      <c r="V70" s="7">
        <v>1754</v>
      </c>
      <c r="W70" s="7">
        <v>241</v>
      </c>
      <c r="X70" s="81">
        <v>1781</v>
      </c>
      <c r="Y70" s="81">
        <v>1781</v>
      </c>
      <c r="Z70" s="81">
        <v>1781</v>
      </c>
      <c r="AA70" s="81">
        <v>1781</v>
      </c>
      <c r="AB70" s="81">
        <v>1781</v>
      </c>
      <c r="AC70" s="81">
        <v>1557</v>
      </c>
      <c r="AD70" s="81">
        <v>224</v>
      </c>
      <c r="AE70" s="7">
        <f t="shared" si="34"/>
        <v>46818</v>
      </c>
    </row>
    <row r="71" spans="1:31" s="43" customFormat="1" ht="15.75">
      <c r="A71" s="425"/>
      <c r="B71" s="425"/>
      <c r="C71" s="127" t="s">
        <v>25</v>
      </c>
      <c r="D71" s="77"/>
      <c r="E71" s="77"/>
      <c r="F71" s="77"/>
      <c r="G71" s="127"/>
      <c r="H71" s="127"/>
      <c r="I71" s="127"/>
      <c r="J71" s="77"/>
      <c r="K71" s="77"/>
      <c r="L71" s="77"/>
      <c r="M71" s="77"/>
      <c r="N71" s="77"/>
      <c r="O71" s="77"/>
      <c r="P71" s="77"/>
      <c r="Q71" s="127"/>
      <c r="R71" s="127"/>
      <c r="S71" s="127"/>
      <c r="T71" s="127"/>
      <c r="U71" s="127"/>
      <c r="V71" s="7"/>
      <c r="W71" s="7"/>
      <c r="X71" s="81"/>
      <c r="Y71" s="81"/>
      <c r="Z71" s="81"/>
      <c r="AA71" s="81"/>
      <c r="AB71" s="81"/>
      <c r="AC71" s="81"/>
      <c r="AD71" s="81"/>
      <c r="AE71" s="7">
        <f t="shared" si="34"/>
        <v>0</v>
      </c>
    </row>
    <row r="72" spans="1:31" s="43" customFormat="1" ht="15.75">
      <c r="A72" s="425">
        <v>6</v>
      </c>
      <c r="B72" s="425" t="s">
        <v>359</v>
      </c>
      <c r="C72" s="127" t="s">
        <v>24</v>
      </c>
      <c r="D72" s="77">
        <v>3379</v>
      </c>
      <c r="E72" s="77">
        <v>3379</v>
      </c>
      <c r="F72" s="77">
        <v>3379</v>
      </c>
      <c r="G72" s="127">
        <v>3315</v>
      </c>
      <c r="H72" s="127">
        <v>3315</v>
      </c>
      <c r="I72" s="127">
        <v>3315</v>
      </c>
      <c r="J72" s="77">
        <v>3415</v>
      </c>
      <c r="K72" s="77">
        <v>3415</v>
      </c>
      <c r="L72" s="77">
        <v>3415</v>
      </c>
      <c r="M72" s="77">
        <v>3415</v>
      </c>
      <c r="N72" s="77">
        <v>3415</v>
      </c>
      <c r="O72" s="77">
        <v>3072</v>
      </c>
      <c r="P72" s="77">
        <v>343</v>
      </c>
      <c r="Q72" s="127">
        <v>3193</v>
      </c>
      <c r="R72" s="127">
        <v>3193</v>
      </c>
      <c r="S72" s="127">
        <v>3193</v>
      </c>
      <c r="T72" s="127">
        <v>3193</v>
      </c>
      <c r="U72" s="127">
        <v>3193</v>
      </c>
      <c r="V72" s="7">
        <v>2878</v>
      </c>
      <c r="W72" s="7">
        <v>314</v>
      </c>
      <c r="X72" s="81">
        <v>2914</v>
      </c>
      <c r="Y72" s="81">
        <v>2914</v>
      </c>
      <c r="Z72" s="81">
        <v>2914</v>
      </c>
      <c r="AA72" s="81">
        <v>2914</v>
      </c>
      <c r="AB72" s="81">
        <v>2914</v>
      </c>
      <c r="AC72" s="81">
        <v>2613</v>
      </c>
      <c r="AD72" s="81">
        <v>301</v>
      </c>
      <c r="AE72" s="7">
        <f t="shared" si="34"/>
        <v>77213</v>
      </c>
    </row>
    <row r="73" spans="1:31" s="43" customFormat="1" ht="15.75">
      <c r="A73" s="425"/>
      <c r="B73" s="425"/>
      <c r="C73" s="127" t="s">
        <v>25</v>
      </c>
      <c r="D73" s="77"/>
      <c r="E73" s="77"/>
      <c r="F73" s="77"/>
      <c r="G73" s="127"/>
      <c r="H73" s="127"/>
      <c r="I73" s="127"/>
      <c r="J73" s="77"/>
      <c r="K73" s="77"/>
      <c r="L73" s="77"/>
      <c r="M73" s="77"/>
      <c r="N73" s="77"/>
      <c r="O73" s="77"/>
      <c r="P73" s="77"/>
      <c r="Q73" s="127"/>
      <c r="R73" s="127"/>
      <c r="S73" s="127"/>
      <c r="T73" s="127"/>
      <c r="U73" s="127"/>
      <c r="V73" s="7"/>
      <c r="W73" s="7"/>
      <c r="X73" s="81"/>
      <c r="Y73" s="81"/>
      <c r="Z73" s="81"/>
      <c r="AA73" s="81"/>
      <c r="AB73" s="81"/>
      <c r="AC73" s="81"/>
      <c r="AD73" s="81"/>
      <c r="AE73" s="7">
        <f t="shared" si="34"/>
        <v>0</v>
      </c>
    </row>
    <row r="74" spans="1:31" s="43" customFormat="1" ht="15.75">
      <c r="A74" s="425">
        <v>7</v>
      </c>
      <c r="B74" s="427" t="s">
        <v>219</v>
      </c>
      <c r="C74" s="127" t="s">
        <v>24</v>
      </c>
      <c r="D74" s="77">
        <v>2</v>
      </c>
      <c r="E74" s="77">
        <v>2</v>
      </c>
      <c r="F74" s="77">
        <v>2</v>
      </c>
      <c r="G74" s="127">
        <v>2</v>
      </c>
      <c r="H74" s="127">
        <v>2</v>
      </c>
      <c r="I74" s="127">
        <v>2</v>
      </c>
      <c r="J74" s="77">
        <v>2</v>
      </c>
      <c r="K74" s="77">
        <v>2</v>
      </c>
      <c r="L74" s="77">
        <v>2</v>
      </c>
      <c r="M74" s="77">
        <v>2</v>
      </c>
      <c r="N74" s="77">
        <v>2</v>
      </c>
      <c r="O74" s="77">
        <v>2</v>
      </c>
      <c r="P74" s="77">
        <v>2</v>
      </c>
      <c r="Q74" s="127">
        <v>2</v>
      </c>
      <c r="R74" s="127">
        <v>2</v>
      </c>
      <c r="S74" s="127">
        <v>2</v>
      </c>
      <c r="T74" s="127">
        <v>2</v>
      </c>
      <c r="U74" s="127">
        <v>2</v>
      </c>
      <c r="V74" s="7">
        <v>2</v>
      </c>
      <c r="W74" s="7">
        <v>2</v>
      </c>
      <c r="X74" s="81">
        <v>2</v>
      </c>
      <c r="Y74" s="81">
        <v>2</v>
      </c>
      <c r="Z74" s="81">
        <v>2</v>
      </c>
      <c r="AA74" s="81">
        <v>2</v>
      </c>
      <c r="AB74" s="81">
        <v>2</v>
      </c>
      <c r="AC74" s="81">
        <v>2</v>
      </c>
      <c r="AD74" s="81">
        <v>2</v>
      </c>
      <c r="AE74" s="7">
        <f t="shared" si="34"/>
        <v>54</v>
      </c>
    </row>
    <row r="75" spans="1:31" s="43" customFormat="1" ht="15.75">
      <c r="A75" s="425"/>
      <c r="B75" s="427"/>
      <c r="C75" s="127" t="s">
        <v>25</v>
      </c>
      <c r="D75" s="77"/>
      <c r="E75" s="77"/>
      <c r="F75" s="77"/>
      <c r="G75" s="127"/>
      <c r="H75" s="127"/>
      <c r="I75" s="127"/>
      <c r="J75" s="77"/>
      <c r="K75" s="77"/>
      <c r="L75" s="77"/>
      <c r="M75" s="77"/>
      <c r="N75" s="77"/>
      <c r="O75" s="77"/>
      <c r="P75" s="77"/>
      <c r="Q75" s="127"/>
      <c r="R75" s="127"/>
      <c r="S75" s="127"/>
      <c r="T75" s="127"/>
      <c r="U75" s="127"/>
      <c r="V75" s="7"/>
      <c r="W75" s="7"/>
      <c r="X75" s="81"/>
      <c r="Y75" s="81"/>
      <c r="Z75" s="81"/>
      <c r="AA75" s="81"/>
      <c r="AB75" s="81"/>
      <c r="AC75" s="81"/>
      <c r="AD75" s="81"/>
      <c r="AE75" s="7">
        <f t="shared" si="34"/>
        <v>0</v>
      </c>
    </row>
    <row r="76" spans="1:31" s="43" customFormat="1" ht="15.75">
      <c r="A76" s="425">
        <v>8</v>
      </c>
      <c r="B76" s="427" t="s">
        <v>220</v>
      </c>
      <c r="C76" s="127" t="s">
        <v>24</v>
      </c>
      <c r="D76" s="77">
        <v>2</v>
      </c>
      <c r="E76" s="77">
        <v>2</v>
      </c>
      <c r="F76" s="77">
        <v>2</v>
      </c>
      <c r="G76" s="127">
        <v>2</v>
      </c>
      <c r="H76" s="127">
        <v>2</v>
      </c>
      <c r="I76" s="127">
        <v>2</v>
      </c>
      <c r="J76" s="77">
        <v>2</v>
      </c>
      <c r="K76" s="77">
        <v>2</v>
      </c>
      <c r="L76" s="77">
        <v>2</v>
      </c>
      <c r="M76" s="77">
        <v>2</v>
      </c>
      <c r="N76" s="77">
        <v>2</v>
      </c>
      <c r="O76" s="77">
        <v>2</v>
      </c>
      <c r="P76" s="77">
        <v>2</v>
      </c>
      <c r="Q76" s="127">
        <v>2</v>
      </c>
      <c r="R76" s="127">
        <v>2</v>
      </c>
      <c r="S76" s="127">
        <v>2</v>
      </c>
      <c r="T76" s="127">
        <v>2</v>
      </c>
      <c r="U76" s="127">
        <v>2</v>
      </c>
      <c r="V76" s="7">
        <v>2</v>
      </c>
      <c r="W76" s="7">
        <v>2</v>
      </c>
      <c r="X76" s="81">
        <v>2</v>
      </c>
      <c r="Y76" s="81">
        <v>2</v>
      </c>
      <c r="Z76" s="81">
        <v>2</v>
      </c>
      <c r="AA76" s="81">
        <v>2</v>
      </c>
      <c r="AB76" s="81">
        <v>2</v>
      </c>
      <c r="AC76" s="81">
        <v>2</v>
      </c>
      <c r="AD76" s="81">
        <v>2</v>
      </c>
      <c r="AE76" s="7">
        <f t="shared" si="34"/>
        <v>54</v>
      </c>
    </row>
    <row r="77" spans="1:31" s="43" customFormat="1" ht="15.75">
      <c r="A77" s="425"/>
      <c r="B77" s="427"/>
      <c r="C77" s="127" t="s">
        <v>25</v>
      </c>
      <c r="D77" s="77"/>
      <c r="E77" s="77"/>
      <c r="F77" s="77"/>
      <c r="G77" s="127"/>
      <c r="H77" s="127"/>
      <c r="I77" s="127"/>
      <c r="J77" s="77"/>
      <c r="K77" s="77"/>
      <c r="L77" s="77"/>
      <c r="M77" s="77"/>
      <c r="N77" s="77"/>
      <c r="O77" s="77"/>
      <c r="P77" s="77"/>
      <c r="Q77" s="127"/>
      <c r="R77" s="127"/>
      <c r="S77" s="127"/>
      <c r="T77" s="127"/>
      <c r="U77" s="127"/>
      <c r="V77" s="7"/>
      <c r="W77" s="7"/>
      <c r="X77" s="81"/>
      <c r="Y77" s="81"/>
      <c r="Z77" s="81"/>
      <c r="AA77" s="81"/>
      <c r="AB77" s="81"/>
      <c r="AC77" s="81"/>
      <c r="AD77" s="81"/>
      <c r="AE77" s="7">
        <f t="shared" si="34"/>
        <v>0</v>
      </c>
    </row>
    <row r="78" spans="1:31" s="43" customFormat="1" ht="15.75">
      <c r="A78" s="425">
        <v>9</v>
      </c>
      <c r="B78" s="427" t="s">
        <v>306</v>
      </c>
      <c r="C78" s="127" t="s">
        <v>24</v>
      </c>
      <c r="D78" s="77">
        <v>6</v>
      </c>
      <c r="E78" s="77">
        <v>6</v>
      </c>
      <c r="F78" s="77">
        <v>6</v>
      </c>
      <c r="G78" s="127">
        <v>6</v>
      </c>
      <c r="H78" s="127">
        <v>6</v>
      </c>
      <c r="I78" s="127">
        <v>6</v>
      </c>
      <c r="J78" s="77">
        <v>6</v>
      </c>
      <c r="K78" s="77">
        <v>6</v>
      </c>
      <c r="L78" s="77">
        <v>6</v>
      </c>
      <c r="M78" s="77">
        <v>6</v>
      </c>
      <c r="N78" s="77">
        <v>6</v>
      </c>
      <c r="O78" s="77">
        <v>6</v>
      </c>
      <c r="P78" s="77">
        <v>6</v>
      </c>
      <c r="Q78" s="127">
        <v>6</v>
      </c>
      <c r="R78" s="127">
        <v>6</v>
      </c>
      <c r="S78" s="127">
        <v>6</v>
      </c>
      <c r="T78" s="127">
        <v>6</v>
      </c>
      <c r="U78" s="127">
        <v>6</v>
      </c>
      <c r="V78" s="127">
        <v>6</v>
      </c>
      <c r="W78" s="127">
        <v>6</v>
      </c>
      <c r="X78" s="81">
        <v>6</v>
      </c>
      <c r="Y78" s="81">
        <v>6</v>
      </c>
      <c r="Z78" s="81">
        <v>6</v>
      </c>
      <c r="AA78" s="81">
        <v>6</v>
      </c>
      <c r="AB78" s="81">
        <v>6</v>
      </c>
      <c r="AC78" s="81">
        <v>6</v>
      </c>
      <c r="AD78" s="81">
        <v>6</v>
      </c>
      <c r="AE78" s="7">
        <f t="shared" si="34"/>
        <v>162</v>
      </c>
    </row>
    <row r="79" spans="1:31" s="43" customFormat="1" ht="15.75">
      <c r="A79" s="425"/>
      <c r="B79" s="427"/>
      <c r="C79" s="127" t="s">
        <v>25</v>
      </c>
      <c r="D79" s="77"/>
      <c r="E79" s="77"/>
      <c r="F79" s="77"/>
      <c r="G79" s="127"/>
      <c r="H79" s="127"/>
      <c r="I79" s="127"/>
      <c r="J79" s="77"/>
      <c r="K79" s="77"/>
      <c r="L79" s="77"/>
      <c r="M79" s="77"/>
      <c r="N79" s="77"/>
      <c r="O79" s="77"/>
      <c r="P79" s="77"/>
      <c r="Q79" s="127"/>
      <c r="R79" s="7"/>
      <c r="S79" s="7"/>
      <c r="T79" s="7"/>
      <c r="U79" s="7"/>
      <c r="V79" s="7"/>
      <c r="W79" s="7"/>
      <c r="X79" s="81"/>
      <c r="Y79" s="81"/>
      <c r="Z79" s="81"/>
      <c r="AA79" s="81"/>
      <c r="AB79" s="81"/>
      <c r="AC79" s="81"/>
      <c r="AD79" s="81"/>
      <c r="AE79" s="7">
        <f t="shared" si="34"/>
        <v>0</v>
      </c>
    </row>
    <row r="80" spans="1:31" s="43" customFormat="1" ht="15.75">
      <c r="A80" s="425" t="s">
        <v>163</v>
      </c>
      <c r="B80" s="425"/>
      <c r="C80" s="425"/>
      <c r="D80" s="77">
        <f>D62+D64+D66+D68+D70+D72+D74+D76+D78</f>
        <v>39266</v>
      </c>
      <c r="E80" s="77">
        <f t="shared" ref="E80:AE80" si="35">E62+E64+E66+E68+E70+E72+E74+E76+E78</f>
        <v>39266</v>
      </c>
      <c r="F80" s="77">
        <f t="shared" si="35"/>
        <v>39266</v>
      </c>
      <c r="G80" s="77">
        <f t="shared" si="35"/>
        <v>37948</v>
      </c>
      <c r="H80" s="77">
        <f t="shared" si="35"/>
        <v>37948</v>
      </c>
      <c r="I80" s="77">
        <f t="shared" si="35"/>
        <v>37948</v>
      </c>
      <c r="J80" s="77">
        <f t="shared" si="35"/>
        <v>38282</v>
      </c>
      <c r="K80" s="77">
        <f t="shared" si="35"/>
        <v>38282</v>
      </c>
      <c r="L80" s="77">
        <f t="shared" si="35"/>
        <v>38282</v>
      </c>
      <c r="M80" s="77">
        <f t="shared" si="35"/>
        <v>38282</v>
      </c>
      <c r="N80" s="77">
        <f t="shared" si="35"/>
        <v>38282</v>
      </c>
      <c r="O80" s="77">
        <f t="shared" si="35"/>
        <v>34143</v>
      </c>
      <c r="P80" s="77">
        <f t="shared" si="35"/>
        <v>4089</v>
      </c>
      <c r="Q80" s="77">
        <f t="shared" si="35"/>
        <v>36268</v>
      </c>
      <c r="R80" s="77">
        <f t="shared" si="35"/>
        <v>36268</v>
      </c>
      <c r="S80" s="77">
        <f t="shared" si="35"/>
        <v>36268</v>
      </c>
      <c r="T80" s="77">
        <f t="shared" si="35"/>
        <v>36268</v>
      </c>
      <c r="U80" s="77">
        <f t="shared" si="35"/>
        <v>36268</v>
      </c>
      <c r="V80" s="77">
        <f t="shared" si="35"/>
        <v>32255</v>
      </c>
      <c r="W80" s="77">
        <f t="shared" si="35"/>
        <v>3970</v>
      </c>
      <c r="X80" s="77">
        <f t="shared" si="35"/>
        <v>32595</v>
      </c>
      <c r="Y80" s="77">
        <f t="shared" si="35"/>
        <v>32595</v>
      </c>
      <c r="Z80" s="77">
        <f t="shared" si="35"/>
        <v>32595</v>
      </c>
      <c r="AA80" s="77">
        <f t="shared" si="35"/>
        <v>32595</v>
      </c>
      <c r="AB80" s="77">
        <f t="shared" si="35"/>
        <v>32595</v>
      </c>
      <c r="AC80" s="77">
        <f t="shared" si="35"/>
        <v>28835</v>
      </c>
      <c r="AD80" s="77">
        <f t="shared" si="35"/>
        <v>3708</v>
      </c>
      <c r="AE80" s="77">
        <f t="shared" si="35"/>
        <v>874367</v>
      </c>
    </row>
    <row r="81" spans="1:31" s="43" customFormat="1" ht="15.75">
      <c r="A81" s="425" t="s">
        <v>164</v>
      </c>
      <c r="B81" s="425"/>
      <c r="C81" s="425"/>
      <c r="D81" s="77">
        <f>D63+D65+D67+D69+D71+D73+D75+D77+D79</f>
        <v>0</v>
      </c>
      <c r="E81" s="77">
        <f t="shared" ref="E81:AE81" si="36">E63+E65+E67+E69+E71+E73+E75+E77+E79</f>
        <v>0</v>
      </c>
      <c r="F81" s="77">
        <f t="shared" si="36"/>
        <v>0</v>
      </c>
      <c r="G81" s="77">
        <f t="shared" si="36"/>
        <v>0</v>
      </c>
      <c r="H81" s="77">
        <f t="shared" si="36"/>
        <v>0</v>
      </c>
      <c r="I81" s="77">
        <f t="shared" si="36"/>
        <v>0</v>
      </c>
      <c r="J81" s="77">
        <f t="shared" si="36"/>
        <v>0</v>
      </c>
      <c r="K81" s="77">
        <f t="shared" si="36"/>
        <v>0</v>
      </c>
      <c r="L81" s="77">
        <f t="shared" si="36"/>
        <v>0</v>
      </c>
      <c r="M81" s="77">
        <f t="shared" si="36"/>
        <v>0</v>
      </c>
      <c r="N81" s="77">
        <f t="shared" si="36"/>
        <v>0</v>
      </c>
      <c r="O81" s="77">
        <f t="shared" si="36"/>
        <v>0</v>
      </c>
      <c r="P81" s="77">
        <f t="shared" si="36"/>
        <v>0</v>
      </c>
      <c r="Q81" s="77">
        <f t="shared" si="36"/>
        <v>0</v>
      </c>
      <c r="R81" s="77">
        <f t="shared" si="36"/>
        <v>0</v>
      </c>
      <c r="S81" s="77">
        <f t="shared" si="36"/>
        <v>0</v>
      </c>
      <c r="T81" s="77">
        <f t="shared" si="36"/>
        <v>0</v>
      </c>
      <c r="U81" s="77">
        <f t="shared" si="36"/>
        <v>0</v>
      </c>
      <c r="V81" s="77">
        <f t="shared" si="36"/>
        <v>0</v>
      </c>
      <c r="W81" s="77">
        <f t="shared" si="36"/>
        <v>0</v>
      </c>
      <c r="X81" s="77">
        <f t="shared" si="36"/>
        <v>0</v>
      </c>
      <c r="Y81" s="77">
        <f t="shared" si="36"/>
        <v>0</v>
      </c>
      <c r="Z81" s="77">
        <f t="shared" si="36"/>
        <v>0</v>
      </c>
      <c r="AA81" s="77">
        <f t="shared" si="36"/>
        <v>0</v>
      </c>
      <c r="AB81" s="77">
        <f t="shared" si="36"/>
        <v>0</v>
      </c>
      <c r="AC81" s="77">
        <f t="shared" si="36"/>
        <v>0</v>
      </c>
      <c r="AD81" s="77">
        <f t="shared" si="36"/>
        <v>0</v>
      </c>
      <c r="AE81" s="77">
        <f t="shared" si="36"/>
        <v>0</v>
      </c>
    </row>
    <row r="82" spans="1:31" s="43" customFormat="1" ht="15.75">
      <c r="A82" s="425" t="s">
        <v>70</v>
      </c>
      <c r="B82" s="425"/>
      <c r="C82" s="425"/>
      <c r="D82" s="77">
        <f>D80-D81</f>
        <v>39266</v>
      </c>
      <c r="E82" s="77">
        <f t="shared" ref="E82" si="37">E80-E81</f>
        <v>39266</v>
      </c>
      <c r="F82" s="77">
        <f t="shared" ref="F82" si="38">F80-F81</f>
        <v>39266</v>
      </c>
      <c r="G82" s="77">
        <f t="shared" ref="G82" si="39">G80-G81</f>
        <v>37948</v>
      </c>
      <c r="H82" s="77">
        <f t="shared" ref="H82" si="40">H80-H81</f>
        <v>37948</v>
      </c>
      <c r="I82" s="77">
        <f t="shared" ref="I82" si="41">I80-I81</f>
        <v>37948</v>
      </c>
      <c r="J82" s="77">
        <f t="shared" ref="J82" si="42">J80-J81</f>
        <v>38282</v>
      </c>
      <c r="K82" s="77">
        <f t="shared" ref="K82" si="43">K80-K81</f>
        <v>38282</v>
      </c>
      <c r="L82" s="77">
        <f t="shared" ref="L82" si="44">L80-L81</f>
        <v>38282</v>
      </c>
      <c r="M82" s="77">
        <f t="shared" ref="M82" si="45">M80-M81</f>
        <v>38282</v>
      </c>
      <c r="N82" s="77">
        <f t="shared" ref="N82" si="46">N80-N81</f>
        <v>38282</v>
      </c>
      <c r="O82" s="77">
        <f t="shared" ref="O82" si="47">O80-O81</f>
        <v>34143</v>
      </c>
      <c r="P82" s="77">
        <f t="shared" ref="P82" si="48">P80-P81</f>
        <v>4089</v>
      </c>
      <c r="Q82" s="77">
        <f t="shared" ref="Q82" si="49">Q80-Q81</f>
        <v>36268</v>
      </c>
      <c r="R82" s="77">
        <f t="shared" ref="R82" si="50">R80-R81</f>
        <v>36268</v>
      </c>
      <c r="S82" s="77">
        <f t="shared" ref="S82" si="51">S80-S81</f>
        <v>36268</v>
      </c>
      <c r="T82" s="77">
        <f t="shared" ref="T82" si="52">T80-T81</f>
        <v>36268</v>
      </c>
      <c r="U82" s="77">
        <f t="shared" ref="U82" si="53">U80-U81</f>
        <v>36268</v>
      </c>
      <c r="V82" s="77">
        <f t="shared" ref="V82" si="54">V80-V81</f>
        <v>32255</v>
      </c>
      <c r="W82" s="77">
        <f t="shared" ref="W82" si="55">W80-W81</f>
        <v>3970</v>
      </c>
      <c r="X82" s="77">
        <f t="shared" ref="X82" si="56">X80-X81</f>
        <v>32595</v>
      </c>
      <c r="Y82" s="77">
        <f t="shared" ref="Y82" si="57">Y80-Y81</f>
        <v>32595</v>
      </c>
      <c r="Z82" s="77">
        <f t="shared" ref="Z82" si="58">Z80-Z81</f>
        <v>32595</v>
      </c>
      <c r="AA82" s="77">
        <f t="shared" ref="AA82" si="59">AA80-AA81</f>
        <v>32595</v>
      </c>
      <c r="AB82" s="77">
        <f t="shared" ref="AB82" si="60">AB80-AB81</f>
        <v>32595</v>
      </c>
      <c r="AC82" s="77">
        <f t="shared" ref="AC82" si="61">AC80-AC81</f>
        <v>28835</v>
      </c>
      <c r="AD82" s="77">
        <f t="shared" ref="AD82" si="62">AD80-AD81</f>
        <v>3708</v>
      </c>
      <c r="AE82" s="7">
        <f t="shared" ref="AE82" si="63">SUM(D82:AD82)</f>
        <v>874367</v>
      </c>
    </row>
    <row r="84" spans="1:31" s="43" customFormat="1" ht="20.25">
      <c r="A84" s="446" t="s">
        <v>360</v>
      </c>
      <c r="B84" s="446"/>
      <c r="C84" s="446"/>
      <c r="D84" s="446"/>
      <c r="E84" s="446"/>
      <c r="F84" s="446"/>
      <c r="G84" s="446"/>
      <c r="H84" s="446"/>
      <c r="I84" s="446"/>
      <c r="J84" s="446"/>
      <c r="K84" s="446"/>
      <c r="L84" s="446"/>
      <c r="M84" s="446"/>
      <c r="N84" s="446"/>
      <c r="O84" s="446"/>
      <c r="P84" s="446"/>
      <c r="Q84" s="446"/>
      <c r="R84" s="446"/>
      <c r="S84" s="446"/>
      <c r="T84" s="446"/>
      <c r="U84" s="446"/>
      <c r="V84" s="446"/>
      <c r="W84" s="446"/>
      <c r="X84" s="446"/>
      <c r="Y84" s="446"/>
      <c r="Z84" s="446"/>
      <c r="AA84" s="446"/>
      <c r="AB84" s="446"/>
      <c r="AC84" s="447" t="s">
        <v>302</v>
      </c>
      <c r="AD84" s="447"/>
      <c r="AE84" s="447"/>
    </row>
    <row r="85" spans="1:31" s="43" customFormat="1" ht="15.75">
      <c r="A85" s="435" t="s">
        <v>160</v>
      </c>
      <c r="B85" s="437" t="s">
        <v>16</v>
      </c>
      <c r="C85" s="438"/>
      <c r="D85" s="441" t="s">
        <v>165</v>
      </c>
      <c r="E85" s="441"/>
      <c r="F85" s="441"/>
      <c r="G85" s="442" t="s">
        <v>166</v>
      </c>
      <c r="H85" s="442"/>
      <c r="I85" s="442"/>
      <c r="J85" s="443" t="s">
        <v>167</v>
      </c>
      <c r="K85" s="444"/>
      <c r="L85" s="444"/>
      <c r="M85" s="444"/>
      <c r="N85" s="444"/>
      <c r="O85" s="444"/>
      <c r="P85" s="445"/>
      <c r="Q85" s="350" t="s">
        <v>171</v>
      </c>
      <c r="R85" s="431"/>
      <c r="S85" s="431"/>
      <c r="T85" s="431"/>
      <c r="U85" s="431"/>
      <c r="V85" s="431"/>
      <c r="W85" s="351"/>
      <c r="X85" s="432" t="s">
        <v>172</v>
      </c>
      <c r="Y85" s="433"/>
      <c r="Z85" s="433"/>
      <c r="AA85" s="433"/>
      <c r="AB85" s="433"/>
      <c r="AC85" s="433"/>
      <c r="AD85" s="434"/>
      <c r="AE85" s="435" t="s">
        <v>88</v>
      </c>
    </row>
    <row r="86" spans="1:31" s="43" customFormat="1" ht="15.75">
      <c r="A86" s="436"/>
      <c r="B86" s="439"/>
      <c r="C86" s="440"/>
      <c r="D86" s="75" t="s">
        <v>26</v>
      </c>
      <c r="E86" s="75" t="s">
        <v>168</v>
      </c>
      <c r="F86" s="76" t="s">
        <v>31</v>
      </c>
      <c r="G86" s="40" t="s">
        <v>26</v>
      </c>
      <c r="H86" s="40" t="s">
        <v>168</v>
      </c>
      <c r="I86" s="128" t="s">
        <v>31</v>
      </c>
      <c r="J86" s="75" t="s">
        <v>26</v>
      </c>
      <c r="K86" s="75" t="s">
        <v>168</v>
      </c>
      <c r="L86" s="76" t="s">
        <v>31</v>
      </c>
      <c r="M86" s="77" t="s">
        <v>169</v>
      </c>
      <c r="N86" s="77" t="s">
        <v>32</v>
      </c>
      <c r="O86" s="76" t="s">
        <v>170</v>
      </c>
      <c r="P86" s="76" t="s">
        <v>49</v>
      </c>
      <c r="Q86" s="41" t="s">
        <v>26</v>
      </c>
      <c r="R86" s="41" t="s">
        <v>168</v>
      </c>
      <c r="S86" s="129" t="s">
        <v>31</v>
      </c>
      <c r="T86" s="129" t="s">
        <v>169</v>
      </c>
      <c r="U86" s="129" t="s">
        <v>32</v>
      </c>
      <c r="V86" s="129" t="s">
        <v>170</v>
      </c>
      <c r="W86" s="129" t="s">
        <v>49</v>
      </c>
      <c r="X86" s="79" t="s">
        <v>26</v>
      </c>
      <c r="Y86" s="79" t="s">
        <v>168</v>
      </c>
      <c r="Z86" s="80" t="s">
        <v>31</v>
      </c>
      <c r="AA86" s="80" t="s">
        <v>169</v>
      </c>
      <c r="AB86" s="80" t="s">
        <v>32</v>
      </c>
      <c r="AC86" s="80" t="s">
        <v>170</v>
      </c>
      <c r="AD86" s="80" t="s">
        <v>49</v>
      </c>
      <c r="AE86" s="436"/>
    </row>
    <row r="87" spans="1:31" s="43" customFormat="1" ht="15.75">
      <c r="A87" s="428">
        <v>1</v>
      </c>
      <c r="B87" s="428" t="s">
        <v>20</v>
      </c>
      <c r="C87" s="127" t="s">
        <v>24</v>
      </c>
      <c r="D87" s="77">
        <v>36397</v>
      </c>
      <c r="E87" s="77">
        <v>36397</v>
      </c>
      <c r="F87" s="77">
        <v>36397</v>
      </c>
      <c r="G87" s="127">
        <v>34323</v>
      </c>
      <c r="H87" s="131">
        <v>34323</v>
      </c>
      <c r="I87" s="131">
        <v>34323</v>
      </c>
      <c r="J87" s="77">
        <v>33995</v>
      </c>
      <c r="K87" s="77">
        <v>33995</v>
      </c>
      <c r="L87" s="77">
        <v>33995</v>
      </c>
      <c r="M87" s="77">
        <v>33995</v>
      </c>
      <c r="N87" s="77">
        <v>33995</v>
      </c>
      <c r="O87" s="77">
        <v>32880</v>
      </c>
      <c r="P87" s="77">
        <v>888</v>
      </c>
      <c r="Q87" s="127">
        <v>32795</v>
      </c>
      <c r="R87" s="131">
        <v>32795</v>
      </c>
      <c r="S87" s="131">
        <v>32795</v>
      </c>
      <c r="T87" s="131">
        <v>32795</v>
      </c>
      <c r="U87" s="131">
        <v>32795</v>
      </c>
      <c r="V87" s="7">
        <v>31715</v>
      </c>
      <c r="W87" s="7">
        <v>861</v>
      </c>
      <c r="X87" s="81">
        <v>32504</v>
      </c>
      <c r="Y87" s="81">
        <v>32504</v>
      </c>
      <c r="Z87" s="81">
        <v>32504</v>
      </c>
      <c r="AA87" s="81">
        <v>32504</v>
      </c>
      <c r="AB87" s="81">
        <v>32504</v>
      </c>
      <c r="AC87" s="81">
        <v>31432</v>
      </c>
      <c r="AD87" s="81">
        <v>885</v>
      </c>
      <c r="AE87" s="7">
        <f t="shared" ref="AE87:AE96" si="64">SUM(D87:AD87)</f>
        <v>807291</v>
      </c>
    </row>
    <row r="88" spans="1:31" s="43" customFormat="1" ht="15.75">
      <c r="A88" s="424"/>
      <c r="B88" s="424"/>
      <c r="C88" s="127" t="s">
        <v>25</v>
      </c>
      <c r="D88" s="77"/>
      <c r="E88" s="77"/>
      <c r="F88" s="77"/>
      <c r="G88" s="127"/>
      <c r="H88" s="131"/>
      <c r="I88" s="131"/>
      <c r="J88" s="77"/>
      <c r="K88" s="77"/>
      <c r="L88" s="77"/>
      <c r="M88" s="77"/>
      <c r="N88" s="77"/>
      <c r="O88" s="77"/>
      <c r="P88" s="77"/>
      <c r="Q88" s="127"/>
      <c r="R88" s="131"/>
      <c r="S88" s="131"/>
      <c r="T88" s="131"/>
      <c r="U88" s="131"/>
      <c r="V88" s="7"/>
      <c r="W88" s="7"/>
      <c r="X88" s="81"/>
      <c r="Y88" s="81"/>
      <c r="Z88" s="81"/>
      <c r="AA88" s="81"/>
      <c r="AB88" s="81"/>
      <c r="AC88" s="81"/>
      <c r="AD88" s="81"/>
      <c r="AE88" s="7">
        <f t="shared" si="64"/>
        <v>0</v>
      </c>
    </row>
    <row r="89" spans="1:31" s="43" customFormat="1" ht="15.75">
      <c r="A89" s="428">
        <v>2</v>
      </c>
      <c r="B89" s="428" t="s">
        <v>22</v>
      </c>
      <c r="C89" s="127" t="s">
        <v>24</v>
      </c>
      <c r="D89" s="77">
        <v>3476</v>
      </c>
      <c r="E89" s="77">
        <v>3476</v>
      </c>
      <c r="F89" s="77">
        <v>3476</v>
      </c>
      <c r="G89" s="127">
        <v>3486</v>
      </c>
      <c r="H89" s="131">
        <v>3486</v>
      </c>
      <c r="I89" s="131">
        <v>3486</v>
      </c>
      <c r="J89" s="77">
        <v>3389</v>
      </c>
      <c r="K89" s="77">
        <v>3389</v>
      </c>
      <c r="L89" s="77">
        <v>3389</v>
      </c>
      <c r="M89" s="77">
        <v>3389</v>
      </c>
      <c r="N89" s="77">
        <v>3389</v>
      </c>
      <c r="O89" s="77">
        <v>3118</v>
      </c>
      <c r="P89" s="77">
        <v>238</v>
      </c>
      <c r="Q89" s="127">
        <v>3326</v>
      </c>
      <c r="R89" s="131">
        <v>3326</v>
      </c>
      <c r="S89" s="131">
        <v>3326</v>
      </c>
      <c r="T89" s="131">
        <v>3326</v>
      </c>
      <c r="U89" s="131">
        <v>3326</v>
      </c>
      <c r="V89" s="7">
        <v>3059</v>
      </c>
      <c r="W89" s="7">
        <v>236</v>
      </c>
      <c r="X89" s="81">
        <v>3368</v>
      </c>
      <c r="Y89" s="81">
        <v>3368</v>
      </c>
      <c r="Z89" s="81">
        <v>3368</v>
      </c>
      <c r="AA89" s="81">
        <v>3368</v>
      </c>
      <c r="AB89" s="81">
        <v>3368</v>
      </c>
      <c r="AC89" s="81">
        <v>3116</v>
      </c>
      <c r="AD89" s="81">
        <v>227</v>
      </c>
      <c r="AE89" s="7">
        <f t="shared" si="64"/>
        <v>81295</v>
      </c>
    </row>
    <row r="90" spans="1:31" s="43" customFormat="1" ht="15.75">
      <c r="A90" s="424"/>
      <c r="B90" s="424"/>
      <c r="C90" s="127" t="s">
        <v>25</v>
      </c>
      <c r="D90" s="77"/>
      <c r="E90" s="77"/>
      <c r="F90" s="77"/>
      <c r="G90" s="127"/>
      <c r="H90" s="127"/>
      <c r="I90" s="127"/>
      <c r="J90" s="77"/>
      <c r="K90" s="77"/>
      <c r="L90" s="77"/>
      <c r="M90" s="77"/>
      <c r="N90" s="77"/>
      <c r="O90" s="77"/>
      <c r="P90" s="77"/>
      <c r="Q90" s="127"/>
      <c r="R90" s="127"/>
      <c r="S90" s="127"/>
      <c r="T90" s="127"/>
      <c r="U90" s="127"/>
      <c r="V90" s="7"/>
      <c r="W90" s="7"/>
      <c r="X90" s="81"/>
      <c r="Y90" s="81"/>
      <c r="Z90" s="81"/>
      <c r="AA90" s="81"/>
      <c r="AB90" s="81"/>
      <c r="AC90" s="81"/>
      <c r="AD90" s="81"/>
      <c r="AE90" s="7">
        <f t="shared" si="64"/>
        <v>0</v>
      </c>
    </row>
    <row r="91" spans="1:31" s="43" customFormat="1" ht="15.75">
      <c r="A91" s="425">
        <v>3</v>
      </c>
      <c r="B91" s="427" t="s">
        <v>219</v>
      </c>
      <c r="C91" s="127" t="s">
        <v>24</v>
      </c>
      <c r="D91" s="77">
        <v>2</v>
      </c>
      <c r="E91" s="77">
        <v>2</v>
      </c>
      <c r="F91" s="77">
        <v>2</v>
      </c>
      <c r="G91" s="127">
        <v>2</v>
      </c>
      <c r="H91" s="127">
        <v>2</v>
      </c>
      <c r="I91" s="127">
        <v>2</v>
      </c>
      <c r="J91" s="77">
        <v>2</v>
      </c>
      <c r="K91" s="77">
        <v>2</v>
      </c>
      <c r="L91" s="77">
        <v>2</v>
      </c>
      <c r="M91" s="77">
        <v>2</v>
      </c>
      <c r="N91" s="77">
        <v>2</v>
      </c>
      <c r="O91" s="77">
        <v>2</v>
      </c>
      <c r="P91" s="77">
        <v>2</v>
      </c>
      <c r="Q91" s="127">
        <v>2</v>
      </c>
      <c r="R91" s="127">
        <v>2</v>
      </c>
      <c r="S91" s="127">
        <v>2</v>
      </c>
      <c r="T91" s="127">
        <v>2</v>
      </c>
      <c r="U91" s="127">
        <v>2</v>
      </c>
      <c r="V91" s="7">
        <v>2</v>
      </c>
      <c r="W91" s="7">
        <v>2</v>
      </c>
      <c r="X91" s="81">
        <v>2</v>
      </c>
      <c r="Y91" s="81">
        <v>2</v>
      </c>
      <c r="Z91" s="81">
        <v>2</v>
      </c>
      <c r="AA91" s="81">
        <v>2</v>
      </c>
      <c r="AB91" s="81">
        <v>2</v>
      </c>
      <c r="AC91" s="81">
        <v>2</v>
      </c>
      <c r="AD91" s="81">
        <v>2</v>
      </c>
      <c r="AE91" s="7">
        <f t="shared" si="64"/>
        <v>54</v>
      </c>
    </row>
    <row r="92" spans="1:31" s="43" customFormat="1" ht="15.75">
      <c r="A92" s="425"/>
      <c r="B92" s="427"/>
      <c r="C92" s="127" t="s">
        <v>25</v>
      </c>
      <c r="D92" s="77"/>
      <c r="E92" s="77"/>
      <c r="F92" s="77"/>
      <c r="G92" s="127"/>
      <c r="H92" s="127"/>
      <c r="I92" s="127"/>
      <c r="J92" s="77"/>
      <c r="K92" s="77"/>
      <c r="L92" s="77"/>
      <c r="M92" s="77"/>
      <c r="N92" s="77"/>
      <c r="O92" s="77"/>
      <c r="P92" s="77"/>
      <c r="Q92" s="127"/>
      <c r="R92" s="127"/>
      <c r="S92" s="127"/>
      <c r="T92" s="127"/>
      <c r="U92" s="127"/>
      <c r="V92" s="7"/>
      <c r="W92" s="7"/>
      <c r="X92" s="81"/>
      <c r="Y92" s="81"/>
      <c r="Z92" s="81"/>
      <c r="AA92" s="81"/>
      <c r="AB92" s="81"/>
      <c r="AC92" s="81"/>
      <c r="AD92" s="81"/>
      <c r="AE92" s="7">
        <f t="shared" si="64"/>
        <v>0</v>
      </c>
    </row>
    <row r="93" spans="1:31" s="43" customFormat="1" ht="15.75">
      <c r="A93" s="425">
        <v>4</v>
      </c>
      <c r="B93" s="427" t="s">
        <v>220</v>
      </c>
      <c r="C93" s="127" t="s">
        <v>24</v>
      </c>
      <c r="D93" s="77">
        <v>2</v>
      </c>
      <c r="E93" s="77">
        <v>2</v>
      </c>
      <c r="F93" s="77">
        <v>2</v>
      </c>
      <c r="G93" s="127">
        <v>2</v>
      </c>
      <c r="H93" s="127">
        <v>2</v>
      </c>
      <c r="I93" s="127">
        <v>2</v>
      </c>
      <c r="J93" s="77">
        <v>2</v>
      </c>
      <c r="K93" s="77">
        <v>2</v>
      </c>
      <c r="L93" s="77">
        <v>2</v>
      </c>
      <c r="M93" s="77">
        <v>2</v>
      </c>
      <c r="N93" s="77">
        <v>2</v>
      </c>
      <c r="O93" s="77">
        <v>2</v>
      </c>
      <c r="P93" s="77">
        <v>2</v>
      </c>
      <c r="Q93" s="127">
        <v>2</v>
      </c>
      <c r="R93" s="127">
        <v>2</v>
      </c>
      <c r="S93" s="127">
        <v>2</v>
      </c>
      <c r="T93" s="127">
        <v>2</v>
      </c>
      <c r="U93" s="127">
        <v>2</v>
      </c>
      <c r="V93" s="7">
        <v>2</v>
      </c>
      <c r="W93" s="7">
        <v>2</v>
      </c>
      <c r="X93" s="81">
        <v>2</v>
      </c>
      <c r="Y93" s="81">
        <v>2</v>
      </c>
      <c r="Z93" s="81">
        <v>2</v>
      </c>
      <c r="AA93" s="81">
        <v>2</v>
      </c>
      <c r="AB93" s="81">
        <v>2</v>
      </c>
      <c r="AC93" s="81">
        <v>2</v>
      </c>
      <c r="AD93" s="81">
        <v>2</v>
      </c>
      <c r="AE93" s="7">
        <f t="shared" si="64"/>
        <v>54</v>
      </c>
    </row>
    <row r="94" spans="1:31" s="43" customFormat="1" ht="15.75">
      <c r="A94" s="425"/>
      <c r="B94" s="427"/>
      <c r="C94" s="127" t="s">
        <v>25</v>
      </c>
      <c r="D94" s="77"/>
      <c r="E94" s="77"/>
      <c r="F94" s="77"/>
      <c r="G94" s="127"/>
      <c r="H94" s="127"/>
      <c r="I94" s="127"/>
      <c r="J94" s="77"/>
      <c r="K94" s="77"/>
      <c r="L94" s="77"/>
      <c r="M94" s="77"/>
      <c r="N94" s="77"/>
      <c r="O94" s="77"/>
      <c r="P94" s="77"/>
      <c r="Q94" s="127"/>
      <c r="R94" s="127"/>
      <c r="S94" s="127"/>
      <c r="T94" s="127"/>
      <c r="U94" s="127"/>
      <c r="V94" s="7"/>
      <c r="W94" s="7"/>
      <c r="X94" s="81"/>
      <c r="Y94" s="81"/>
      <c r="Z94" s="81"/>
      <c r="AA94" s="81"/>
      <c r="AB94" s="81"/>
      <c r="AC94" s="81"/>
      <c r="AD94" s="81"/>
      <c r="AE94" s="7">
        <f t="shared" si="64"/>
        <v>0</v>
      </c>
    </row>
    <row r="95" spans="1:31" s="43" customFormat="1" ht="15.75">
      <c r="A95" s="425">
        <v>5</v>
      </c>
      <c r="B95" s="427" t="s">
        <v>306</v>
      </c>
      <c r="C95" s="127" t="s">
        <v>24</v>
      </c>
      <c r="D95" s="77">
        <v>2</v>
      </c>
      <c r="E95" s="77">
        <v>2</v>
      </c>
      <c r="F95" s="77">
        <v>2</v>
      </c>
      <c r="G95" s="127">
        <v>2</v>
      </c>
      <c r="H95" s="127">
        <v>2</v>
      </c>
      <c r="I95" s="127">
        <v>2</v>
      </c>
      <c r="J95" s="77">
        <v>2</v>
      </c>
      <c r="K95" s="77">
        <v>2</v>
      </c>
      <c r="L95" s="77">
        <v>2</v>
      </c>
      <c r="M95" s="77">
        <v>2</v>
      </c>
      <c r="N95" s="77">
        <v>2</v>
      </c>
      <c r="O95" s="77">
        <v>2</v>
      </c>
      <c r="P95" s="77">
        <v>2</v>
      </c>
      <c r="Q95" s="127">
        <v>2</v>
      </c>
      <c r="R95" s="127">
        <v>2</v>
      </c>
      <c r="S95" s="127">
        <v>2</v>
      </c>
      <c r="T95" s="127">
        <v>2</v>
      </c>
      <c r="U95" s="127">
        <v>2</v>
      </c>
      <c r="V95" s="7">
        <v>2</v>
      </c>
      <c r="W95" s="7">
        <v>2</v>
      </c>
      <c r="X95" s="81">
        <v>2</v>
      </c>
      <c r="Y95" s="81">
        <v>2</v>
      </c>
      <c r="Z95" s="81">
        <v>2</v>
      </c>
      <c r="AA95" s="81">
        <v>2</v>
      </c>
      <c r="AB95" s="81">
        <v>2</v>
      </c>
      <c r="AC95" s="81">
        <v>2</v>
      </c>
      <c r="AD95" s="81">
        <v>2</v>
      </c>
      <c r="AE95" s="7">
        <f t="shared" si="64"/>
        <v>54</v>
      </c>
    </row>
    <row r="96" spans="1:31" s="43" customFormat="1" ht="15.75">
      <c r="A96" s="425"/>
      <c r="B96" s="427"/>
      <c r="C96" s="127" t="s">
        <v>25</v>
      </c>
      <c r="D96" s="77"/>
      <c r="E96" s="77"/>
      <c r="F96" s="77"/>
      <c r="G96" s="127"/>
      <c r="H96" s="127"/>
      <c r="I96" s="127"/>
      <c r="J96" s="77"/>
      <c r="K96" s="77"/>
      <c r="L96" s="77"/>
      <c r="M96" s="77"/>
      <c r="N96" s="77"/>
      <c r="O96" s="77"/>
      <c r="P96" s="77"/>
      <c r="Q96" s="127"/>
      <c r="R96" s="7"/>
      <c r="S96" s="7"/>
      <c r="T96" s="7"/>
      <c r="U96" s="7"/>
      <c r="V96" s="7"/>
      <c r="W96" s="7"/>
      <c r="X96" s="81"/>
      <c r="Y96" s="81"/>
      <c r="Z96" s="81"/>
      <c r="AA96" s="81"/>
      <c r="AB96" s="81"/>
      <c r="AC96" s="81"/>
      <c r="AD96" s="81"/>
      <c r="AE96" s="7">
        <f t="shared" si="64"/>
        <v>0</v>
      </c>
    </row>
    <row r="97" spans="1:31" s="43" customFormat="1" ht="15.75">
      <c r="A97" s="425" t="s">
        <v>163</v>
      </c>
      <c r="B97" s="425"/>
      <c r="C97" s="425"/>
      <c r="D97" s="77">
        <f>D87+D89+D91+D93+D95</f>
        <v>39879</v>
      </c>
      <c r="E97" s="77">
        <f t="shared" ref="E97:AE97" si="65">E87+E89+E91+E93+E95</f>
        <v>39879</v>
      </c>
      <c r="F97" s="77">
        <f t="shared" si="65"/>
        <v>39879</v>
      </c>
      <c r="G97" s="77">
        <f t="shared" si="65"/>
        <v>37815</v>
      </c>
      <c r="H97" s="77">
        <f t="shared" si="65"/>
        <v>37815</v>
      </c>
      <c r="I97" s="77">
        <f t="shared" si="65"/>
        <v>37815</v>
      </c>
      <c r="J97" s="77">
        <f t="shared" si="65"/>
        <v>37390</v>
      </c>
      <c r="K97" s="77">
        <f t="shared" si="65"/>
        <v>37390</v>
      </c>
      <c r="L97" s="77">
        <f t="shared" si="65"/>
        <v>37390</v>
      </c>
      <c r="M97" s="77">
        <f t="shared" si="65"/>
        <v>37390</v>
      </c>
      <c r="N97" s="77">
        <f t="shared" si="65"/>
        <v>37390</v>
      </c>
      <c r="O97" s="77">
        <f t="shared" si="65"/>
        <v>36004</v>
      </c>
      <c r="P97" s="77">
        <f t="shared" si="65"/>
        <v>1132</v>
      </c>
      <c r="Q97" s="77">
        <f t="shared" si="65"/>
        <v>36127</v>
      </c>
      <c r="R97" s="77">
        <f t="shared" si="65"/>
        <v>36127</v>
      </c>
      <c r="S97" s="77">
        <f t="shared" si="65"/>
        <v>36127</v>
      </c>
      <c r="T97" s="77">
        <f t="shared" si="65"/>
        <v>36127</v>
      </c>
      <c r="U97" s="77">
        <f t="shared" si="65"/>
        <v>36127</v>
      </c>
      <c r="V97" s="77">
        <f t="shared" si="65"/>
        <v>34780</v>
      </c>
      <c r="W97" s="77">
        <f t="shared" si="65"/>
        <v>1103</v>
      </c>
      <c r="X97" s="77">
        <f t="shared" si="65"/>
        <v>35878</v>
      </c>
      <c r="Y97" s="77">
        <f t="shared" si="65"/>
        <v>35878</v>
      </c>
      <c r="Z97" s="77">
        <f t="shared" si="65"/>
        <v>35878</v>
      </c>
      <c r="AA97" s="77">
        <f t="shared" si="65"/>
        <v>35878</v>
      </c>
      <c r="AB97" s="77">
        <f t="shared" si="65"/>
        <v>35878</v>
      </c>
      <c r="AC97" s="77">
        <f t="shared" si="65"/>
        <v>34554</v>
      </c>
      <c r="AD97" s="77">
        <f t="shared" si="65"/>
        <v>1118</v>
      </c>
      <c r="AE97" s="77">
        <f t="shared" si="65"/>
        <v>888748</v>
      </c>
    </row>
    <row r="98" spans="1:31" s="43" customFormat="1" ht="15.75">
      <c r="A98" s="425" t="s">
        <v>164</v>
      </c>
      <c r="B98" s="425"/>
      <c r="C98" s="425"/>
      <c r="D98" s="77">
        <f>D88+D90+D92+D94+D96</f>
        <v>0</v>
      </c>
      <c r="E98" s="77">
        <f t="shared" ref="E98:AE98" si="66">E88+E90+E92+E94+E96</f>
        <v>0</v>
      </c>
      <c r="F98" s="77">
        <f t="shared" si="66"/>
        <v>0</v>
      </c>
      <c r="G98" s="77">
        <f t="shared" si="66"/>
        <v>0</v>
      </c>
      <c r="H98" s="77">
        <f t="shared" si="66"/>
        <v>0</v>
      </c>
      <c r="I98" s="77">
        <f t="shared" si="66"/>
        <v>0</v>
      </c>
      <c r="J98" s="77">
        <f t="shared" si="66"/>
        <v>0</v>
      </c>
      <c r="K98" s="77">
        <f t="shared" si="66"/>
        <v>0</v>
      </c>
      <c r="L98" s="77">
        <f t="shared" si="66"/>
        <v>0</v>
      </c>
      <c r="M98" s="77">
        <f t="shared" si="66"/>
        <v>0</v>
      </c>
      <c r="N98" s="77">
        <f t="shared" si="66"/>
        <v>0</v>
      </c>
      <c r="O98" s="77">
        <f t="shared" si="66"/>
        <v>0</v>
      </c>
      <c r="P98" s="77">
        <f t="shared" si="66"/>
        <v>0</v>
      </c>
      <c r="Q98" s="77">
        <f t="shared" si="66"/>
        <v>0</v>
      </c>
      <c r="R98" s="77">
        <f t="shared" si="66"/>
        <v>0</v>
      </c>
      <c r="S98" s="77">
        <f t="shared" si="66"/>
        <v>0</v>
      </c>
      <c r="T98" s="77">
        <f t="shared" si="66"/>
        <v>0</v>
      </c>
      <c r="U98" s="77">
        <f t="shared" si="66"/>
        <v>0</v>
      </c>
      <c r="V98" s="77">
        <f t="shared" si="66"/>
        <v>0</v>
      </c>
      <c r="W98" s="77">
        <f t="shared" si="66"/>
        <v>0</v>
      </c>
      <c r="X98" s="77">
        <f t="shared" si="66"/>
        <v>0</v>
      </c>
      <c r="Y98" s="77">
        <f t="shared" si="66"/>
        <v>0</v>
      </c>
      <c r="Z98" s="77">
        <f t="shared" si="66"/>
        <v>0</v>
      </c>
      <c r="AA98" s="77">
        <f t="shared" si="66"/>
        <v>0</v>
      </c>
      <c r="AB98" s="77">
        <f t="shared" si="66"/>
        <v>0</v>
      </c>
      <c r="AC98" s="77">
        <f t="shared" si="66"/>
        <v>0</v>
      </c>
      <c r="AD98" s="77">
        <f t="shared" si="66"/>
        <v>0</v>
      </c>
      <c r="AE98" s="77">
        <f t="shared" si="66"/>
        <v>0</v>
      </c>
    </row>
    <row r="99" spans="1:31" s="43" customFormat="1" ht="15.75">
      <c r="A99" s="425" t="s">
        <v>70</v>
      </c>
      <c r="B99" s="425"/>
      <c r="C99" s="425"/>
      <c r="D99" s="77">
        <f>D97-D98</f>
        <v>39879</v>
      </c>
      <c r="E99" s="77">
        <f t="shared" ref="E99" si="67">E97-E98</f>
        <v>39879</v>
      </c>
      <c r="F99" s="77">
        <f t="shared" ref="F99" si="68">F97-F98</f>
        <v>39879</v>
      </c>
      <c r="G99" s="77">
        <f t="shared" ref="G99" si="69">G97-G98</f>
        <v>37815</v>
      </c>
      <c r="H99" s="77">
        <f t="shared" ref="H99" si="70">H97-H98</f>
        <v>37815</v>
      </c>
      <c r="I99" s="77">
        <f t="shared" ref="I99" si="71">I97-I98</f>
        <v>37815</v>
      </c>
      <c r="J99" s="77">
        <f t="shared" ref="J99" si="72">J97-J98</f>
        <v>37390</v>
      </c>
      <c r="K99" s="77">
        <f t="shared" ref="K99" si="73">K97-K98</f>
        <v>37390</v>
      </c>
      <c r="L99" s="77">
        <f t="shared" ref="L99" si="74">L97-L98</f>
        <v>37390</v>
      </c>
      <c r="M99" s="77">
        <f t="shared" ref="M99" si="75">M97-M98</f>
        <v>37390</v>
      </c>
      <c r="N99" s="77">
        <f t="shared" ref="N99" si="76">N97-N98</f>
        <v>37390</v>
      </c>
      <c r="O99" s="77">
        <f t="shared" ref="O99" si="77">O97-O98</f>
        <v>36004</v>
      </c>
      <c r="P99" s="77">
        <f t="shared" ref="P99" si="78">P97-P98</f>
        <v>1132</v>
      </c>
      <c r="Q99" s="77">
        <f t="shared" ref="Q99" si="79">Q97-Q98</f>
        <v>36127</v>
      </c>
      <c r="R99" s="77">
        <f t="shared" ref="R99" si="80">R97-R98</f>
        <v>36127</v>
      </c>
      <c r="S99" s="77">
        <f t="shared" ref="S99" si="81">S97-S98</f>
        <v>36127</v>
      </c>
      <c r="T99" s="77">
        <f t="shared" ref="T99" si="82">T97-T98</f>
        <v>36127</v>
      </c>
      <c r="U99" s="77">
        <f t="shared" ref="U99" si="83">U97-U98</f>
        <v>36127</v>
      </c>
      <c r="V99" s="77">
        <f t="shared" ref="V99" si="84">V97-V98</f>
        <v>34780</v>
      </c>
      <c r="W99" s="77">
        <f t="shared" ref="W99" si="85">W97-W98</f>
        <v>1103</v>
      </c>
      <c r="X99" s="77">
        <f t="shared" ref="X99" si="86">X97-X98</f>
        <v>35878</v>
      </c>
      <c r="Y99" s="77">
        <f t="shared" ref="Y99" si="87">Y97-Y98</f>
        <v>35878</v>
      </c>
      <c r="Z99" s="77">
        <f t="shared" ref="Z99" si="88">Z97-Z98</f>
        <v>35878</v>
      </c>
      <c r="AA99" s="77">
        <f t="shared" ref="AA99" si="89">AA97-AA98</f>
        <v>35878</v>
      </c>
      <c r="AB99" s="77">
        <f t="shared" ref="AB99" si="90">AB97-AB98</f>
        <v>35878</v>
      </c>
      <c r="AC99" s="77">
        <f t="shared" ref="AC99" si="91">AC97-AC98</f>
        <v>34554</v>
      </c>
      <c r="AD99" s="77">
        <f t="shared" ref="AD99" si="92">AD97-AD98</f>
        <v>1118</v>
      </c>
      <c r="AE99" s="7">
        <f t="shared" ref="AE99" si="93">SUM(D99:AD99)</f>
        <v>888748</v>
      </c>
    </row>
    <row r="100" spans="1:31">
      <c r="D100" s="24">
        <v>1</v>
      </c>
      <c r="E100" s="24">
        <v>2</v>
      </c>
      <c r="F100" s="24">
        <v>3</v>
      </c>
      <c r="G100" s="24">
        <v>4</v>
      </c>
      <c r="H100" s="24">
        <v>5</v>
      </c>
      <c r="I100" s="24">
        <v>6</v>
      </c>
      <c r="J100" s="24">
        <v>7</v>
      </c>
      <c r="K100" s="24">
        <v>8</v>
      </c>
      <c r="L100" s="24">
        <v>9</v>
      </c>
      <c r="M100" s="24">
        <v>10</v>
      </c>
      <c r="N100" s="24">
        <v>11</v>
      </c>
      <c r="O100" s="24">
        <v>12</v>
      </c>
      <c r="P100" s="24">
        <v>13</v>
      </c>
      <c r="Q100" s="24">
        <v>14</v>
      </c>
      <c r="R100" s="24">
        <v>15</v>
      </c>
      <c r="S100" s="24">
        <v>16</v>
      </c>
      <c r="T100" s="24">
        <v>17</v>
      </c>
      <c r="U100" s="24">
        <v>18</v>
      </c>
      <c r="V100" s="24">
        <v>19</v>
      </c>
      <c r="W100" s="24">
        <v>20</v>
      </c>
      <c r="X100" s="24">
        <v>21</v>
      </c>
      <c r="Y100" s="24">
        <v>22</v>
      </c>
      <c r="Z100" s="24">
        <v>23</v>
      </c>
      <c r="AA100" s="24">
        <v>24</v>
      </c>
      <c r="AB100" s="24">
        <v>25</v>
      </c>
      <c r="AC100" s="24">
        <v>26</v>
      </c>
      <c r="AD100" s="24">
        <v>27</v>
      </c>
      <c r="AE100" s="24">
        <v>28</v>
      </c>
    </row>
    <row r="101" spans="1:31" s="43" customFormat="1" ht="20.25">
      <c r="A101" s="446" t="s">
        <v>361</v>
      </c>
      <c r="B101" s="446"/>
      <c r="C101" s="446"/>
      <c r="D101" s="446"/>
      <c r="E101" s="446"/>
      <c r="F101" s="446"/>
      <c r="G101" s="446"/>
      <c r="H101" s="446"/>
      <c r="I101" s="446"/>
      <c r="J101" s="446"/>
      <c r="K101" s="446"/>
      <c r="L101" s="446"/>
      <c r="M101" s="446"/>
      <c r="N101" s="446"/>
      <c r="O101" s="446"/>
      <c r="P101" s="446"/>
      <c r="Q101" s="446"/>
      <c r="R101" s="446"/>
      <c r="S101" s="446"/>
      <c r="T101" s="446"/>
      <c r="U101" s="446"/>
      <c r="V101" s="446"/>
      <c r="W101" s="446"/>
      <c r="X101" s="446"/>
      <c r="Y101" s="446"/>
      <c r="Z101" s="446"/>
      <c r="AA101" s="446"/>
      <c r="AB101" s="446"/>
      <c r="AC101" s="447" t="s">
        <v>302</v>
      </c>
      <c r="AD101" s="447"/>
      <c r="AE101" s="447"/>
    </row>
    <row r="102" spans="1:31" s="43" customFormat="1" ht="15.75">
      <c r="A102" s="435" t="s">
        <v>160</v>
      </c>
      <c r="B102" s="437" t="s">
        <v>16</v>
      </c>
      <c r="C102" s="438"/>
      <c r="D102" s="441" t="s">
        <v>165</v>
      </c>
      <c r="E102" s="441"/>
      <c r="F102" s="441"/>
      <c r="G102" s="442" t="s">
        <v>166</v>
      </c>
      <c r="H102" s="442"/>
      <c r="I102" s="442"/>
      <c r="J102" s="443" t="s">
        <v>167</v>
      </c>
      <c r="K102" s="444"/>
      <c r="L102" s="444"/>
      <c r="M102" s="444"/>
      <c r="N102" s="444"/>
      <c r="O102" s="444"/>
      <c r="P102" s="445"/>
      <c r="Q102" s="350" t="s">
        <v>171</v>
      </c>
      <c r="R102" s="431"/>
      <c r="S102" s="431"/>
      <c r="T102" s="431"/>
      <c r="U102" s="431"/>
      <c r="V102" s="431"/>
      <c r="W102" s="351"/>
      <c r="X102" s="432" t="s">
        <v>172</v>
      </c>
      <c r="Y102" s="433"/>
      <c r="Z102" s="433"/>
      <c r="AA102" s="433"/>
      <c r="AB102" s="433"/>
      <c r="AC102" s="433"/>
      <c r="AD102" s="434"/>
      <c r="AE102" s="435" t="s">
        <v>88</v>
      </c>
    </row>
    <row r="103" spans="1:31" s="43" customFormat="1" ht="15.75">
      <c r="A103" s="436"/>
      <c r="B103" s="439"/>
      <c r="C103" s="440"/>
      <c r="D103" s="75" t="s">
        <v>26</v>
      </c>
      <c r="E103" s="75" t="s">
        <v>168</v>
      </c>
      <c r="F103" s="76" t="s">
        <v>31</v>
      </c>
      <c r="G103" s="40" t="s">
        <v>26</v>
      </c>
      <c r="H103" s="40" t="s">
        <v>168</v>
      </c>
      <c r="I103" s="132" t="s">
        <v>31</v>
      </c>
      <c r="J103" s="75" t="s">
        <v>26</v>
      </c>
      <c r="K103" s="75" t="s">
        <v>168</v>
      </c>
      <c r="L103" s="76" t="s">
        <v>31</v>
      </c>
      <c r="M103" s="77" t="s">
        <v>169</v>
      </c>
      <c r="N103" s="77" t="s">
        <v>32</v>
      </c>
      <c r="O103" s="76" t="s">
        <v>170</v>
      </c>
      <c r="P103" s="76" t="s">
        <v>49</v>
      </c>
      <c r="Q103" s="41" t="s">
        <v>26</v>
      </c>
      <c r="R103" s="41" t="s">
        <v>168</v>
      </c>
      <c r="S103" s="133" t="s">
        <v>31</v>
      </c>
      <c r="T103" s="133" t="s">
        <v>169</v>
      </c>
      <c r="U103" s="133" t="s">
        <v>32</v>
      </c>
      <c r="V103" s="133" t="s">
        <v>170</v>
      </c>
      <c r="W103" s="133" t="s">
        <v>49</v>
      </c>
      <c r="X103" s="79" t="s">
        <v>26</v>
      </c>
      <c r="Y103" s="79" t="s">
        <v>168</v>
      </c>
      <c r="Z103" s="80" t="s">
        <v>31</v>
      </c>
      <c r="AA103" s="80" t="s">
        <v>169</v>
      </c>
      <c r="AB103" s="80" t="s">
        <v>32</v>
      </c>
      <c r="AC103" s="80" t="s">
        <v>170</v>
      </c>
      <c r="AD103" s="80" t="s">
        <v>49</v>
      </c>
      <c r="AE103" s="436"/>
    </row>
    <row r="104" spans="1:31" s="43" customFormat="1" ht="15.75">
      <c r="A104" s="428">
        <v>1</v>
      </c>
      <c r="B104" s="428" t="s">
        <v>103</v>
      </c>
      <c r="C104" s="131" t="s">
        <v>24</v>
      </c>
      <c r="D104" s="77">
        <v>6580</v>
      </c>
      <c r="E104" s="77">
        <v>6580</v>
      </c>
      <c r="F104" s="77">
        <v>6580</v>
      </c>
      <c r="G104" s="131">
        <v>6971</v>
      </c>
      <c r="H104" s="134">
        <v>6971</v>
      </c>
      <c r="I104" s="134">
        <v>6971</v>
      </c>
      <c r="J104" s="77">
        <v>7505</v>
      </c>
      <c r="K104" s="77">
        <v>7505</v>
      </c>
      <c r="L104" s="77">
        <v>7505</v>
      </c>
      <c r="M104" s="77">
        <v>7505</v>
      </c>
      <c r="N104" s="77">
        <v>7505</v>
      </c>
      <c r="O104" s="77">
        <v>6506</v>
      </c>
      <c r="P104" s="77">
        <v>991</v>
      </c>
      <c r="Q104" s="131">
        <v>7876</v>
      </c>
      <c r="R104" s="134">
        <v>7876</v>
      </c>
      <c r="S104" s="134">
        <v>7876</v>
      </c>
      <c r="T104" s="134">
        <v>7876</v>
      </c>
      <c r="U104" s="134">
        <v>7876</v>
      </c>
      <c r="V104" s="7">
        <v>6869</v>
      </c>
      <c r="W104" s="7">
        <v>988</v>
      </c>
      <c r="X104" s="81">
        <v>8044</v>
      </c>
      <c r="Y104" s="81">
        <v>8044</v>
      </c>
      <c r="Z104" s="81">
        <v>8044</v>
      </c>
      <c r="AA104" s="81">
        <v>8044</v>
      </c>
      <c r="AB104" s="81">
        <v>8044</v>
      </c>
      <c r="AC104" s="81">
        <v>7096</v>
      </c>
      <c r="AD104" s="81">
        <v>942</v>
      </c>
      <c r="AE104" s="7">
        <f t="shared" ref="AE104:AE123" si="94">SUM(D104:AD104)</f>
        <v>181170</v>
      </c>
    </row>
    <row r="105" spans="1:31" s="43" customFormat="1" ht="15.75">
      <c r="A105" s="424"/>
      <c r="B105" s="424"/>
      <c r="C105" s="131" t="s">
        <v>25</v>
      </c>
      <c r="D105" s="77"/>
      <c r="E105" s="77"/>
      <c r="F105" s="77"/>
      <c r="G105" s="131"/>
      <c r="H105" s="134"/>
      <c r="I105" s="134"/>
      <c r="J105" s="77"/>
      <c r="K105" s="77"/>
      <c r="L105" s="77"/>
      <c r="M105" s="77"/>
      <c r="N105" s="77"/>
      <c r="O105" s="77"/>
      <c r="P105" s="77"/>
      <c r="Q105" s="131"/>
      <c r="R105" s="134"/>
      <c r="S105" s="134"/>
      <c r="T105" s="134"/>
      <c r="U105" s="134"/>
      <c r="V105" s="7"/>
      <c r="W105" s="7"/>
      <c r="X105" s="81"/>
      <c r="Y105" s="81"/>
      <c r="Z105" s="81"/>
      <c r="AA105" s="81"/>
      <c r="AB105" s="81"/>
      <c r="AC105" s="81"/>
      <c r="AD105" s="81"/>
      <c r="AE105" s="7">
        <f t="shared" si="94"/>
        <v>0</v>
      </c>
    </row>
    <row r="106" spans="1:31" s="43" customFormat="1" ht="15.75">
      <c r="A106" s="428">
        <v>2</v>
      </c>
      <c r="B106" s="428" t="s">
        <v>362</v>
      </c>
      <c r="C106" s="131" t="s">
        <v>24</v>
      </c>
      <c r="D106" s="77">
        <v>3137</v>
      </c>
      <c r="E106" s="77">
        <v>3137</v>
      </c>
      <c r="F106" s="77">
        <v>3137</v>
      </c>
      <c r="G106" s="131">
        <v>3283</v>
      </c>
      <c r="H106" s="134">
        <v>3283</v>
      </c>
      <c r="I106" s="134">
        <v>3283</v>
      </c>
      <c r="J106" s="77">
        <v>3363</v>
      </c>
      <c r="K106" s="77">
        <v>3363</v>
      </c>
      <c r="L106" s="77">
        <v>3363</v>
      </c>
      <c r="M106" s="77">
        <v>3363</v>
      </c>
      <c r="N106" s="77">
        <v>3363</v>
      </c>
      <c r="O106" s="77">
        <v>3084</v>
      </c>
      <c r="P106" s="77">
        <v>279</v>
      </c>
      <c r="Q106" s="131">
        <v>3576</v>
      </c>
      <c r="R106" s="134">
        <v>3576</v>
      </c>
      <c r="S106" s="134">
        <v>3576</v>
      </c>
      <c r="T106" s="134">
        <v>3576</v>
      </c>
      <c r="U106" s="134">
        <v>3576</v>
      </c>
      <c r="V106" s="7">
        <v>3227</v>
      </c>
      <c r="W106" s="7">
        <v>348</v>
      </c>
      <c r="X106" s="81">
        <v>3412</v>
      </c>
      <c r="Y106" s="81">
        <v>3412</v>
      </c>
      <c r="Z106" s="81">
        <v>3412</v>
      </c>
      <c r="AA106" s="81">
        <v>3412</v>
      </c>
      <c r="AB106" s="81">
        <v>3412</v>
      </c>
      <c r="AC106" s="81">
        <v>3129</v>
      </c>
      <c r="AD106" s="81">
        <v>283</v>
      </c>
      <c r="AE106" s="7">
        <f t="shared" si="94"/>
        <v>81365</v>
      </c>
    </row>
    <row r="107" spans="1:31" s="43" customFormat="1" ht="15.75">
      <c r="A107" s="424"/>
      <c r="B107" s="424"/>
      <c r="C107" s="131" t="s">
        <v>25</v>
      </c>
      <c r="D107" s="77"/>
      <c r="E107" s="77"/>
      <c r="F107" s="77"/>
      <c r="G107" s="131"/>
      <c r="H107" s="134"/>
      <c r="I107" s="134"/>
      <c r="J107" s="77"/>
      <c r="K107" s="77"/>
      <c r="L107" s="77"/>
      <c r="M107" s="77"/>
      <c r="N107" s="77"/>
      <c r="O107" s="77"/>
      <c r="P107" s="77"/>
      <c r="Q107" s="131"/>
      <c r="R107" s="134"/>
      <c r="S107" s="134"/>
      <c r="T107" s="134"/>
      <c r="U107" s="134"/>
      <c r="V107" s="7"/>
      <c r="W107" s="7"/>
      <c r="X107" s="81"/>
      <c r="Y107" s="81"/>
      <c r="Z107" s="81"/>
      <c r="AA107" s="81"/>
      <c r="AB107" s="81"/>
      <c r="AC107" s="81"/>
      <c r="AD107" s="81"/>
      <c r="AE107" s="7">
        <f t="shared" si="94"/>
        <v>0</v>
      </c>
    </row>
    <row r="108" spans="1:31" s="43" customFormat="1" ht="15.75">
      <c r="A108" s="428">
        <v>3</v>
      </c>
      <c r="B108" s="428" t="s">
        <v>105</v>
      </c>
      <c r="C108" s="131" t="s">
        <v>24</v>
      </c>
      <c r="D108" s="77">
        <v>3142</v>
      </c>
      <c r="E108" s="77">
        <v>3142</v>
      </c>
      <c r="F108" s="77">
        <v>3142</v>
      </c>
      <c r="G108" s="131">
        <v>3118</v>
      </c>
      <c r="H108" s="134">
        <v>3118</v>
      </c>
      <c r="I108" s="134">
        <v>3118</v>
      </c>
      <c r="J108" s="77">
        <v>3304</v>
      </c>
      <c r="K108" s="77">
        <v>3304</v>
      </c>
      <c r="L108" s="77">
        <v>3304</v>
      </c>
      <c r="M108" s="77">
        <v>3304</v>
      </c>
      <c r="N108" s="77">
        <v>3304</v>
      </c>
      <c r="O108" s="77">
        <v>2983</v>
      </c>
      <c r="P108" s="77">
        <v>320</v>
      </c>
      <c r="Q108" s="131">
        <v>3573</v>
      </c>
      <c r="R108" s="134">
        <v>3573</v>
      </c>
      <c r="S108" s="134">
        <v>3573</v>
      </c>
      <c r="T108" s="134">
        <v>3573</v>
      </c>
      <c r="U108" s="134">
        <v>3573</v>
      </c>
      <c r="V108" s="7">
        <v>3213</v>
      </c>
      <c r="W108" s="7">
        <v>358</v>
      </c>
      <c r="X108" s="81">
        <v>3403</v>
      </c>
      <c r="Y108" s="81">
        <v>3403</v>
      </c>
      <c r="Z108" s="81">
        <v>3403</v>
      </c>
      <c r="AA108" s="81">
        <v>3403</v>
      </c>
      <c r="AB108" s="81">
        <v>3403</v>
      </c>
      <c r="AC108" s="81">
        <v>3090</v>
      </c>
      <c r="AD108" s="81">
        <v>307</v>
      </c>
      <c r="AE108" s="7">
        <f t="shared" si="94"/>
        <v>80451</v>
      </c>
    </row>
    <row r="109" spans="1:31" s="43" customFormat="1" ht="15.75">
      <c r="A109" s="424"/>
      <c r="B109" s="424"/>
      <c r="C109" s="131" t="s">
        <v>25</v>
      </c>
      <c r="D109" s="77"/>
      <c r="E109" s="77"/>
      <c r="F109" s="77"/>
      <c r="G109" s="131"/>
      <c r="H109" s="134"/>
      <c r="I109" s="134"/>
      <c r="J109" s="77"/>
      <c r="K109" s="77"/>
      <c r="L109" s="77"/>
      <c r="M109" s="77"/>
      <c r="N109" s="77"/>
      <c r="O109" s="77"/>
      <c r="P109" s="77"/>
      <c r="Q109" s="131"/>
      <c r="R109" s="134"/>
      <c r="S109" s="134"/>
      <c r="T109" s="134"/>
      <c r="U109" s="134"/>
      <c r="V109" s="7"/>
      <c r="W109" s="7"/>
      <c r="X109" s="81"/>
      <c r="Y109" s="81"/>
      <c r="Z109" s="81"/>
      <c r="AA109" s="81"/>
      <c r="AB109" s="81"/>
      <c r="AC109" s="81"/>
      <c r="AD109" s="81"/>
      <c r="AE109" s="7">
        <f t="shared" si="94"/>
        <v>0</v>
      </c>
    </row>
    <row r="110" spans="1:31" s="43" customFormat="1" ht="15.75">
      <c r="A110" s="428">
        <v>4</v>
      </c>
      <c r="B110" s="428" t="s">
        <v>104</v>
      </c>
      <c r="C110" s="131" t="s">
        <v>24</v>
      </c>
      <c r="D110" s="77">
        <v>1745</v>
      </c>
      <c r="E110" s="77">
        <v>1745</v>
      </c>
      <c r="F110" s="77">
        <v>1745</v>
      </c>
      <c r="G110" s="131">
        <v>1885</v>
      </c>
      <c r="H110" s="134">
        <v>1885</v>
      </c>
      <c r="I110" s="134">
        <v>1885</v>
      </c>
      <c r="J110" s="77">
        <v>2119</v>
      </c>
      <c r="K110" s="77">
        <v>2119</v>
      </c>
      <c r="L110" s="77">
        <v>2119</v>
      </c>
      <c r="M110" s="77">
        <v>2119</v>
      </c>
      <c r="N110" s="77">
        <v>2119</v>
      </c>
      <c r="O110" s="77">
        <v>2007</v>
      </c>
      <c r="P110" s="77">
        <v>111</v>
      </c>
      <c r="Q110" s="131">
        <v>2475</v>
      </c>
      <c r="R110" s="134">
        <v>2475</v>
      </c>
      <c r="S110" s="134">
        <v>2475</v>
      </c>
      <c r="T110" s="134">
        <v>2475</v>
      </c>
      <c r="U110" s="134">
        <v>2475</v>
      </c>
      <c r="V110" s="7">
        <v>2323</v>
      </c>
      <c r="W110" s="7">
        <v>152</v>
      </c>
      <c r="X110" s="81">
        <v>2417</v>
      </c>
      <c r="Y110" s="81">
        <v>2417</v>
      </c>
      <c r="Z110" s="81">
        <v>2417</v>
      </c>
      <c r="AA110" s="81">
        <v>2417</v>
      </c>
      <c r="AB110" s="81">
        <v>2417</v>
      </c>
      <c r="AC110" s="81">
        <v>2306</v>
      </c>
      <c r="AD110" s="81">
        <v>111</v>
      </c>
      <c r="AE110" s="7">
        <f t="shared" si="94"/>
        <v>52955</v>
      </c>
    </row>
    <row r="111" spans="1:31" s="43" customFormat="1" ht="15.75">
      <c r="A111" s="424"/>
      <c r="B111" s="424"/>
      <c r="C111" s="131" t="s">
        <v>25</v>
      </c>
      <c r="D111" s="77"/>
      <c r="E111" s="77"/>
      <c r="F111" s="77"/>
      <c r="G111" s="131"/>
      <c r="H111" s="134"/>
      <c r="I111" s="134"/>
      <c r="J111" s="77"/>
      <c r="K111" s="77"/>
      <c r="L111" s="77"/>
      <c r="M111" s="77"/>
      <c r="N111" s="77"/>
      <c r="O111" s="77"/>
      <c r="P111" s="77"/>
      <c r="Q111" s="131"/>
      <c r="R111" s="134"/>
      <c r="S111" s="134"/>
      <c r="T111" s="134"/>
      <c r="U111" s="134"/>
      <c r="V111" s="7"/>
      <c r="W111" s="7"/>
      <c r="X111" s="81"/>
      <c r="Y111" s="81"/>
      <c r="Z111" s="81"/>
      <c r="AA111" s="81"/>
      <c r="AB111" s="81"/>
      <c r="AC111" s="81"/>
      <c r="AD111" s="81"/>
      <c r="AE111" s="7">
        <f t="shared" si="94"/>
        <v>0</v>
      </c>
    </row>
    <row r="112" spans="1:31" s="43" customFormat="1" ht="15.75">
      <c r="A112" s="428">
        <v>5</v>
      </c>
      <c r="B112" s="428" t="s">
        <v>107</v>
      </c>
      <c r="C112" s="131" t="s">
        <v>24</v>
      </c>
      <c r="D112" s="77">
        <v>1311</v>
      </c>
      <c r="E112" s="77">
        <v>1311</v>
      </c>
      <c r="F112" s="77">
        <v>1311</v>
      </c>
      <c r="G112" s="131">
        <v>1384</v>
      </c>
      <c r="H112" s="134">
        <v>1384</v>
      </c>
      <c r="I112" s="134">
        <v>1384</v>
      </c>
      <c r="J112" s="77">
        <v>1476</v>
      </c>
      <c r="K112" s="77">
        <v>1476</v>
      </c>
      <c r="L112" s="77">
        <v>1476</v>
      </c>
      <c r="M112" s="77">
        <v>1476</v>
      </c>
      <c r="N112" s="77">
        <v>1476</v>
      </c>
      <c r="O112" s="77">
        <v>1399</v>
      </c>
      <c r="P112" s="77">
        <v>77</v>
      </c>
      <c r="Q112" s="131">
        <v>1645</v>
      </c>
      <c r="R112" s="134">
        <v>1645</v>
      </c>
      <c r="S112" s="134">
        <v>1645</v>
      </c>
      <c r="T112" s="134">
        <v>1645</v>
      </c>
      <c r="U112" s="134">
        <v>1645</v>
      </c>
      <c r="V112" s="7">
        <v>1557</v>
      </c>
      <c r="W112" s="7">
        <v>88</v>
      </c>
      <c r="X112" s="81">
        <v>1496</v>
      </c>
      <c r="Y112" s="81">
        <v>1496</v>
      </c>
      <c r="Z112" s="81">
        <v>1496</v>
      </c>
      <c r="AA112" s="81">
        <v>1496</v>
      </c>
      <c r="AB112" s="81">
        <v>1496</v>
      </c>
      <c r="AC112" s="81">
        <v>1427</v>
      </c>
      <c r="AD112" s="81">
        <v>69</v>
      </c>
      <c r="AE112" s="7">
        <f t="shared" si="94"/>
        <v>35787</v>
      </c>
    </row>
    <row r="113" spans="1:31" s="43" customFormat="1" ht="15.75">
      <c r="A113" s="424"/>
      <c r="B113" s="424"/>
      <c r="C113" s="131" t="s">
        <v>25</v>
      </c>
      <c r="D113" s="77"/>
      <c r="E113" s="77"/>
      <c r="F113" s="77"/>
      <c r="G113" s="131"/>
      <c r="H113" s="134"/>
      <c r="I113" s="134"/>
      <c r="J113" s="77"/>
      <c r="K113" s="77"/>
      <c r="L113" s="77"/>
      <c r="M113" s="77"/>
      <c r="N113" s="77"/>
      <c r="O113" s="77"/>
      <c r="P113" s="77"/>
      <c r="Q113" s="131"/>
      <c r="R113" s="134"/>
      <c r="S113" s="134"/>
      <c r="T113" s="134"/>
      <c r="U113" s="134"/>
      <c r="V113" s="7"/>
      <c r="W113" s="7"/>
      <c r="X113" s="81"/>
      <c r="Y113" s="81"/>
      <c r="Z113" s="81"/>
      <c r="AA113" s="81"/>
      <c r="AB113" s="81"/>
      <c r="AC113" s="81"/>
      <c r="AD113" s="81"/>
      <c r="AE113" s="7">
        <f t="shared" si="94"/>
        <v>0</v>
      </c>
    </row>
    <row r="114" spans="1:31" s="43" customFormat="1" ht="15.75">
      <c r="A114" s="428">
        <v>6</v>
      </c>
      <c r="B114" s="428" t="s">
        <v>106</v>
      </c>
      <c r="C114" s="131" t="s">
        <v>24</v>
      </c>
      <c r="D114" s="77">
        <v>1267</v>
      </c>
      <c r="E114" s="77">
        <v>1267</v>
      </c>
      <c r="F114" s="77">
        <v>1267</v>
      </c>
      <c r="G114" s="131">
        <v>1321</v>
      </c>
      <c r="H114" s="134">
        <v>1321</v>
      </c>
      <c r="I114" s="134">
        <v>1321</v>
      </c>
      <c r="J114" s="77">
        <v>1499</v>
      </c>
      <c r="K114" s="77">
        <v>1499</v>
      </c>
      <c r="L114" s="77">
        <v>1499</v>
      </c>
      <c r="M114" s="77">
        <v>1499</v>
      </c>
      <c r="N114" s="77">
        <v>1499</v>
      </c>
      <c r="O114" s="77">
        <v>1320</v>
      </c>
      <c r="P114" s="77">
        <v>179</v>
      </c>
      <c r="Q114" s="131">
        <v>1691</v>
      </c>
      <c r="R114" s="134">
        <v>1691</v>
      </c>
      <c r="S114" s="134">
        <v>1691</v>
      </c>
      <c r="T114" s="134">
        <v>1691</v>
      </c>
      <c r="U114" s="134">
        <v>1691</v>
      </c>
      <c r="V114" s="7">
        <v>1538</v>
      </c>
      <c r="W114" s="7">
        <v>153</v>
      </c>
      <c r="X114" s="81">
        <v>1711</v>
      </c>
      <c r="Y114" s="81">
        <v>1711</v>
      </c>
      <c r="Z114" s="81">
        <v>1711</v>
      </c>
      <c r="AA114" s="81">
        <v>1711</v>
      </c>
      <c r="AB114" s="81">
        <v>1711</v>
      </c>
      <c r="AC114" s="81">
        <v>1547</v>
      </c>
      <c r="AD114" s="81">
        <v>164</v>
      </c>
      <c r="AE114" s="7">
        <f t="shared" si="94"/>
        <v>37170</v>
      </c>
    </row>
    <row r="115" spans="1:31" s="43" customFormat="1" ht="15.75">
      <c r="A115" s="424"/>
      <c r="B115" s="424"/>
      <c r="C115" s="131" t="s">
        <v>25</v>
      </c>
      <c r="D115" s="77"/>
      <c r="E115" s="77"/>
      <c r="F115" s="77"/>
      <c r="G115" s="131"/>
      <c r="H115" s="134"/>
      <c r="I115" s="134"/>
      <c r="J115" s="77"/>
      <c r="K115" s="77"/>
      <c r="L115" s="77"/>
      <c r="M115" s="77"/>
      <c r="N115" s="77"/>
      <c r="O115" s="77"/>
      <c r="P115" s="77"/>
      <c r="Q115" s="131"/>
      <c r="R115" s="134"/>
      <c r="S115" s="134"/>
      <c r="T115" s="134"/>
      <c r="U115" s="134"/>
      <c r="V115" s="7"/>
      <c r="W115" s="7"/>
      <c r="X115" s="81"/>
      <c r="Y115" s="81"/>
      <c r="Z115" s="81"/>
      <c r="AA115" s="81"/>
      <c r="AB115" s="81"/>
      <c r="AC115" s="81"/>
      <c r="AD115" s="81"/>
      <c r="AE115" s="7">
        <f t="shared" si="94"/>
        <v>0</v>
      </c>
    </row>
    <row r="116" spans="1:31" s="43" customFormat="1" ht="15.75">
      <c r="A116" s="428">
        <v>7</v>
      </c>
      <c r="B116" s="428" t="s">
        <v>363</v>
      </c>
      <c r="C116" s="131" t="s">
        <v>24</v>
      </c>
      <c r="D116" s="77">
        <v>5604</v>
      </c>
      <c r="E116" s="77">
        <v>5604</v>
      </c>
      <c r="F116" s="77">
        <v>5604</v>
      </c>
      <c r="G116" s="131">
        <v>5892</v>
      </c>
      <c r="H116" s="134">
        <v>5892</v>
      </c>
      <c r="I116" s="134">
        <v>5892</v>
      </c>
      <c r="J116" s="77">
        <v>6591</v>
      </c>
      <c r="K116" s="77">
        <v>6591</v>
      </c>
      <c r="L116" s="77">
        <v>6591</v>
      </c>
      <c r="M116" s="77">
        <v>6591</v>
      </c>
      <c r="N116" s="77">
        <v>6591</v>
      </c>
      <c r="O116" s="77">
        <v>5095</v>
      </c>
      <c r="P116" s="77">
        <v>1364</v>
      </c>
      <c r="Q116" s="131">
        <v>7240</v>
      </c>
      <c r="R116" s="134">
        <v>7240</v>
      </c>
      <c r="S116" s="134">
        <v>7240</v>
      </c>
      <c r="T116" s="134">
        <v>7240</v>
      </c>
      <c r="U116" s="134">
        <v>7240</v>
      </c>
      <c r="V116" s="7">
        <v>5711</v>
      </c>
      <c r="W116" s="7">
        <v>1408</v>
      </c>
      <c r="X116" s="81">
        <v>6927</v>
      </c>
      <c r="Y116" s="81">
        <v>6927</v>
      </c>
      <c r="Z116" s="81">
        <v>6927</v>
      </c>
      <c r="AA116" s="81">
        <v>6927</v>
      </c>
      <c r="AB116" s="81">
        <v>6927</v>
      </c>
      <c r="AC116" s="81">
        <v>5547</v>
      </c>
      <c r="AD116" s="81">
        <v>1256</v>
      </c>
      <c r="AE116" s="7">
        <f t="shared" si="94"/>
        <v>158659</v>
      </c>
    </row>
    <row r="117" spans="1:31" s="43" customFormat="1" ht="15.75">
      <c r="A117" s="424"/>
      <c r="B117" s="424"/>
      <c r="C117" s="131" t="s">
        <v>25</v>
      </c>
      <c r="D117" s="77"/>
      <c r="E117" s="77"/>
      <c r="F117" s="77"/>
      <c r="G117" s="131"/>
      <c r="H117" s="134"/>
      <c r="I117" s="134"/>
      <c r="J117" s="77"/>
      <c r="K117" s="77"/>
      <c r="L117" s="77"/>
      <c r="M117" s="77"/>
      <c r="N117" s="77"/>
      <c r="O117" s="77"/>
      <c r="P117" s="77"/>
      <c r="Q117" s="131"/>
      <c r="R117" s="134"/>
      <c r="S117" s="134"/>
      <c r="T117" s="134"/>
      <c r="U117" s="134"/>
      <c r="V117" s="7"/>
      <c r="W117" s="7"/>
      <c r="X117" s="81"/>
      <c r="Y117" s="81"/>
      <c r="Z117" s="81"/>
      <c r="AA117" s="81"/>
      <c r="AB117" s="81"/>
      <c r="AC117" s="81"/>
      <c r="AD117" s="81"/>
      <c r="AE117" s="7">
        <f t="shared" si="94"/>
        <v>0</v>
      </c>
    </row>
    <row r="118" spans="1:31" s="43" customFormat="1" ht="15.75">
      <c r="A118" s="428">
        <v>8</v>
      </c>
      <c r="B118" s="427" t="s">
        <v>219</v>
      </c>
      <c r="C118" s="131" t="s">
        <v>24</v>
      </c>
      <c r="D118" s="77">
        <v>2</v>
      </c>
      <c r="E118" s="77">
        <v>2</v>
      </c>
      <c r="F118" s="77">
        <v>2</v>
      </c>
      <c r="G118" s="131">
        <v>2</v>
      </c>
      <c r="H118" s="134">
        <v>2</v>
      </c>
      <c r="I118" s="134">
        <v>2</v>
      </c>
      <c r="J118" s="77">
        <v>2</v>
      </c>
      <c r="K118" s="77">
        <v>2</v>
      </c>
      <c r="L118" s="77">
        <v>2</v>
      </c>
      <c r="M118" s="77">
        <v>2</v>
      </c>
      <c r="N118" s="77">
        <v>2</v>
      </c>
      <c r="O118" s="77">
        <v>2</v>
      </c>
      <c r="P118" s="77">
        <v>2</v>
      </c>
      <c r="Q118" s="131">
        <v>2</v>
      </c>
      <c r="R118" s="134">
        <v>2</v>
      </c>
      <c r="S118" s="134">
        <v>2</v>
      </c>
      <c r="T118" s="134">
        <v>2</v>
      </c>
      <c r="U118" s="134">
        <v>2</v>
      </c>
      <c r="V118" s="7">
        <v>2</v>
      </c>
      <c r="W118" s="7">
        <v>2</v>
      </c>
      <c r="X118" s="81">
        <v>2</v>
      </c>
      <c r="Y118" s="81">
        <v>2</v>
      </c>
      <c r="Z118" s="81">
        <v>2</v>
      </c>
      <c r="AA118" s="81">
        <v>2</v>
      </c>
      <c r="AB118" s="81">
        <v>2</v>
      </c>
      <c r="AC118" s="81">
        <v>2</v>
      </c>
      <c r="AD118" s="81">
        <v>2</v>
      </c>
      <c r="AE118" s="7">
        <f t="shared" si="94"/>
        <v>54</v>
      </c>
    </row>
    <row r="119" spans="1:31" s="43" customFormat="1" ht="15.75">
      <c r="A119" s="424"/>
      <c r="B119" s="427"/>
      <c r="C119" s="131" t="s">
        <v>25</v>
      </c>
      <c r="D119" s="77"/>
      <c r="E119" s="77"/>
      <c r="F119" s="77"/>
      <c r="G119" s="131"/>
      <c r="H119" s="134"/>
      <c r="I119" s="134"/>
      <c r="J119" s="77"/>
      <c r="K119" s="77"/>
      <c r="L119" s="77"/>
      <c r="M119" s="77"/>
      <c r="N119" s="77"/>
      <c r="O119" s="77"/>
      <c r="P119" s="77"/>
      <c r="Q119" s="131"/>
      <c r="R119" s="134"/>
      <c r="S119" s="134"/>
      <c r="T119" s="134"/>
      <c r="U119" s="134"/>
      <c r="V119" s="7"/>
      <c r="W119" s="7"/>
      <c r="X119" s="81"/>
      <c r="Y119" s="81"/>
      <c r="Z119" s="81"/>
      <c r="AA119" s="81"/>
      <c r="AB119" s="81"/>
      <c r="AC119" s="81"/>
      <c r="AD119" s="81"/>
      <c r="AE119" s="7">
        <f t="shared" si="94"/>
        <v>0</v>
      </c>
    </row>
    <row r="120" spans="1:31" s="43" customFormat="1" ht="15.75">
      <c r="A120" s="428">
        <v>9</v>
      </c>
      <c r="B120" s="427" t="s">
        <v>220</v>
      </c>
      <c r="C120" s="131" t="s">
        <v>24</v>
      </c>
      <c r="D120" s="77">
        <v>2</v>
      </c>
      <c r="E120" s="77">
        <v>2</v>
      </c>
      <c r="F120" s="77">
        <v>2</v>
      </c>
      <c r="G120" s="131">
        <v>2</v>
      </c>
      <c r="H120" s="134">
        <v>2</v>
      </c>
      <c r="I120" s="134">
        <v>2</v>
      </c>
      <c r="J120" s="77">
        <v>2</v>
      </c>
      <c r="K120" s="77">
        <v>2</v>
      </c>
      <c r="L120" s="77">
        <v>2</v>
      </c>
      <c r="M120" s="77">
        <v>2</v>
      </c>
      <c r="N120" s="77">
        <v>2</v>
      </c>
      <c r="O120" s="77">
        <v>2</v>
      </c>
      <c r="P120" s="77">
        <v>2</v>
      </c>
      <c r="Q120" s="131">
        <v>2</v>
      </c>
      <c r="R120" s="134">
        <v>2</v>
      </c>
      <c r="S120" s="134">
        <v>2</v>
      </c>
      <c r="T120" s="134">
        <v>2</v>
      </c>
      <c r="U120" s="134">
        <v>2</v>
      </c>
      <c r="V120" s="7">
        <v>2</v>
      </c>
      <c r="W120" s="7">
        <v>2</v>
      </c>
      <c r="X120" s="81">
        <v>2</v>
      </c>
      <c r="Y120" s="81">
        <v>2</v>
      </c>
      <c r="Z120" s="81">
        <v>2</v>
      </c>
      <c r="AA120" s="81">
        <v>2</v>
      </c>
      <c r="AB120" s="81">
        <v>2</v>
      </c>
      <c r="AC120" s="81">
        <v>2</v>
      </c>
      <c r="AD120" s="81">
        <v>2</v>
      </c>
      <c r="AE120" s="7">
        <f t="shared" si="94"/>
        <v>54</v>
      </c>
    </row>
    <row r="121" spans="1:31" s="43" customFormat="1" ht="15.75">
      <c r="A121" s="424"/>
      <c r="B121" s="427"/>
      <c r="C121" s="131" t="s">
        <v>25</v>
      </c>
      <c r="D121" s="77"/>
      <c r="E121" s="77"/>
      <c r="F121" s="77"/>
      <c r="G121" s="131"/>
      <c r="H121" s="134"/>
      <c r="I121" s="134"/>
      <c r="J121" s="77"/>
      <c r="K121" s="77"/>
      <c r="L121" s="77"/>
      <c r="M121" s="77"/>
      <c r="N121" s="77"/>
      <c r="O121" s="77"/>
      <c r="P121" s="77"/>
      <c r="Q121" s="131"/>
      <c r="R121" s="134"/>
      <c r="S121" s="134"/>
      <c r="T121" s="134"/>
      <c r="U121" s="134"/>
      <c r="V121" s="7"/>
      <c r="W121" s="7"/>
      <c r="X121" s="81"/>
      <c r="Y121" s="81"/>
      <c r="Z121" s="81"/>
      <c r="AA121" s="81"/>
      <c r="AB121" s="81"/>
      <c r="AC121" s="81"/>
      <c r="AD121" s="81"/>
      <c r="AE121" s="7">
        <f t="shared" si="94"/>
        <v>0</v>
      </c>
    </row>
    <row r="122" spans="1:31" s="43" customFormat="1" ht="15.75">
      <c r="A122" s="428">
        <v>10</v>
      </c>
      <c r="B122" s="427" t="s">
        <v>306</v>
      </c>
      <c r="C122" s="131" t="s">
        <v>24</v>
      </c>
      <c r="D122" s="77">
        <v>7</v>
      </c>
      <c r="E122" s="77">
        <v>7</v>
      </c>
      <c r="F122" s="77">
        <v>7</v>
      </c>
      <c r="G122" s="131">
        <v>7</v>
      </c>
      <c r="H122" s="134">
        <v>7</v>
      </c>
      <c r="I122" s="134">
        <v>7</v>
      </c>
      <c r="J122" s="77">
        <v>7</v>
      </c>
      <c r="K122" s="77">
        <v>7</v>
      </c>
      <c r="L122" s="77">
        <v>7</v>
      </c>
      <c r="M122" s="77">
        <v>7</v>
      </c>
      <c r="N122" s="77">
        <v>7</v>
      </c>
      <c r="O122" s="77">
        <v>7</v>
      </c>
      <c r="P122" s="77">
        <v>7</v>
      </c>
      <c r="Q122" s="131">
        <v>7</v>
      </c>
      <c r="R122" s="134">
        <v>7</v>
      </c>
      <c r="S122" s="134">
        <v>7</v>
      </c>
      <c r="T122" s="134">
        <v>7</v>
      </c>
      <c r="U122" s="134">
        <v>7</v>
      </c>
      <c r="V122" s="7">
        <v>7</v>
      </c>
      <c r="W122" s="7">
        <v>7</v>
      </c>
      <c r="X122" s="81">
        <v>7</v>
      </c>
      <c r="Y122" s="81">
        <v>7</v>
      </c>
      <c r="Z122" s="81">
        <v>7</v>
      </c>
      <c r="AA122" s="81">
        <v>7</v>
      </c>
      <c r="AB122" s="81">
        <v>7</v>
      </c>
      <c r="AC122" s="81">
        <v>7</v>
      </c>
      <c r="AD122" s="81">
        <v>7</v>
      </c>
      <c r="AE122" s="7">
        <f t="shared" si="94"/>
        <v>189</v>
      </c>
    </row>
    <row r="123" spans="1:31" s="43" customFormat="1" ht="15.75">
      <c r="A123" s="424"/>
      <c r="B123" s="427"/>
      <c r="C123" s="131" t="s">
        <v>25</v>
      </c>
      <c r="D123" s="77"/>
      <c r="E123" s="77"/>
      <c r="F123" s="77"/>
      <c r="G123" s="131"/>
      <c r="H123" s="131"/>
      <c r="I123" s="131"/>
      <c r="J123" s="77"/>
      <c r="K123" s="77"/>
      <c r="L123" s="77"/>
      <c r="M123" s="77"/>
      <c r="N123" s="77"/>
      <c r="O123" s="77"/>
      <c r="P123" s="77"/>
      <c r="Q123" s="131"/>
      <c r="R123" s="7"/>
      <c r="S123" s="7"/>
      <c r="T123" s="7"/>
      <c r="U123" s="7"/>
      <c r="V123" s="7"/>
      <c r="W123" s="7"/>
      <c r="X123" s="81"/>
      <c r="Y123" s="81"/>
      <c r="Z123" s="81"/>
      <c r="AA123" s="81"/>
      <c r="AB123" s="81"/>
      <c r="AC123" s="81"/>
      <c r="AD123" s="81"/>
      <c r="AE123" s="7">
        <f t="shared" si="94"/>
        <v>0</v>
      </c>
    </row>
    <row r="124" spans="1:31" s="43" customFormat="1" ht="15.75">
      <c r="A124" s="425" t="s">
        <v>163</v>
      </c>
      <c r="B124" s="425"/>
      <c r="C124" s="425"/>
      <c r="D124" s="77">
        <f>D104+D106+D108+D110+D112+D114+D116+D118+D120+D122</f>
        <v>22797</v>
      </c>
      <c r="E124" s="77">
        <f t="shared" ref="E124:AE124" si="95">E104+E106+E108+E110+E112+E114+E116+E118+E120+E122</f>
        <v>22797</v>
      </c>
      <c r="F124" s="77">
        <f t="shared" si="95"/>
        <v>22797</v>
      </c>
      <c r="G124" s="77">
        <f t="shared" si="95"/>
        <v>23865</v>
      </c>
      <c r="H124" s="77">
        <f t="shared" si="95"/>
        <v>23865</v>
      </c>
      <c r="I124" s="77">
        <f t="shared" si="95"/>
        <v>23865</v>
      </c>
      <c r="J124" s="77">
        <f t="shared" si="95"/>
        <v>25868</v>
      </c>
      <c r="K124" s="77">
        <f t="shared" si="95"/>
        <v>25868</v>
      </c>
      <c r="L124" s="77">
        <f t="shared" si="95"/>
        <v>25868</v>
      </c>
      <c r="M124" s="77">
        <f t="shared" si="95"/>
        <v>25868</v>
      </c>
      <c r="N124" s="77">
        <f t="shared" si="95"/>
        <v>25868</v>
      </c>
      <c r="O124" s="77">
        <f t="shared" si="95"/>
        <v>22405</v>
      </c>
      <c r="P124" s="77">
        <f t="shared" si="95"/>
        <v>3332</v>
      </c>
      <c r="Q124" s="77">
        <f t="shared" si="95"/>
        <v>28087</v>
      </c>
      <c r="R124" s="77">
        <f t="shared" si="95"/>
        <v>28087</v>
      </c>
      <c r="S124" s="77">
        <f t="shared" si="95"/>
        <v>28087</v>
      </c>
      <c r="T124" s="77">
        <f t="shared" si="95"/>
        <v>28087</v>
      </c>
      <c r="U124" s="77">
        <f t="shared" si="95"/>
        <v>28087</v>
      </c>
      <c r="V124" s="77">
        <f t="shared" si="95"/>
        <v>24449</v>
      </c>
      <c r="W124" s="77">
        <f t="shared" si="95"/>
        <v>3506</v>
      </c>
      <c r="X124" s="77">
        <f t="shared" si="95"/>
        <v>27421</v>
      </c>
      <c r="Y124" s="77">
        <f t="shared" si="95"/>
        <v>27421</v>
      </c>
      <c r="Z124" s="77">
        <f t="shared" si="95"/>
        <v>27421</v>
      </c>
      <c r="AA124" s="77">
        <f t="shared" si="95"/>
        <v>27421</v>
      </c>
      <c r="AB124" s="77">
        <f t="shared" si="95"/>
        <v>27421</v>
      </c>
      <c r="AC124" s="77">
        <f t="shared" si="95"/>
        <v>24153</v>
      </c>
      <c r="AD124" s="77">
        <f t="shared" si="95"/>
        <v>3143</v>
      </c>
      <c r="AE124" s="77">
        <f t="shared" si="95"/>
        <v>627854</v>
      </c>
    </row>
    <row r="125" spans="1:31" s="43" customFormat="1" ht="15.75">
      <c r="A125" s="425" t="s">
        <v>164</v>
      </c>
      <c r="B125" s="425"/>
      <c r="C125" s="425"/>
      <c r="D125" s="77">
        <f>D105+D107+D109+D111+D113+D115+D117+D119+D121+D123</f>
        <v>0</v>
      </c>
      <c r="E125" s="77">
        <f t="shared" ref="E125:AE125" si="96">E105+E107+E109+E111+E113+E115+E117+E119+E121+E123</f>
        <v>0</v>
      </c>
      <c r="F125" s="77">
        <f t="shared" si="96"/>
        <v>0</v>
      </c>
      <c r="G125" s="77">
        <f t="shared" si="96"/>
        <v>0</v>
      </c>
      <c r="H125" s="77">
        <f t="shared" si="96"/>
        <v>0</v>
      </c>
      <c r="I125" s="77">
        <f t="shared" si="96"/>
        <v>0</v>
      </c>
      <c r="J125" s="77">
        <f t="shared" si="96"/>
        <v>0</v>
      </c>
      <c r="K125" s="77">
        <f t="shared" si="96"/>
        <v>0</v>
      </c>
      <c r="L125" s="77">
        <f t="shared" si="96"/>
        <v>0</v>
      </c>
      <c r="M125" s="77">
        <f t="shared" si="96"/>
        <v>0</v>
      </c>
      <c r="N125" s="77">
        <f t="shared" si="96"/>
        <v>0</v>
      </c>
      <c r="O125" s="77">
        <f t="shared" si="96"/>
        <v>0</v>
      </c>
      <c r="P125" s="77">
        <f t="shared" si="96"/>
        <v>0</v>
      </c>
      <c r="Q125" s="77">
        <f t="shared" si="96"/>
        <v>0</v>
      </c>
      <c r="R125" s="77">
        <f t="shared" si="96"/>
        <v>0</v>
      </c>
      <c r="S125" s="77">
        <f t="shared" si="96"/>
        <v>0</v>
      </c>
      <c r="T125" s="77">
        <f t="shared" si="96"/>
        <v>0</v>
      </c>
      <c r="U125" s="77">
        <f t="shared" si="96"/>
        <v>0</v>
      </c>
      <c r="V125" s="77">
        <f t="shared" si="96"/>
        <v>0</v>
      </c>
      <c r="W125" s="77">
        <f t="shared" si="96"/>
        <v>0</v>
      </c>
      <c r="X125" s="77">
        <f t="shared" si="96"/>
        <v>0</v>
      </c>
      <c r="Y125" s="77">
        <f t="shared" si="96"/>
        <v>0</v>
      </c>
      <c r="Z125" s="77">
        <f t="shared" si="96"/>
        <v>0</v>
      </c>
      <c r="AA125" s="77">
        <f t="shared" si="96"/>
        <v>0</v>
      </c>
      <c r="AB125" s="77">
        <f t="shared" si="96"/>
        <v>0</v>
      </c>
      <c r="AC125" s="77">
        <f t="shared" si="96"/>
        <v>0</v>
      </c>
      <c r="AD125" s="77">
        <f t="shared" si="96"/>
        <v>0</v>
      </c>
      <c r="AE125" s="77">
        <f t="shared" si="96"/>
        <v>0</v>
      </c>
    </row>
    <row r="126" spans="1:31" s="43" customFormat="1" ht="15.75">
      <c r="A126" s="425" t="s">
        <v>70</v>
      </c>
      <c r="B126" s="425"/>
      <c r="C126" s="425"/>
      <c r="D126" s="77">
        <f>D124-D125</f>
        <v>22797</v>
      </c>
      <c r="E126" s="77">
        <f t="shared" ref="E126:AD126" si="97">E124-E125</f>
        <v>22797</v>
      </c>
      <c r="F126" s="77">
        <f t="shared" si="97"/>
        <v>22797</v>
      </c>
      <c r="G126" s="77">
        <f t="shared" si="97"/>
        <v>23865</v>
      </c>
      <c r="H126" s="77">
        <f t="shared" si="97"/>
        <v>23865</v>
      </c>
      <c r="I126" s="77">
        <f t="shared" si="97"/>
        <v>23865</v>
      </c>
      <c r="J126" s="77">
        <f t="shared" si="97"/>
        <v>25868</v>
      </c>
      <c r="K126" s="77">
        <f t="shared" si="97"/>
        <v>25868</v>
      </c>
      <c r="L126" s="77">
        <f t="shared" si="97"/>
        <v>25868</v>
      </c>
      <c r="M126" s="77">
        <f t="shared" si="97"/>
        <v>25868</v>
      </c>
      <c r="N126" s="77">
        <f t="shared" si="97"/>
        <v>25868</v>
      </c>
      <c r="O126" s="77">
        <f t="shared" si="97"/>
        <v>22405</v>
      </c>
      <c r="P126" s="77">
        <f t="shared" si="97"/>
        <v>3332</v>
      </c>
      <c r="Q126" s="77">
        <f t="shared" si="97"/>
        <v>28087</v>
      </c>
      <c r="R126" s="77">
        <f t="shared" si="97"/>
        <v>28087</v>
      </c>
      <c r="S126" s="77">
        <f t="shared" si="97"/>
        <v>28087</v>
      </c>
      <c r="T126" s="77">
        <f t="shared" si="97"/>
        <v>28087</v>
      </c>
      <c r="U126" s="77">
        <f t="shared" si="97"/>
        <v>28087</v>
      </c>
      <c r="V126" s="77">
        <f t="shared" si="97"/>
        <v>24449</v>
      </c>
      <c r="W126" s="77">
        <f t="shared" si="97"/>
        <v>3506</v>
      </c>
      <c r="X126" s="77">
        <f t="shared" si="97"/>
        <v>27421</v>
      </c>
      <c r="Y126" s="77">
        <f t="shared" si="97"/>
        <v>27421</v>
      </c>
      <c r="Z126" s="77">
        <f t="shared" si="97"/>
        <v>27421</v>
      </c>
      <c r="AA126" s="77">
        <f t="shared" si="97"/>
        <v>27421</v>
      </c>
      <c r="AB126" s="77">
        <f t="shared" si="97"/>
        <v>27421</v>
      </c>
      <c r="AC126" s="77">
        <f t="shared" si="97"/>
        <v>24153</v>
      </c>
      <c r="AD126" s="77">
        <f t="shared" si="97"/>
        <v>3143</v>
      </c>
      <c r="AE126" s="7">
        <f t="shared" ref="AE126" si="98">SUM(D126:AD126)</f>
        <v>627854</v>
      </c>
    </row>
    <row r="127" spans="1:31"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</row>
    <row r="129" spans="5:31"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</row>
  </sheetData>
  <mergeCells count="157">
    <mergeCell ref="A124:C124"/>
    <mergeCell ref="A125:C125"/>
    <mergeCell ref="A126:C126"/>
    <mergeCell ref="A106:A107"/>
    <mergeCell ref="A108:A109"/>
    <mergeCell ref="A110:A111"/>
    <mergeCell ref="A112:A113"/>
    <mergeCell ref="A114:A115"/>
    <mergeCell ref="B106:B107"/>
    <mergeCell ref="B108:B109"/>
    <mergeCell ref="B110:B111"/>
    <mergeCell ref="B112:B113"/>
    <mergeCell ref="B114:B115"/>
    <mergeCell ref="A104:A105"/>
    <mergeCell ref="B104:B105"/>
    <mergeCell ref="A116:A117"/>
    <mergeCell ref="B116:B117"/>
    <mergeCell ref="A118:A119"/>
    <mergeCell ref="B118:B119"/>
    <mergeCell ref="A120:A121"/>
    <mergeCell ref="B120:B121"/>
    <mergeCell ref="A122:A123"/>
    <mergeCell ref="B122:B123"/>
    <mergeCell ref="A101:AB101"/>
    <mergeCell ref="AC101:AE101"/>
    <mergeCell ref="A102:A103"/>
    <mergeCell ref="B102:C103"/>
    <mergeCell ref="D102:F102"/>
    <mergeCell ref="G102:I102"/>
    <mergeCell ref="J102:P102"/>
    <mergeCell ref="Q102:W102"/>
    <mergeCell ref="X102:AD102"/>
    <mergeCell ref="AE102:AE103"/>
    <mergeCell ref="A24:C24"/>
    <mergeCell ref="A25:C25"/>
    <mergeCell ref="A26:C26"/>
    <mergeCell ref="A6:A7"/>
    <mergeCell ref="B6:B7"/>
    <mergeCell ref="A16:A17"/>
    <mergeCell ref="B16:B17"/>
    <mergeCell ref="A18:A19"/>
    <mergeCell ref="B18:B19"/>
    <mergeCell ref="A20:A21"/>
    <mergeCell ref="B20:B21"/>
    <mergeCell ref="A22:A23"/>
    <mergeCell ref="B22:B23"/>
    <mergeCell ref="B8:B9"/>
    <mergeCell ref="B10:B11"/>
    <mergeCell ref="B12:B13"/>
    <mergeCell ref="B14:B15"/>
    <mergeCell ref="A8:A9"/>
    <mergeCell ref="A10:A11"/>
    <mergeCell ref="A12:A13"/>
    <mergeCell ref="A14:A15"/>
    <mergeCell ref="Q4:W4"/>
    <mergeCell ref="A1:AE1"/>
    <mergeCell ref="A2:AE2"/>
    <mergeCell ref="A3:AB3"/>
    <mergeCell ref="AC3:AE3"/>
    <mergeCell ref="A4:A5"/>
    <mergeCell ref="B4:C5"/>
    <mergeCell ref="D4:F4"/>
    <mergeCell ref="G4:I4"/>
    <mergeCell ref="J4:P4"/>
    <mergeCell ref="X4:AD4"/>
    <mergeCell ref="AE4:AE5"/>
    <mergeCell ref="A31:A32"/>
    <mergeCell ref="B31:B32"/>
    <mergeCell ref="A33:A34"/>
    <mergeCell ref="B33:B34"/>
    <mergeCell ref="A35:A36"/>
    <mergeCell ref="B35:B36"/>
    <mergeCell ref="A28:AB28"/>
    <mergeCell ref="AC28:AE28"/>
    <mergeCell ref="A29:A30"/>
    <mergeCell ref="B29:C30"/>
    <mergeCell ref="D29:F29"/>
    <mergeCell ref="G29:I29"/>
    <mergeCell ref="J29:P29"/>
    <mergeCell ref="Q29:W29"/>
    <mergeCell ref="X29:AD29"/>
    <mergeCell ref="AE29:AE30"/>
    <mergeCell ref="A43:A44"/>
    <mergeCell ref="B43:B44"/>
    <mergeCell ref="A45:A46"/>
    <mergeCell ref="B45:B46"/>
    <mergeCell ref="A53:A54"/>
    <mergeCell ref="B53:B54"/>
    <mergeCell ref="A37:A38"/>
    <mergeCell ref="B37:B38"/>
    <mergeCell ref="A39:A40"/>
    <mergeCell ref="B39:B40"/>
    <mergeCell ref="A41:A42"/>
    <mergeCell ref="B41:B42"/>
    <mergeCell ref="A55:C55"/>
    <mergeCell ref="A56:C56"/>
    <mergeCell ref="A57:C57"/>
    <mergeCell ref="B47:B48"/>
    <mergeCell ref="B49:B50"/>
    <mergeCell ref="B51:B52"/>
    <mergeCell ref="A47:A48"/>
    <mergeCell ref="A49:A50"/>
    <mergeCell ref="A51:A52"/>
    <mergeCell ref="A62:A63"/>
    <mergeCell ref="B62:B63"/>
    <mergeCell ref="A64:A65"/>
    <mergeCell ref="B64:B65"/>
    <mergeCell ref="A66:A67"/>
    <mergeCell ref="B66:B67"/>
    <mergeCell ref="A59:AB59"/>
    <mergeCell ref="AC59:AE59"/>
    <mergeCell ref="A60:A61"/>
    <mergeCell ref="B60:C61"/>
    <mergeCell ref="D60:F60"/>
    <mergeCell ref="G60:I60"/>
    <mergeCell ref="J60:P60"/>
    <mergeCell ref="Q60:W60"/>
    <mergeCell ref="X60:AD60"/>
    <mergeCell ref="AE60:AE61"/>
    <mergeCell ref="A74:A75"/>
    <mergeCell ref="B74:B75"/>
    <mergeCell ref="A76:A77"/>
    <mergeCell ref="B76:B77"/>
    <mergeCell ref="A78:A79"/>
    <mergeCell ref="B78:B79"/>
    <mergeCell ref="A68:A69"/>
    <mergeCell ref="B68:B69"/>
    <mergeCell ref="A70:A71"/>
    <mergeCell ref="B70:B71"/>
    <mergeCell ref="A72:A73"/>
    <mergeCell ref="B72:B73"/>
    <mergeCell ref="Q85:W85"/>
    <mergeCell ref="X85:AD85"/>
    <mergeCell ref="AE85:AE86"/>
    <mergeCell ref="A85:A86"/>
    <mergeCell ref="B85:C86"/>
    <mergeCell ref="D85:F85"/>
    <mergeCell ref="G85:I85"/>
    <mergeCell ref="J85:P85"/>
    <mergeCell ref="A80:C80"/>
    <mergeCell ref="A81:C81"/>
    <mergeCell ref="A82:C82"/>
    <mergeCell ref="A84:AB84"/>
    <mergeCell ref="AC84:AE84"/>
    <mergeCell ref="A98:C98"/>
    <mergeCell ref="A99:C99"/>
    <mergeCell ref="A93:A94"/>
    <mergeCell ref="B93:B94"/>
    <mergeCell ref="A95:A96"/>
    <mergeCell ref="B95:B96"/>
    <mergeCell ref="A97:C97"/>
    <mergeCell ref="A87:A88"/>
    <mergeCell ref="B87:B88"/>
    <mergeCell ref="A89:A90"/>
    <mergeCell ref="B89:B90"/>
    <mergeCell ref="A91:A92"/>
    <mergeCell ref="B91:B92"/>
  </mergeCells>
  <pageMargins left="0.7" right="0.7" top="0.75" bottom="0.75" header="0.3" footer="0.3"/>
  <pageSetup paperSize="9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00B0F0"/>
  </sheetPr>
  <dimension ref="A1:Z118"/>
  <sheetViews>
    <sheetView topLeftCell="A100" zoomScale="120" zoomScaleNormal="120" workbookViewId="0">
      <selection activeCell="A99" sqref="A99:A112"/>
    </sheetView>
  </sheetViews>
  <sheetFormatPr defaultColWidth="9.140625" defaultRowHeight="15.75"/>
  <cols>
    <col min="1" max="1" width="4.28515625" style="1" customWidth="1"/>
    <col min="2" max="2" width="8.140625" style="5" customWidth="1"/>
    <col min="3" max="3" width="8.28515625" style="1" customWidth="1"/>
    <col min="4" max="4" width="7.5703125" style="1" customWidth="1"/>
    <col min="5" max="5" width="7.7109375" style="1" customWidth="1"/>
    <col min="6" max="6" width="8.140625" style="1" customWidth="1"/>
    <col min="7" max="7" width="7.28515625" style="1" customWidth="1"/>
    <col min="8" max="8" width="7.5703125" style="1" customWidth="1"/>
    <col min="9" max="9" width="8.5703125" style="1" customWidth="1"/>
    <col min="10" max="10" width="8.42578125" style="1" customWidth="1"/>
    <col min="11" max="11" width="8.140625" style="1" customWidth="1"/>
    <col min="12" max="12" width="6.7109375" style="1" customWidth="1"/>
    <col min="13" max="13" width="8.7109375" style="1" customWidth="1"/>
    <col min="14" max="14" width="6" style="1" bestFit="1" customWidth="1"/>
    <col min="15" max="15" width="5.42578125" style="1" bestFit="1" customWidth="1"/>
    <col min="16" max="16" width="8.5703125" style="1" customWidth="1"/>
    <col min="17" max="17" width="6.5703125" style="1" customWidth="1"/>
    <col min="18" max="18" width="7.28515625" style="1" customWidth="1"/>
    <col min="19" max="19" width="6.42578125" style="1" customWidth="1"/>
    <col min="20" max="21" width="5.42578125" style="1" bestFit="1" customWidth="1"/>
    <col min="22" max="22" width="4.85546875" style="1" customWidth="1"/>
    <col min="23" max="24" width="4.7109375" style="1" customWidth="1"/>
    <col min="25" max="25" width="5" style="1" customWidth="1"/>
    <col min="26" max="26" width="8.28515625" style="1" customWidth="1"/>
    <col min="27" max="16384" width="9.140625" style="1"/>
  </cols>
  <sheetData>
    <row r="1" spans="1:26" customFormat="1" ht="30" customHeight="1">
      <c r="A1" s="453" t="s">
        <v>364</v>
      </c>
      <c r="B1" s="453"/>
      <c r="C1" s="453"/>
      <c r="D1" s="453"/>
      <c r="E1" s="453"/>
      <c r="F1" s="453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customFormat="1" ht="18" customHeight="1">
      <c r="A2" s="33" t="s">
        <v>118</v>
      </c>
      <c r="B2" s="33" t="s">
        <v>307</v>
      </c>
      <c r="C2" s="35" t="s">
        <v>24</v>
      </c>
      <c r="D2" s="34" t="s">
        <v>194</v>
      </c>
      <c r="E2" s="34" t="s">
        <v>365</v>
      </c>
      <c r="F2" s="35" t="s">
        <v>174</v>
      </c>
      <c r="G2" s="35" t="s">
        <v>27</v>
      </c>
      <c r="H2" s="35" t="s">
        <v>175</v>
      </c>
      <c r="I2" s="35" t="s">
        <v>42</v>
      </c>
      <c r="J2" s="35" t="s">
        <v>169</v>
      </c>
      <c r="K2" s="35" t="s">
        <v>32</v>
      </c>
      <c r="L2" s="34" t="s">
        <v>176</v>
      </c>
      <c r="M2" s="35" t="s">
        <v>44</v>
      </c>
      <c r="N2" s="35" t="s">
        <v>40</v>
      </c>
      <c r="O2" s="35" t="s">
        <v>46</v>
      </c>
      <c r="P2" s="35" t="s">
        <v>47</v>
      </c>
      <c r="Q2" s="35" t="s">
        <v>214</v>
      </c>
      <c r="R2" s="35" t="s">
        <v>170</v>
      </c>
      <c r="S2" s="35" t="s">
        <v>49</v>
      </c>
      <c r="T2" s="35" t="s">
        <v>50</v>
      </c>
      <c r="U2" s="35" t="s">
        <v>177</v>
      </c>
      <c r="V2" s="35" t="s">
        <v>215</v>
      </c>
      <c r="W2" s="34" t="s">
        <v>216</v>
      </c>
      <c r="X2" s="34" t="s">
        <v>149</v>
      </c>
      <c r="Y2" s="35" t="s">
        <v>99</v>
      </c>
      <c r="Z2" s="35" t="s">
        <v>88</v>
      </c>
    </row>
    <row r="3" spans="1:26" customFormat="1" ht="18" customHeight="1">
      <c r="A3" s="428">
        <v>1</v>
      </c>
      <c r="B3" s="331" t="s">
        <v>19</v>
      </c>
      <c r="C3" s="134" t="s">
        <v>24</v>
      </c>
      <c r="D3" s="134">
        <v>3750</v>
      </c>
      <c r="E3" s="134">
        <v>3750</v>
      </c>
      <c r="F3" s="134">
        <v>3750</v>
      </c>
      <c r="G3" s="134">
        <v>3750</v>
      </c>
      <c r="H3" s="134">
        <v>3750</v>
      </c>
      <c r="I3" s="134">
        <v>3750</v>
      </c>
      <c r="J3" s="134">
        <v>3750</v>
      </c>
      <c r="K3" s="134">
        <v>3750</v>
      </c>
      <c r="L3" s="134">
        <v>70</v>
      </c>
      <c r="M3" s="134">
        <v>3750</v>
      </c>
      <c r="N3" s="134">
        <v>0</v>
      </c>
      <c r="O3" s="134">
        <v>260</v>
      </c>
      <c r="P3" s="134">
        <v>2250</v>
      </c>
      <c r="Q3" s="134">
        <v>1170</v>
      </c>
      <c r="R3" s="134">
        <v>3500</v>
      </c>
      <c r="S3" s="134">
        <v>247</v>
      </c>
      <c r="T3" s="134">
        <v>3</v>
      </c>
      <c r="U3" s="134">
        <v>0</v>
      </c>
      <c r="V3" s="134">
        <v>0</v>
      </c>
      <c r="W3" s="134">
        <v>0</v>
      </c>
      <c r="X3" s="134">
        <v>0</v>
      </c>
      <c r="Y3" s="134">
        <v>0</v>
      </c>
      <c r="Z3" s="134">
        <f>SUM(D3:Y3)</f>
        <v>41250</v>
      </c>
    </row>
    <row r="4" spans="1:26" customFormat="1" ht="18" customHeight="1">
      <c r="A4" s="424"/>
      <c r="B4" s="332"/>
      <c r="C4" s="134" t="s">
        <v>25</v>
      </c>
      <c r="D4" s="134"/>
      <c r="E4" s="134"/>
      <c r="F4" s="134"/>
      <c r="G4" s="134"/>
      <c r="H4" s="134"/>
      <c r="I4" s="134"/>
      <c r="J4" s="134"/>
      <c r="K4" s="134"/>
      <c r="L4" s="134"/>
      <c r="M4" s="134"/>
      <c r="N4" s="134"/>
      <c r="O4" s="134"/>
      <c r="P4" s="134"/>
      <c r="Q4" s="134"/>
      <c r="R4" s="134"/>
      <c r="S4" s="134"/>
      <c r="T4" s="134"/>
      <c r="U4" s="134"/>
      <c r="V4" s="134"/>
      <c r="W4" s="134"/>
      <c r="X4" s="134"/>
      <c r="Y4" s="134">
        <v>0</v>
      </c>
      <c r="Z4" s="134">
        <f t="shared" ref="Z4:Z13" si="0">SUM(D4:Y4)</f>
        <v>0</v>
      </c>
    </row>
    <row r="5" spans="1:26" customFormat="1" ht="18" customHeight="1">
      <c r="A5" s="428">
        <v>2</v>
      </c>
      <c r="B5" s="331" t="s">
        <v>18</v>
      </c>
      <c r="C5" s="134" t="s">
        <v>24</v>
      </c>
      <c r="D5" s="134">
        <v>6260</v>
      </c>
      <c r="E5" s="134">
        <v>6260</v>
      </c>
      <c r="F5" s="134">
        <v>6260</v>
      </c>
      <c r="G5" s="134">
        <v>6260</v>
      </c>
      <c r="H5" s="134">
        <v>6260</v>
      </c>
      <c r="I5" s="134">
        <v>6260</v>
      </c>
      <c r="J5" s="134">
        <v>6260</v>
      </c>
      <c r="K5" s="134">
        <v>6260</v>
      </c>
      <c r="L5" s="134">
        <v>0</v>
      </c>
      <c r="M5" s="134">
        <v>6260</v>
      </c>
      <c r="N5" s="134">
        <v>0</v>
      </c>
      <c r="O5" s="134">
        <v>0</v>
      </c>
      <c r="P5" s="134">
        <v>3720</v>
      </c>
      <c r="Q5" s="134">
        <v>2540</v>
      </c>
      <c r="R5" s="134">
        <v>4390</v>
      </c>
      <c r="S5" s="134">
        <v>1525</v>
      </c>
      <c r="T5" s="134">
        <v>320</v>
      </c>
      <c r="U5" s="134">
        <v>25</v>
      </c>
      <c r="V5" s="134">
        <v>0</v>
      </c>
      <c r="W5" s="134">
        <v>0</v>
      </c>
      <c r="X5" s="134">
        <v>0</v>
      </c>
      <c r="Y5" s="134">
        <v>200</v>
      </c>
      <c r="Z5" s="134">
        <f t="shared" si="0"/>
        <v>69060</v>
      </c>
    </row>
    <row r="6" spans="1:26" customFormat="1" ht="18" customHeight="1">
      <c r="A6" s="424"/>
      <c r="B6" s="332"/>
      <c r="C6" s="134" t="s">
        <v>25</v>
      </c>
      <c r="D6" s="134"/>
      <c r="E6" s="134"/>
      <c r="F6" s="134"/>
      <c r="G6" s="134"/>
      <c r="H6" s="134"/>
      <c r="I6" s="134"/>
      <c r="J6" s="134"/>
      <c r="K6" s="134"/>
      <c r="L6" s="134"/>
      <c r="M6" s="134"/>
      <c r="N6" s="134"/>
      <c r="O6" s="134"/>
      <c r="P6" s="134"/>
      <c r="Q6" s="134"/>
      <c r="R6" s="134"/>
      <c r="S6" s="134"/>
      <c r="T6" s="134"/>
      <c r="U6" s="134"/>
      <c r="V6" s="134"/>
      <c r="W6" s="134"/>
      <c r="X6" s="134"/>
      <c r="Y6" s="134">
        <v>0</v>
      </c>
      <c r="Z6" s="134">
        <f t="shared" si="0"/>
        <v>0</v>
      </c>
    </row>
    <row r="7" spans="1:26" customFormat="1" ht="18" customHeight="1">
      <c r="A7" s="428">
        <v>3</v>
      </c>
      <c r="B7" s="331" t="s">
        <v>17</v>
      </c>
      <c r="C7" s="134" t="s">
        <v>24</v>
      </c>
      <c r="D7" s="134">
        <v>22000</v>
      </c>
      <c r="E7" s="134">
        <v>22000</v>
      </c>
      <c r="F7" s="134">
        <v>22000</v>
      </c>
      <c r="G7" s="134">
        <v>22000</v>
      </c>
      <c r="H7" s="134">
        <v>22000</v>
      </c>
      <c r="I7" s="134">
        <v>22000</v>
      </c>
      <c r="J7" s="134">
        <v>22000</v>
      </c>
      <c r="K7" s="134">
        <v>22000</v>
      </c>
      <c r="L7" s="134">
        <v>0</v>
      </c>
      <c r="M7" s="134">
        <v>22000</v>
      </c>
      <c r="N7" s="134">
        <v>0</v>
      </c>
      <c r="O7" s="134">
        <v>0</v>
      </c>
      <c r="P7" s="134">
        <v>13180</v>
      </c>
      <c r="Q7" s="134">
        <v>8820</v>
      </c>
      <c r="R7" s="134">
        <v>19100</v>
      </c>
      <c r="S7" s="134">
        <v>2870</v>
      </c>
      <c r="T7" s="134">
        <v>30</v>
      </c>
      <c r="U7" s="134">
        <v>0</v>
      </c>
      <c r="V7" s="134">
        <v>0</v>
      </c>
      <c r="W7" s="134">
        <v>0</v>
      </c>
      <c r="X7" s="134">
        <v>0</v>
      </c>
      <c r="Y7" s="134">
        <v>0</v>
      </c>
      <c r="Z7" s="134">
        <f t="shared" si="0"/>
        <v>242000</v>
      </c>
    </row>
    <row r="8" spans="1:26" customFormat="1" ht="18" customHeight="1">
      <c r="A8" s="424"/>
      <c r="B8" s="332"/>
      <c r="C8" s="134" t="s">
        <v>25</v>
      </c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  <c r="V8" s="134"/>
      <c r="W8" s="134"/>
      <c r="X8" s="134"/>
      <c r="Y8" s="134">
        <v>0</v>
      </c>
      <c r="Z8" s="134">
        <f t="shared" si="0"/>
        <v>0</v>
      </c>
    </row>
    <row r="9" spans="1:26" customFormat="1" ht="18" customHeight="1">
      <c r="A9" s="428">
        <v>4</v>
      </c>
      <c r="B9" s="331" t="s">
        <v>366</v>
      </c>
      <c r="C9" s="134" t="s">
        <v>24</v>
      </c>
      <c r="D9" s="134">
        <v>1500</v>
      </c>
      <c r="E9" s="134">
        <v>1500</v>
      </c>
      <c r="F9" s="134">
        <v>1500</v>
      </c>
      <c r="G9" s="134">
        <v>1500</v>
      </c>
      <c r="H9" s="134">
        <v>1500</v>
      </c>
      <c r="I9" s="134">
        <v>1500</v>
      </c>
      <c r="J9" s="134">
        <v>1500</v>
      </c>
      <c r="K9" s="134">
        <v>1500</v>
      </c>
      <c r="L9" s="134">
        <v>1500</v>
      </c>
      <c r="M9" s="134">
        <v>1500</v>
      </c>
      <c r="N9" s="134">
        <v>1500</v>
      </c>
      <c r="O9" s="134">
        <v>1500</v>
      </c>
      <c r="P9" s="134">
        <v>1500</v>
      </c>
      <c r="Q9" s="134">
        <v>1500</v>
      </c>
      <c r="R9" s="134">
        <v>1500</v>
      </c>
      <c r="S9" s="134">
        <v>1500</v>
      </c>
      <c r="T9" s="134">
        <v>1500</v>
      </c>
      <c r="U9" s="134">
        <v>1500</v>
      </c>
      <c r="V9" s="134">
        <v>1500</v>
      </c>
      <c r="W9" s="134">
        <v>1500</v>
      </c>
      <c r="X9" s="134">
        <v>1500</v>
      </c>
      <c r="Y9" s="134">
        <v>1500</v>
      </c>
      <c r="Z9" s="134">
        <f t="shared" si="0"/>
        <v>33000</v>
      </c>
    </row>
    <row r="10" spans="1:26" customFormat="1" ht="18" customHeight="1">
      <c r="A10" s="424"/>
      <c r="B10" s="332"/>
      <c r="C10" s="134" t="s">
        <v>25</v>
      </c>
      <c r="D10" s="134"/>
      <c r="E10" s="134"/>
      <c r="F10" s="134"/>
      <c r="G10" s="134"/>
      <c r="H10" s="134"/>
      <c r="I10" s="134"/>
      <c r="J10" s="134"/>
      <c r="K10" s="134"/>
      <c r="L10" s="134"/>
      <c r="M10" s="134"/>
      <c r="N10" s="134"/>
      <c r="O10" s="134"/>
      <c r="P10" s="134"/>
      <c r="Q10" s="134"/>
      <c r="R10" s="134"/>
      <c r="S10" s="134"/>
      <c r="T10" s="134"/>
      <c r="U10" s="134"/>
      <c r="V10" s="134"/>
      <c r="W10" s="134"/>
      <c r="X10" s="134"/>
      <c r="Y10" s="134">
        <v>0</v>
      </c>
      <c r="Z10" s="134">
        <f t="shared" si="0"/>
        <v>0</v>
      </c>
    </row>
    <row r="11" spans="1:26">
      <c r="A11" s="450" t="s">
        <v>35</v>
      </c>
      <c r="B11" s="451"/>
      <c r="C11" s="452"/>
      <c r="D11" s="134">
        <f>D3+D5+D7+D9</f>
        <v>33510</v>
      </c>
      <c r="E11" s="134">
        <f t="shared" ref="E11:Z11" si="1">E3+E5+E7+E9</f>
        <v>33510</v>
      </c>
      <c r="F11" s="134">
        <f t="shared" si="1"/>
        <v>33510</v>
      </c>
      <c r="G11" s="134">
        <f t="shared" si="1"/>
        <v>33510</v>
      </c>
      <c r="H11" s="134">
        <f t="shared" si="1"/>
        <v>33510</v>
      </c>
      <c r="I11" s="134">
        <f t="shared" si="1"/>
        <v>33510</v>
      </c>
      <c r="J11" s="134">
        <f t="shared" si="1"/>
        <v>33510</v>
      </c>
      <c r="K11" s="134">
        <f t="shared" si="1"/>
        <v>33510</v>
      </c>
      <c r="L11" s="134">
        <f t="shared" si="1"/>
        <v>1570</v>
      </c>
      <c r="M11" s="134">
        <f t="shared" si="1"/>
        <v>33510</v>
      </c>
      <c r="N11" s="134">
        <f t="shared" si="1"/>
        <v>1500</v>
      </c>
      <c r="O11" s="134">
        <f t="shared" si="1"/>
        <v>1760</v>
      </c>
      <c r="P11" s="134">
        <f t="shared" si="1"/>
        <v>20650</v>
      </c>
      <c r="Q11" s="134">
        <f t="shared" si="1"/>
        <v>14030</v>
      </c>
      <c r="R11" s="134">
        <f t="shared" si="1"/>
        <v>28490</v>
      </c>
      <c r="S11" s="134">
        <f t="shared" si="1"/>
        <v>6142</v>
      </c>
      <c r="T11" s="134">
        <f t="shared" si="1"/>
        <v>1853</v>
      </c>
      <c r="U11" s="134">
        <f t="shared" si="1"/>
        <v>1525</v>
      </c>
      <c r="V11" s="134">
        <f t="shared" si="1"/>
        <v>1500</v>
      </c>
      <c r="W11" s="134">
        <f t="shared" si="1"/>
        <v>1500</v>
      </c>
      <c r="X11" s="134">
        <f t="shared" si="1"/>
        <v>1500</v>
      </c>
      <c r="Y11" s="134">
        <f t="shared" si="1"/>
        <v>1700</v>
      </c>
      <c r="Z11" s="134">
        <f t="shared" si="1"/>
        <v>385310</v>
      </c>
    </row>
    <row r="12" spans="1:26" s="32" customFormat="1">
      <c r="A12" s="450" t="s">
        <v>36</v>
      </c>
      <c r="B12" s="451"/>
      <c r="C12" s="452"/>
      <c r="D12" s="134">
        <f>D4+D6+D8+D10</f>
        <v>0</v>
      </c>
      <c r="E12" s="134">
        <f t="shared" ref="E12:Z12" si="2">E4+E6+E8+E10</f>
        <v>0</v>
      </c>
      <c r="F12" s="134">
        <f t="shared" si="2"/>
        <v>0</v>
      </c>
      <c r="G12" s="134">
        <f t="shared" si="2"/>
        <v>0</v>
      </c>
      <c r="H12" s="134">
        <f t="shared" si="2"/>
        <v>0</v>
      </c>
      <c r="I12" s="134">
        <f t="shared" si="2"/>
        <v>0</v>
      </c>
      <c r="J12" s="134">
        <f t="shared" si="2"/>
        <v>0</v>
      </c>
      <c r="K12" s="134">
        <f t="shared" si="2"/>
        <v>0</v>
      </c>
      <c r="L12" s="134">
        <f t="shared" si="2"/>
        <v>0</v>
      </c>
      <c r="M12" s="134">
        <f t="shared" si="2"/>
        <v>0</v>
      </c>
      <c r="N12" s="134">
        <f t="shared" si="2"/>
        <v>0</v>
      </c>
      <c r="O12" s="134">
        <f t="shared" si="2"/>
        <v>0</v>
      </c>
      <c r="P12" s="134">
        <f t="shared" si="2"/>
        <v>0</v>
      </c>
      <c r="Q12" s="134">
        <f t="shared" si="2"/>
        <v>0</v>
      </c>
      <c r="R12" s="134">
        <f t="shared" si="2"/>
        <v>0</v>
      </c>
      <c r="S12" s="134">
        <f t="shared" si="2"/>
        <v>0</v>
      </c>
      <c r="T12" s="134">
        <f t="shared" si="2"/>
        <v>0</v>
      </c>
      <c r="U12" s="134">
        <f t="shared" si="2"/>
        <v>0</v>
      </c>
      <c r="V12" s="134">
        <f t="shared" si="2"/>
        <v>0</v>
      </c>
      <c r="W12" s="134">
        <f t="shared" si="2"/>
        <v>0</v>
      </c>
      <c r="X12" s="134">
        <f t="shared" si="2"/>
        <v>0</v>
      </c>
      <c r="Y12" s="134">
        <f t="shared" si="2"/>
        <v>0</v>
      </c>
      <c r="Z12" s="134">
        <f t="shared" si="2"/>
        <v>0</v>
      </c>
    </row>
    <row r="13" spans="1:26" s="32" customFormat="1" ht="18" customHeight="1">
      <c r="A13" s="450" t="s">
        <v>308</v>
      </c>
      <c r="B13" s="451"/>
      <c r="C13" s="452"/>
      <c r="D13" s="134">
        <f>D11-D12</f>
        <v>33510</v>
      </c>
      <c r="E13" s="134">
        <f t="shared" ref="E13:Y13" si="3">E11-E12</f>
        <v>33510</v>
      </c>
      <c r="F13" s="134">
        <f t="shared" si="3"/>
        <v>33510</v>
      </c>
      <c r="G13" s="134">
        <f t="shared" si="3"/>
        <v>33510</v>
      </c>
      <c r="H13" s="134">
        <f t="shared" si="3"/>
        <v>33510</v>
      </c>
      <c r="I13" s="134">
        <f t="shared" si="3"/>
        <v>33510</v>
      </c>
      <c r="J13" s="134">
        <f t="shared" si="3"/>
        <v>33510</v>
      </c>
      <c r="K13" s="134">
        <f t="shared" si="3"/>
        <v>33510</v>
      </c>
      <c r="L13" s="134">
        <f t="shared" si="3"/>
        <v>1570</v>
      </c>
      <c r="M13" s="134">
        <f t="shared" si="3"/>
        <v>33510</v>
      </c>
      <c r="N13" s="134">
        <f t="shared" si="3"/>
        <v>1500</v>
      </c>
      <c r="O13" s="134">
        <f t="shared" si="3"/>
        <v>1760</v>
      </c>
      <c r="P13" s="134">
        <f t="shared" si="3"/>
        <v>20650</v>
      </c>
      <c r="Q13" s="134">
        <f t="shared" si="3"/>
        <v>14030</v>
      </c>
      <c r="R13" s="134">
        <f t="shared" si="3"/>
        <v>28490</v>
      </c>
      <c r="S13" s="134">
        <f t="shared" si="3"/>
        <v>6142</v>
      </c>
      <c r="T13" s="134">
        <f t="shared" si="3"/>
        <v>1853</v>
      </c>
      <c r="U13" s="134">
        <f t="shared" si="3"/>
        <v>1525</v>
      </c>
      <c r="V13" s="134">
        <f t="shared" si="3"/>
        <v>1500</v>
      </c>
      <c r="W13" s="134">
        <f t="shared" si="3"/>
        <v>1500</v>
      </c>
      <c r="X13" s="134">
        <f t="shared" si="3"/>
        <v>1500</v>
      </c>
      <c r="Y13" s="134">
        <f t="shared" si="3"/>
        <v>1700</v>
      </c>
      <c r="Z13" s="134">
        <f t="shared" si="0"/>
        <v>385310</v>
      </c>
    </row>
    <row r="14" spans="1:26" s="32" customFormat="1" ht="18" customHeight="1">
      <c r="A14" s="1"/>
      <c r="B14" s="5"/>
      <c r="C14" s="1"/>
      <c r="Z14" s="1"/>
    </row>
    <row r="15" spans="1:26" s="43" customFormat="1" ht="30" customHeight="1">
      <c r="A15" s="453" t="s">
        <v>367</v>
      </c>
      <c r="B15" s="453"/>
      <c r="C15" s="453"/>
      <c r="D15" s="453"/>
      <c r="E15" s="453"/>
      <c r="F15" s="453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s="43" customFormat="1" ht="18" customHeight="1">
      <c r="A16" s="33" t="s">
        <v>118</v>
      </c>
      <c r="B16" s="33" t="s">
        <v>307</v>
      </c>
      <c r="C16" s="35" t="s">
        <v>24</v>
      </c>
      <c r="D16" s="34" t="s">
        <v>194</v>
      </c>
      <c r="E16" s="34" t="s">
        <v>365</v>
      </c>
      <c r="F16" s="35" t="s">
        <v>174</v>
      </c>
      <c r="G16" s="35" t="s">
        <v>27</v>
      </c>
      <c r="H16" s="35" t="s">
        <v>175</v>
      </c>
      <c r="I16" s="35" t="s">
        <v>42</v>
      </c>
      <c r="J16" s="35" t="s">
        <v>169</v>
      </c>
      <c r="K16" s="35" t="s">
        <v>32</v>
      </c>
      <c r="L16" s="34" t="s">
        <v>176</v>
      </c>
      <c r="M16" s="35" t="s">
        <v>44</v>
      </c>
      <c r="N16" s="35" t="s">
        <v>40</v>
      </c>
      <c r="O16" s="35" t="s">
        <v>46</v>
      </c>
      <c r="P16" s="35" t="s">
        <v>47</v>
      </c>
      <c r="Q16" s="35" t="s">
        <v>214</v>
      </c>
      <c r="R16" s="35" t="s">
        <v>170</v>
      </c>
      <c r="S16" s="35" t="s">
        <v>49</v>
      </c>
      <c r="T16" s="35" t="s">
        <v>50</v>
      </c>
      <c r="U16" s="35" t="s">
        <v>177</v>
      </c>
      <c r="V16" s="35" t="s">
        <v>215</v>
      </c>
      <c r="W16" s="34" t="s">
        <v>216</v>
      </c>
      <c r="X16" s="34" t="s">
        <v>149</v>
      </c>
      <c r="Y16" s="35" t="s">
        <v>99</v>
      </c>
      <c r="Z16" s="35" t="s">
        <v>88</v>
      </c>
    </row>
    <row r="17" spans="1:26" s="43" customFormat="1" ht="18" customHeight="1">
      <c r="A17" s="428">
        <v>1</v>
      </c>
      <c r="B17" s="331" t="s">
        <v>368</v>
      </c>
      <c r="C17" s="134" t="s">
        <v>24</v>
      </c>
      <c r="D17" s="134">
        <v>11800</v>
      </c>
      <c r="E17" s="134">
        <v>11800</v>
      </c>
      <c r="F17" s="134">
        <v>11800</v>
      </c>
      <c r="G17" s="134">
        <v>11800</v>
      </c>
      <c r="H17" s="134">
        <v>11800</v>
      </c>
      <c r="I17" s="134">
        <v>11800</v>
      </c>
      <c r="J17" s="134">
        <v>11800</v>
      </c>
      <c r="K17" s="134">
        <v>11800</v>
      </c>
      <c r="L17" s="134">
        <v>750</v>
      </c>
      <c r="M17" s="134">
        <v>11800</v>
      </c>
      <c r="N17" s="134">
        <v>0</v>
      </c>
      <c r="O17" s="134">
        <v>0</v>
      </c>
      <c r="P17" s="134">
        <v>7050</v>
      </c>
      <c r="Q17" s="134">
        <v>4000</v>
      </c>
      <c r="R17" s="134">
        <v>10250</v>
      </c>
      <c r="S17" s="134">
        <v>1550</v>
      </c>
      <c r="T17" s="134">
        <v>0</v>
      </c>
      <c r="U17" s="134">
        <v>0</v>
      </c>
      <c r="V17" s="134">
        <v>0</v>
      </c>
      <c r="W17" s="134">
        <v>0</v>
      </c>
      <c r="X17" s="134">
        <v>0</v>
      </c>
      <c r="Y17" s="134">
        <v>0</v>
      </c>
      <c r="Z17" s="134">
        <f>SUM(D17:Y17)</f>
        <v>129800</v>
      </c>
    </row>
    <row r="18" spans="1:26" s="43" customFormat="1" ht="18" customHeight="1">
      <c r="A18" s="424"/>
      <c r="B18" s="332"/>
      <c r="C18" s="134" t="s">
        <v>25</v>
      </c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  <c r="R18" s="134"/>
      <c r="S18" s="134"/>
      <c r="T18" s="134"/>
      <c r="U18" s="134"/>
      <c r="V18" s="134"/>
      <c r="W18" s="134"/>
      <c r="X18" s="134"/>
      <c r="Y18" s="134"/>
      <c r="Z18" s="134">
        <f t="shared" ref="Z18:Z28" si="4">SUM(D18:Y18)</f>
        <v>0</v>
      </c>
    </row>
    <row r="19" spans="1:26" s="43" customFormat="1" ht="18" customHeight="1">
      <c r="A19" s="428">
        <v>2</v>
      </c>
      <c r="B19" s="331" t="s">
        <v>369</v>
      </c>
      <c r="C19" s="134" t="s">
        <v>24</v>
      </c>
      <c r="D19" s="134">
        <v>3770</v>
      </c>
      <c r="E19" s="134">
        <v>3770</v>
      </c>
      <c r="F19" s="134">
        <v>3770</v>
      </c>
      <c r="G19" s="134">
        <v>3770</v>
      </c>
      <c r="H19" s="134">
        <v>3770</v>
      </c>
      <c r="I19" s="134">
        <v>3770</v>
      </c>
      <c r="J19" s="134">
        <v>3770</v>
      </c>
      <c r="K19" s="134">
        <v>3770</v>
      </c>
      <c r="L19" s="134">
        <v>0</v>
      </c>
      <c r="M19" s="134">
        <v>3770</v>
      </c>
      <c r="N19" s="134">
        <v>0</v>
      </c>
      <c r="O19" s="134">
        <v>0</v>
      </c>
      <c r="P19" s="134">
        <v>3010</v>
      </c>
      <c r="Q19" s="134">
        <v>760</v>
      </c>
      <c r="R19" s="134">
        <v>3250</v>
      </c>
      <c r="S19" s="134">
        <v>520</v>
      </c>
      <c r="T19" s="134">
        <v>5</v>
      </c>
      <c r="U19" s="134">
        <v>5</v>
      </c>
      <c r="V19" s="134">
        <v>0</v>
      </c>
      <c r="W19" s="134">
        <v>0</v>
      </c>
      <c r="X19" s="134">
        <v>0</v>
      </c>
      <c r="Y19" s="134">
        <v>0</v>
      </c>
      <c r="Z19" s="134">
        <f t="shared" si="4"/>
        <v>41480</v>
      </c>
    </row>
    <row r="20" spans="1:26" s="43" customFormat="1" ht="18" customHeight="1">
      <c r="A20" s="424"/>
      <c r="B20" s="332"/>
      <c r="C20" s="134" t="s">
        <v>25</v>
      </c>
      <c r="D20" s="134"/>
      <c r="E20" s="134"/>
      <c r="F20" s="134"/>
      <c r="G20" s="134"/>
      <c r="H20" s="134"/>
      <c r="I20" s="134"/>
      <c r="J20" s="134"/>
      <c r="K20" s="134"/>
      <c r="L20" s="134"/>
      <c r="M20" s="134"/>
      <c r="N20" s="134"/>
      <c r="O20" s="134"/>
      <c r="P20" s="134"/>
      <c r="Q20" s="134"/>
      <c r="R20" s="134"/>
      <c r="S20" s="134"/>
      <c r="T20" s="134"/>
      <c r="U20" s="134"/>
      <c r="V20" s="134"/>
      <c r="W20" s="134"/>
      <c r="X20" s="134"/>
      <c r="Y20" s="134"/>
      <c r="Z20" s="134">
        <f t="shared" si="4"/>
        <v>0</v>
      </c>
    </row>
    <row r="21" spans="1:26" s="43" customFormat="1" ht="18" customHeight="1">
      <c r="A21" s="428">
        <v>3</v>
      </c>
      <c r="B21" s="331" t="s">
        <v>370</v>
      </c>
      <c r="C21" s="134" t="s">
        <v>24</v>
      </c>
      <c r="D21" s="134">
        <v>5600</v>
      </c>
      <c r="E21" s="134">
        <v>5600</v>
      </c>
      <c r="F21" s="134">
        <v>5600</v>
      </c>
      <c r="G21" s="134">
        <v>5600</v>
      </c>
      <c r="H21" s="134">
        <v>5600</v>
      </c>
      <c r="I21" s="134">
        <v>5600</v>
      </c>
      <c r="J21" s="134">
        <v>5600</v>
      </c>
      <c r="K21" s="134">
        <v>5600</v>
      </c>
      <c r="L21" s="134">
        <v>0</v>
      </c>
      <c r="M21" s="134">
        <v>5600</v>
      </c>
      <c r="N21" s="134">
        <v>0</v>
      </c>
      <c r="O21" s="134">
        <v>0</v>
      </c>
      <c r="P21" s="134">
        <v>5600</v>
      </c>
      <c r="Q21" s="134">
        <v>0</v>
      </c>
      <c r="R21" s="134">
        <v>5100</v>
      </c>
      <c r="S21" s="134">
        <v>500</v>
      </c>
      <c r="T21" s="134">
        <v>0</v>
      </c>
      <c r="U21" s="134">
        <v>0</v>
      </c>
      <c r="V21" s="134">
        <v>0</v>
      </c>
      <c r="W21" s="134">
        <v>0</v>
      </c>
      <c r="X21" s="134">
        <v>0</v>
      </c>
      <c r="Y21" s="134">
        <v>0</v>
      </c>
      <c r="Z21" s="134">
        <f t="shared" si="4"/>
        <v>61600</v>
      </c>
    </row>
    <row r="22" spans="1:26" s="43" customFormat="1" ht="18" customHeight="1">
      <c r="A22" s="424"/>
      <c r="B22" s="332"/>
      <c r="C22" s="134" t="s">
        <v>25</v>
      </c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4"/>
      <c r="Q22" s="134"/>
      <c r="R22" s="134"/>
      <c r="S22" s="134"/>
      <c r="T22" s="134"/>
      <c r="U22" s="134"/>
      <c r="V22" s="134"/>
      <c r="W22" s="134"/>
      <c r="X22" s="134"/>
      <c r="Y22" s="134"/>
      <c r="Z22" s="134">
        <f t="shared" si="4"/>
        <v>0</v>
      </c>
    </row>
    <row r="23" spans="1:26" s="43" customFormat="1" ht="18" customHeight="1">
      <c r="A23" s="428">
        <v>4</v>
      </c>
      <c r="B23" s="331" t="s">
        <v>371</v>
      </c>
      <c r="C23" s="134" t="s">
        <v>24</v>
      </c>
      <c r="D23" s="134">
        <v>5800</v>
      </c>
      <c r="E23" s="134">
        <v>5800</v>
      </c>
      <c r="F23" s="134">
        <v>5800</v>
      </c>
      <c r="G23" s="134">
        <v>5800</v>
      </c>
      <c r="H23" s="134">
        <v>5800</v>
      </c>
      <c r="I23" s="134">
        <v>5800</v>
      </c>
      <c r="J23" s="134">
        <v>5800</v>
      </c>
      <c r="K23" s="134">
        <v>5800</v>
      </c>
      <c r="L23" s="134">
        <v>1000</v>
      </c>
      <c r="M23" s="134">
        <v>5800</v>
      </c>
      <c r="N23" s="134">
        <v>1000</v>
      </c>
      <c r="O23" s="134">
        <v>0</v>
      </c>
      <c r="P23" s="134">
        <v>3800</v>
      </c>
      <c r="Q23" s="134">
        <v>2000</v>
      </c>
      <c r="R23" s="134">
        <v>5400</v>
      </c>
      <c r="S23" s="134">
        <v>400</v>
      </c>
      <c r="T23" s="134">
        <v>0</v>
      </c>
      <c r="U23" s="134">
        <v>0</v>
      </c>
      <c r="V23" s="134">
        <v>0</v>
      </c>
      <c r="W23" s="134">
        <v>0</v>
      </c>
      <c r="X23" s="134">
        <v>0</v>
      </c>
      <c r="Y23" s="134">
        <v>0</v>
      </c>
      <c r="Z23" s="134">
        <f t="shared" si="4"/>
        <v>65800</v>
      </c>
    </row>
    <row r="24" spans="1:26" s="43" customFormat="1" ht="18" customHeight="1">
      <c r="A24" s="424"/>
      <c r="B24" s="332"/>
      <c r="C24" s="134" t="s">
        <v>25</v>
      </c>
      <c r="D24" s="134"/>
      <c r="E24" s="134"/>
      <c r="F24" s="134"/>
      <c r="G24" s="134"/>
      <c r="H24" s="134"/>
      <c r="I24" s="134"/>
      <c r="J24" s="134"/>
      <c r="K24" s="134"/>
      <c r="L24" s="134"/>
      <c r="M24" s="134"/>
      <c r="N24" s="134"/>
      <c r="O24" s="134"/>
      <c r="P24" s="134"/>
      <c r="Q24" s="134"/>
      <c r="R24" s="134"/>
      <c r="S24" s="134"/>
      <c r="T24" s="134"/>
      <c r="U24" s="134"/>
      <c r="V24" s="134"/>
      <c r="W24" s="134"/>
      <c r="X24" s="134"/>
      <c r="Y24" s="134"/>
      <c r="Z24" s="134">
        <f t="shared" si="4"/>
        <v>0</v>
      </c>
    </row>
    <row r="25" spans="1:26" s="43" customFormat="1" ht="18" customHeight="1">
      <c r="A25" s="428">
        <v>5</v>
      </c>
      <c r="B25" s="331" t="s">
        <v>372</v>
      </c>
      <c r="C25" s="134" t="s">
        <v>24</v>
      </c>
      <c r="D25" s="134">
        <v>11500</v>
      </c>
      <c r="E25" s="134">
        <v>11500</v>
      </c>
      <c r="F25" s="134">
        <v>11500</v>
      </c>
      <c r="G25" s="134">
        <v>11500</v>
      </c>
      <c r="H25" s="134">
        <v>11500</v>
      </c>
      <c r="I25" s="134">
        <v>11500</v>
      </c>
      <c r="J25" s="134">
        <v>11500</v>
      </c>
      <c r="K25" s="134">
        <v>11500</v>
      </c>
      <c r="L25" s="134">
        <v>0</v>
      </c>
      <c r="M25" s="134">
        <v>11500</v>
      </c>
      <c r="N25" s="134">
        <v>0</v>
      </c>
      <c r="O25" s="134">
        <v>0</v>
      </c>
      <c r="P25" s="134">
        <v>9700</v>
      </c>
      <c r="Q25" s="134">
        <v>1800</v>
      </c>
      <c r="R25" s="134">
        <v>10500</v>
      </c>
      <c r="S25" s="134">
        <v>1000</v>
      </c>
      <c r="T25" s="134">
        <v>0</v>
      </c>
      <c r="U25" s="134">
        <v>0</v>
      </c>
      <c r="V25" s="134">
        <v>0</v>
      </c>
      <c r="W25" s="134">
        <v>0</v>
      </c>
      <c r="X25" s="134">
        <v>0</v>
      </c>
      <c r="Y25" s="134">
        <v>0</v>
      </c>
      <c r="Z25" s="134">
        <f t="shared" si="4"/>
        <v>126500</v>
      </c>
    </row>
    <row r="26" spans="1:26" s="43" customFormat="1" ht="18" customHeight="1">
      <c r="A26" s="424"/>
      <c r="B26" s="332"/>
      <c r="C26" s="134" t="s">
        <v>25</v>
      </c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  <c r="S26" s="134"/>
      <c r="T26" s="134"/>
      <c r="U26" s="134"/>
      <c r="V26" s="134"/>
      <c r="W26" s="134"/>
      <c r="X26" s="134"/>
      <c r="Y26" s="134"/>
      <c r="Z26" s="134">
        <f t="shared" si="4"/>
        <v>0</v>
      </c>
    </row>
    <row r="27" spans="1:26" s="43" customFormat="1" ht="18" customHeight="1">
      <c r="A27" s="428">
        <v>6</v>
      </c>
      <c r="B27" s="331" t="s">
        <v>373</v>
      </c>
      <c r="C27" s="134" t="s">
        <v>24</v>
      </c>
      <c r="D27" s="134">
        <v>5900</v>
      </c>
      <c r="E27" s="134">
        <v>5900</v>
      </c>
      <c r="F27" s="134">
        <v>5900</v>
      </c>
      <c r="G27" s="134">
        <v>5900</v>
      </c>
      <c r="H27" s="134">
        <v>5900</v>
      </c>
      <c r="I27" s="134">
        <v>5900</v>
      </c>
      <c r="J27" s="134">
        <v>5900</v>
      </c>
      <c r="K27" s="134">
        <v>5990</v>
      </c>
      <c r="L27" s="134">
        <v>0</v>
      </c>
      <c r="M27" s="134">
        <v>5900</v>
      </c>
      <c r="N27" s="134">
        <v>0</v>
      </c>
      <c r="O27" s="134">
        <v>0</v>
      </c>
      <c r="P27" s="134">
        <v>5500</v>
      </c>
      <c r="Q27" s="134">
        <v>400</v>
      </c>
      <c r="R27" s="134">
        <v>5700</v>
      </c>
      <c r="S27" s="134">
        <v>200</v>
      </c>
      <c r="T27" s="134">
        <v>0</v>
      </c>
      <c r="U27" s="134">
        <v>0</v>
      </c>
      <c r="V27" s="134">
        <v>0</v>
      </c>
      <c r="W27" s="134">
        <v>0</v>
      </c>
      <c r="X27" s="134">
        <v>0</v>
      </c>
      <c r="Y27" s="134">
        <v>0</v>
      </c>
      <c r="Z27" s="134">
        <f t="shared" si="4"/>
        <v>64990</v>
      </c>
    </row>
    <row r="28" spans="1:26" s="43" customFormat="1" ht="18" customHeight="1">
      <c r="A28" s="424"/>
      <c r="B28" s="332"/>
      <c r="C28" s="134" t="s">
        <v>25</v>
      </c>
      <c r="D28" s="134"/>
      <c r="E28" s="134"/>
      <c r="F28" s="134"/>
      <c r="G28" s="134"/>
      <c r="H28" s="134"/>
      <c r="I28" s="134"/>
      <c r="J28" s="134"/>
      <c r="K28" s="134"/>
      <c r="L28" s="134"/>
      <c r="M28" s="134"/>
      <c r="N28" s="134"/>
      <c r="O28" s="134"/>
      <c r="P28" s="134"/>
      <c r="Q28" s="134"/>
      <c r="R28" s="134"/>
      <c r="S28" s="134"/>
      <c r="T28" s="134"/>
      <c r="U28" s="134"/>
      <c r="V28" s="134"/>
      <c r="W28" s="134"/>
      <c r="X28" s="134"/>
      <c r="Y28" s="134">
        <v>0</v>
      </c>
      <c r="Z28" s="134">
        <f t="shared" si="4"/>
        <v>0</v>
      </c>
    </row>
    <row r="29" spans="1:26">
      <c r="A29" s="450" t="s">
        <v>35</v>
      </c>
      <c r="B29" s="451"/>
      <c r="C29" s="452"/>
      <c r="D29" s="134">
        <f>D17+D19+D21+D23+D25+D27</f>
        <v>44370</v>
      </c>
      <c r="E29" s="134">
        <f t="shared" ref="E29:Y29" si="5">E17+E19+E21+E23+E25+E27</f>
        <v>44370</v>
      </c>
      <c r="F29" s="134">
        <f t="shared" si="5"/>
        <v>44370</v>
      </c>
      <c r="G29" s="134">
        <f t="shared" si="5"/>
        <v>44370</v>
      </c>
      <c r="H29" s="134">
        <f t="shared" si="5"/>
        <v>44370</v>
      </c>
      <c r="I29" s="134">
        <f t="shared" si="5"/>
        <v>44370</v>
      </c>
      <c r="J29" s="134">
        <f t="shared" si="5"/>
        <v>44370</v>
      </c>
      <c r="K29" s="134">
        <f t="shared" si="5"/>
        <v>44460</v>
      </c>
      <c r="L29" s="134">
        <f t="shared" si="5"/>
        <v>1750</v>
      </c>
      <c r="M29" s="134">
        <f t="shared" si="5"/>
        <v>44370</v>
      </c>
      <c r="N29" s="134">
        <f t="shared" si="5"/>
        <v>1000</v>
      </c>
      <c r="O29" s="134">
        <f t="shared" si="5"/>
        <v>0</v>
      </c>
      <c r="P29" s="134">
        <f t="shared" si="5"/>
        <v>34660</v>
      </c>
      <c r="Q29" s="134">
        <f t="shared" si="5"/>
        <v>8960</v>
      </c>
      <c r="R29" s="134">
        <f t="shared" si="5"/>
        <v>40200</v>
      </c>
      <c r="S29" s="134">
        <f t="shared" si="5"/>
        <v>4170</v>
      </c>
      <c r="T29" s="134">
        <f t="shared" si="5"/>
        <v>5</v>
      </c>
      <c r="U29" s="134">
        <f t="shared" si="5"/>
        <v>5</v>
      </c>
      <c r="V29" s="134">
        <f t="shared" si="5"/>
        <v>0</v>
      </c>
      <c r="W29" s="134">
        <f t="shared" si="5"/>
        <v>0</v>
      </c>
      <c r="X29" s="134">
        <f t="shared" si="5"/>
        <v>0</v>
      </c>
      <c r="Y29" s="134">
        <f t="shared" si="5"/>
        <v>0</v>
      </c>
      <c r="Z29" s="134">
        <f>Z17+Z19+Z21+Z23+Z25+Z27</f>
        <v>490170</v>
      </c>
    </row>
    <row r="30" spans="1:26" s="43" customFormat="1">
      <c r="A30" s="450" t="s">
        <v>36</v>
      </c>
      <c r="B30" s="451"/>
      <c r="C30" s="452"/>
      <c r="D30" s="134">
        <f>D18+D20+D22+D24+D26+D28</f>
        <v>0</v>
      </c>
      <c r="E30" s="134">
        <f t="shared" ref="E30:Z30" si="6">E18+E20+E22+E24+E26+E28</f>
        <v>0</v>
      </c>
      <c r="F30" s="134">
        <f t="shared" si="6"/>
        <v>0</v>
      </c>
      <c r="G30" s="134">
        <f t="shared" si="6"/>
        <v>0</v>
      </c>
      <c r="H30" s="134">
        <f t="shared" si="6"/>
        <v>0</v>
      </c>
      <c r="I30" s="134">
        <f t="shared" si="6"/>
        <v>0</v>
      </c>
      <c r="J30" s="134">
        <f t="shared" si="6"/>
        <v>0</v>
      </c>
      <c r="K30" s="134">
        <f t="shared" si="6"/>
        <v>0</v>
      </c>
      <c r="L30" s="134">
        <f t="shared" si="6"/>
        <v>0</v>
      </c>
      <c r="M30" s="134">
        <f t="shared" si="6"/>
        <v>0</v>
      </c>
      <c r="N30" s="134">
        <f t="shared" si="6"/>
        <v>0</v>
      </c>
      <c r="O30" s="134">
        <f t="shared" si="6"/>
        <v>0</v>
      </c>
      <c r="P30" s="134">
        <f t="shared" si="6"/>
        <v>0</v>
      </c>
      <c r="Q30" s="134">
        <f t="shared" si="6"/>
        <v>0</v>
      </c>
      <c r="R30" s="134">
        <f t="shared" si="6"/>
        <v>0</v>
      </c>
      <c r="S30" s="134">
        <f t="shared" si="6"/>
        <v>0</v>
      </c>
      <c r="T30" s="134">
        <f t="shared" si="6"/>
        <v>0</v>
      </c>
      <c r="U30" s="134">
        <f t="shared" si="6"/>
        <v>0</v>
      </c>
      <c r="V30" s="134">
        <f t="shared" si="6"/>
        <v>0</v>
      </c>
      <c r="W30" s="134">
        <f t="shared" si="6"/>
        <v>0</v>
      </c>
      <c r="X30" s="134">
        <f t="shared" si="6"/>
        <v>0</v>
      </c>
      <c r="Y30" s="134">
        <f t="shared" si="6"/>
        <v>0</v>
      </c>
      <c r="Z30" s="134">
        <f t="shared" si="6"/>
        <v>0</v>
      </c>
    </row>
    <row r="31" spans="1:26" s="43" customFormat="1" ht="18" customHeight="1">
      <c r="A31" s="450" t="s">
        <v>308</v>
      </c>
      <c r="B31" s="451"/>
      <c r="C31" s="452"/>
      <c r="D31" s="134">
        <f>D29-D30</f>
        <v>44370</v>
      </c>
      <c r="E31" s="134">
        <f t="shared" ref="E31:Y31" si="7">E29-E30</f>
        <v>44370</v>
      </c>
      <c r="F31" s="134">
        <f t="shared" si="7"/>
        <v>44370</v>
      </c>
      <c r="G31" s="134">
        <f t="shared" si="7"/>
        <v>44370</v>
      </c>
      <c r="H31" s="134">
        <f t="shared" si="7"/>
        <v>44370</v>
      </c>
      <c r="I31" s="134">
        <f t="shared" si="7"/>
        <v>44370</v>
      </c>
      <c r="J31" s="134">
        <f t="shared" si="7"/>
        <v>44370</v>
      </c>
      <c r="K31" s="134">
        <f t="shared" si="7"/>
        <v>44460</v>
      </c>
      <c r="L31" s="134">
        <f t="shared" si="7"/>
        <v>1750</v>
      </c>
      <c r="M31" s="134">
        <f t="shared" si="7"/>
        <v>44370</v>
      </c>
      <c r="N31" s="134">
        <f t="shared" si="7"/>
        <v>1000</v>
      </c>
      <c r="O31" s="134">
        <f t="shared" si="7"/>
        <v>0</v>
      </c>
      <c r="P31" s="134">
        <f t="shared" si="7"/>
        <v>34660</v>
      </c>
      <c r="Q31" s="134">
        <f t="shared" si="7"/>
        <v>8960</v>
      </c>
      <c r="R31" s="134">
        <f t="shared" si="7"/>
        <v>40200</v>
      </c>
      <c r="S31" s="134">
        <f t="shared" si="7"/>
        <v>4170</v>
      </c>
      <c r="T31" s="134">
        <f t="shared" si="7"/>
        <v>5</v>
      </c>
      <c r="U31" s="134">
        <f t="shared" si="7"/>
        <v>5</v>
      </c>
      <c r="V31" s="134">
        <f t="shared" si="7"/>
        <v>0</v>
      </c>
      <c r="W31" s="134">
        <f t="shared" si="7"/>
        <v>0</v>
      </c>
      <c r="X31" s="134">
        <f t="shared" si="7"/>
        <v>0</v>
      </c>
      <c r="Y31" s="134">
        <f t="shared" si="7"/>
        <v>0</v>
      </c>
      <c r="Z31" s="134">
        <f t="shared" ref="Z31" si="8">SUM(D31:Y31)</f>
        <v>490170</v>
      </c>
    </row>
    <row r="33" spans="1:26" s="43" customFormat="1" ht="30" customHeight="1">
      <c r="A33" s="453" t="s">
        <v>380</v>
      </c>
      <c r="B33" s="453"/>
      <c r="C33" s="453"/>
      <c r="D33" s="453"/>
      <c r="E33" s="453"/>
      <c r="F33" s="453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s="43" customFormat="1" ht="18" customHeight="1">
      <c r="A34" s="33" t="s">
        <v>118</v>
      </c>
      <c r="B34" s="33" t="s">
        <v>307</v>
      </c>
      <c r="C34" s="35" t="s">
        <v>24</v>
      </c>
      <c r="D34" s="34" t="s">
        <v>194</v>
      </c>
      <c r="E34" s="34" t="s">
        <v>365</v>
      </c>
      <c r="F34" s="35" t="s">
        <v>174</v>
      </c>
      <c r="G34" s="35" t="s">
        <v>27</v>
      </c>
      <c r="H34" s="35" t="s">
        <v>175</v>
      </c>
      <c r="I34" s="35" t="s">
        <v>42</v>
      </c>
      <c r="J34" s="35" t="s">
        <v>169</v>
      </c>
      <c r="K34" s="35" t="s">
        <v>32</v>
      </c>
      <c r="L34" s="34" t="s">
        <v>176</v>
      </c>
      <c r="M34" s="35" t="s">
        <v>44</v>
      </c>
      <c r="N34" s="35" t="s">
        <v>40</v>
      </c>
      <c r="O34" s="35" t="s">
        <v>46</v>
      </c>
      <c r="P34" s="35" t="s">
        <v>47</v>
      </c>
      <c r="Q34" s="35" t="s">
        <v>214</v>
      </c>
      <c r="R34" s="35" t="s">
        <v>170</v>
      </c>
      <c r="S34" s="35" t="s">
        <v>49</v>
      </c>
      <c r="T34" s="35" t="s">
        <v>50</v>
      </c>
      <c r="U34" s="35" t="s">
        <v>177</v>
      </c>
      <c r="V34" s="35" t="s">
        <v>215</v>
      </c>
      <c r="W34" s="34" t="s">
        <v>216</v>
      </c>
      <c r="X34" s="34" t="s">
        <v>149</v>
      </c>
      <c r="Y34" s="35" t="s">
        <v>99</v>
      </c>
      <c r="Z34" s="35" t="s">
        <v>88</v>
      </c>
    </row>
    <row r="35" spans="1:26" s="43" customFormat="1" ht="18" customHeight="1">
      <c r="A35" s="428">
        <v>1</v>
      </c>
      <c r="B35" s="331" t="s">
        <v>374</v>
      </c>
      <c r="C35" s="134" t="s">
        <v>24</v>
      </c>
      <c r="D35" s="134">
        <v>8800</v>
      </c>
      <c r="E35" s="134">
        <v>8800</v>
      </c>
      <c r="F35" s="134">
        <v>8800</v>
      </c>
      <c r="G35" s="134">
        <v>8800</v>
      </c>
      <c r="H35" s="134">
        <v>8800</v>
      </c>
      <c r="I35" s="134">
        <v>8800</v>
      </c>
      <c r="J35" s="134">
        <v>8800</v>
      </c>
      <c r="K35" s="134">
        <v>8800</v>
      </c>
      <c r="L35" s="134">
        <v>2500</v>
      </c>
      <c r="M35" s="134">
        <v>8800</v>
      </c>
      <c r="N35" s="134">
        <v>250</v>
      </c>
      <c r="O35" s="134">
        <v>0</v>
      </c>
      <c r="P35" s="134">
        <v>5550</v>
      </c>
      <c r="Q35" s="134">
        <v>500</v>
      </c>
      <c r="R35" s="134">
        <v>6300</v>
      </c>
      <c r="S35" s="134">
        <v>2470</v>
      </c>
      <c r="T35" s="134">
        <v>30</v>
      </c>
      <c r="U35" s="134">
        <v>0</v>
      </c>
      <c r="V35" s="134">
        <v>0</v>
      </c>
      <c r="W35" s="134">
        <v>0</v>
      </c>
      <c r="X35" s="134">
        <v>0</v>
      </c>
      <c r="Y35" s="134">
        <v>0</v>
      </c>
      <c r="Z35" s="134">
        <f>SUM(D35:Y35)</f>
        <v>96800</v>
      </c>
    </row>
    <row r="36" spans="1:26" s="43" customFormat="1" ht="18" customHeight="1">
      <c r="A36" s="424"/>
      <c r="B36" s="332"/>
      <c r="C36" s="134" t="s">
        <v>25</v>
      </c>
      <c r="D36" s="134"/>
      <c r="E36" s="134"/>
      <c r="F36" s="134"/>
      <c r="G36" s="134"/>
      <c r="H36" s="134"/>
      <c r="I36" s="134"/>
      <c r="J36" s="134"/>
      <c r="K36" s="134"/>
      <c r="L36" s="134"/>
      <c r="M36" s="134"/>
      <c r="N36" s="134"/>
      <c r="O36" s="134"/>
      <c r="P36" s="134"/>
      <c r="Q36" s="134"/>
      <c r="R36" s="134"/>
      <c r="S36" s="134"/>
      <c r="T36" s="134"/>
      <c r="U36" s="134"/>
      <c r="V36" s="134"/>
      <c r="W36" s="134"/>
      <c r="X36" s="134"/>
      <c r="Y36" s="134"/>
      <c r="Z36" s="134">
        <f t="shared" ref="Z36:Z46" si="9">SUM(D36:Y36)</f>
        <v>0</v>
      </c>
    </row>
    <row r="37" spans="1:26" s="43" customFormat="1" ht="18" customHeight="1">
      <c r="A37" s="428">
        <v>2</v>
      </c>
      <c r="B37" s="331" t="s">
        <v>375</v>
      </c>
      <c r="C37" s="134" t="s">
        <v>24</v>
      </c>
      <c r="D37" s="134">
        <v>6800</v>
      </c>
      <c r="E37" s="134">
        <v>6800</v>
      </c>
      <c r="F37" s="134">
        <v>6800</v>
      </c>
      <c r="G37" s="134">
        <v>6800</v>
      </c>
      <c r="H37" s="134">
        <v>6800</v>
      </c>
      <c r="I37" s="134">
        <v>6800</v>
      </c>
      <c r="J37" s="134">
        <v>6800</v>
      </c>
      <c r="K37" s="134">
        <v>6800</v>
      </c>
      <c r="L37" s="134">
        <v>1900</v>
      </c>
      <c r="M37" s="134">
        <v>6800</v>
      </c>
      <c r="N37" s="134">
        <v>100</v>
      </c>
      <c r="O37" s="134">
        <v>800</v>
      </c>
      <c r="P37" s="134">
        <v>3900</v>
      </c>
      <c r="Q37" s="134">
        <v>100</v>
      </c>
      <c r="R37" s="134">
        <v>5900</v>
      </c>
      <c r="S37" s="134">
        <v>800</v>
      </c>
      <c r="T37" s="134">
        <v>90</v>
      </c>
      <c r="U37" s="134">
        <v>10</v>
      </c>
      <c r="V37" s="134">
        <v>0</v>
      </c>
      <c r="W37" s="134">
        <v>0</v>
      </c>
      <c r="X37" s="134">
        <v>0</v>
      </c>
      <c r="Y37" s="134">
        <v>0</v>
      </c>
      <c r="Z37" s="134">
        <f t="shared" si="9"/>
        <v>74800</v>
      </c>
    </row>
    <row r="38" spans="1:26" s="43" customFormat="1" ht="18" customHeight="1">
      <c r="A38" s="424"/>
      <c r="B38" s="332"/>
      <c r="C38" s="134" t="s">
        <v>25</v>
      </c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  <c r="S38" s="134"/>
      <c r="T38" s="134"/>
      <c r="U38" s="134"/>
      <c r="V38" s="134"/>
      <c r="W38" s="134"/>
      <c r="X38" s="134"/>
      <c r="Y38" s="134"/>
      <c r="Z38" s="134">
        <f t="shared" si="9"/>
        <v>0</v>
      </c>
    </row>
    <row r="39" spans="1:26" s="43" customFormat="1" ht="18" customHeight="1">
      <c r="A39" s="428">
        <v>3</v>
      </c>
      <c r="B39" s="331" t="s">
        <v>376</v>
      </c>
      <c r="C39" s="134" t="s">
        <v>24</v>
      </c>
      <c r="D39" s="134">
        <v>4800</v>
      </c>
      <c r="E39" s="134">
        <v>4800</v>
      </c>
      <c r="F39" s="134">
        <v>4800</v>
      </c>
      <c r="G39" s="134">
        <v>4800</v>
      </c>
      <c r="H39" s="134">
        <v>4800</v>
      </c>
      <c r="I39" s="134">
        <v>4800</v>
      </c>
      <c r="J39" s="134">
        <v>4800</v>
      </c>
      <c r="K39" s="134">
        <v>4800</v>
      </c>
      <c r="L39" s="134">
        <v>680</v>
      </c>
      <c r="M39" s="134">
        <v>4800</v>
      </c>
      <c r="N39" s="134">
        <v>100</v>
      </c>
      <c r="O39" s="134">
        <v>0</v>
      </c>
      <c r="P39" s="134">
        <v>3630</v>
      </c>
      <c r="Q39" s="134">
        <v>425</v>
      </c>
      <c r="R39" s="134">
        <v>3630</v>
      </c>
      <c r="S39" s="134">
        <v>1170</v>
      </c>
      <c r="T39" s="134">
        <v>0</v>
      </c>
      <c r="U39" s="134">
        <v>0</v>
      </c>
      <c r="V39" s="134">
        <v>0</v>
      </c>
      <c r="W39" s="134">
        <v>0</v>
      </c>
      <c r="X39" s="134">
        <v>0</v>
      </c>
      <c r="Y39" s="134">
        <v>0</v>
      </c>
      <c r="Z39" s="134">
        <f t="shared" si="9"/>
        <v>52835</v>
      </c>
    </row>
    <row r="40" spans="1:26" s="43" customFormat="1" ht="18" customHeight="1">
      <c r="A40" s="424"/>
      <c r="B40" s="332"/>
      <c r="C40" s="134" t="s">
        <v>25</v>
      </c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  <c r="R40" s="134"/>
      <c r="S40" s="134"/>
      <c r="T40" s="134"/>
      <c r="U40" s="134"/>
      <c r="V40" s="134"/>
      <c r="W40" s="134"/>
      <c r="X40" s="134"/>
      <c r="Y40" s="134"/>
      <c r="Z40" s="134">
        <f t="shared" si="9"/>
        <v>0</v>
      </c>
    </row>
    <row r="41" spans="1:26" s="43" customFormat="1" ht="18" customHeight="1">
      <c r="A41" s="428">
        <v>4</v>
      </c>
      <c r="B41" s="331" t="s">
        <v>377</v>
      </c>
      <c r="C41" s="134" t="s">
        <v>24</v>
      </c>
      <c r="D41" s="134">
        <v>6500</v>
      </c>
      <c r="E41" s="134">
        <v>6500</v>
      </c>
      <c r="F41" s="134">
        <v>6500</v>
      </c>
      <c r="G41" s="134">
        <v>6500</v>
      </c>
      <c r="H41" s="134">
        <v>6500</v>
      </c>
      <c r="I41" s="134">
        <v>6500</v>
      </c>
      <c r="J41" s="134">
        <v>6500</v>
      </c>
      <c r="K41" s="134">
        <v>6500</v>
      </c>
      <c r="L41" s="134">
        <v>2500</v>
      </c>
      <c r="M41" s="134">
        <v>6500</v>
      </c>
      <c r="N41" s="134">
        <v>0</v>
      </c>
      <c r="O41" s="134">
        <v>0</v>
      </c>
      <c r="P41" s="134">
        <v>4000</v>
      </c>
      <c r="Q41" s="134">
        <v>0</v>
      </c>
      <c r="R41" s="134">
        <v>5300</v>
      </c>
      <c r="S41" s="134">
        <v>1200</v>
      </c>
      <c r="T41" s="134">
        <v>0</v>
      </c>
      <c r="U41" s="134">
        <v>0</v>
      </c>
      <c r="V41" s="134">
        <v>0</v>
      </c>
      <c r="W41" s="134">
        <v>0</v>
      </c>
      <c r="X41" s="134">
        <v>0</v>
      </c>
      <c r="Y41" s="134">
        <v>0</v>
      </c>
      <c r="Z41" s="134">
        <f t="shared" si="9"/>
        <v>71500</v>
      </c>
    </row>
    <row r="42" spans="1:26" s="43" customFormat="1" ht="18" customHeight="1">
      <c r="A42" s="424"/>
      <c r="B42" s="332"/>
      <c r="C42" s="134" t="s">
        <v>25</v>
      </c>
      <c r="D42" s="134"/>
      <c r="E42" s="134"/>
      <c r="F42" s="134"/>
      <c r="G42" s="134"/>
      <c r="H42" s="134"/>
      <c r="I42" s="134"/>
      <c r="J42" s="134"/>
      <c r="K42" s="134"/>
      <c r="L42" s="134"/>
      <c r="M42" s="134"/>
      <c r="N42" s="134"/>
      <c r="O42" s="134"/>
      <c r="P42" s="134"/>
      <c r="Q42" s="134"/>
      <c r="R42" s="134"/>
      <c r="S42" s="134"/>
      <c r="T42" s="134"/>
      <c r="U42" s="134"/>
      <c r="V42" s="134"/>
      <c r="W42" s="134"/>
      <c r="X42" s="134"/>
      <c r="Y42" s="134"/>
      <c r="Z42" s="134">
        <f t="shared" si="9"/>
        <v>0</v>
      </c>
    </row>
    <row r="43" spans="1:26" s="43" customFormat="1" ht="18" customHeight="1">
      <c r="A43" s="428">
        <v>5</v>
      </c>
      <c r="B43" s="331" t="s">
        <v>378</v>
      </c>
      <c r="C43" s="134" t="s">
        <v>24</v>
      </c>
      <c r="D43" s="134">
        <v>6950</v>
      </c>
      <c r="E43" s="134">
        <v>6950</v>
      </c>
      <c r="F43" s="134">
        <v>6950</v>
      </c>
      <c r="G43" s="134">
        <v>6950</v>
      </c>
      <c r="H43" s="134">
        <v>6950</v>
      </c>
      <c r="I43" s="134">
        <v>6950</v>
      </c>
      <c r="J43" s="134">
        <v>6950</v>
      </c>
      <c r="K43" s="134">
        <v>6950</v>
      </c>
      <c r="L43" s="134">
        <v>0</v>
      </c>
      <c r="M43" s="134">
        <v>6950</v>
      </c>
      <c r="N43" s="134">
        <v>0</v>
      </c>
      <c r="O43" s="134">
        <v>0</v>
      </c>
      <c r="P43" s="134">
        <v>6700</v>
      </c>
      <c r="Q43" s="134">
        <v>250</v>
      </c>
      <c r="R43" s="134">
        <v>5140</v>
      </c>
      <c r="S43" s="134">
        <v>1800</v>
      </c>
      <c r="T43" s="134">
        <v>5</v>
      </c>
      <c r="U43" s="134">
        <v>5</v>
      </c>
      <c r="V43" s="134">
        <v>0</v>
      </c>
      <c r="W43" s="134">
        <v>0</v>
      </c>
      <c r="X43" s="134">
        <v>0</v>
      </c>
      <c r="Y43" s="134">
        <v>0</v>
      </c>
      <c r="Z43" s="134">
        <f t="shared" si="9"/>
        <v>76450</v>
      </c>
    </row>
    <row r="44" spans="1:26" s="43" customFormat="1" ht="18" customHeight="1">
      <c r="A44" s="424"/>
      <c r="B44" s="332"/>
      <c r="C44" s="134" t="s">
        <v>25</v>
      </c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34"/>
      <c r="S44" s="134"/>
      <c r="T44" s="134"/>
      <c r="U44" s="134"/>
      <c r="V44" s="134"/>
      <c r="W44" s="134"/>
      <c r="X44" s="134"/>
      <c r="Y44" s="134"/>
      <c r="Z44" s="134">
        <f t="shared" si="9"/>
        <v>0</v>
      </c>
    </row>
    <row r="45" spans="1:26" s="43" customFormat="1" ht="18" customHeight="1">
      <c r="A45" s="428">
        <v>6</v>
      </c>
      <c r="B45" s="331" t="s">
        <v>379</v>
      </c>
      <c r="C45" s="134" t="s">
        <v>24</v>
      </c>
      <c r="D45" s="134">
        <v>4300</v>
      </c>
      <c r="E45" s="134">
        <v>4300</v>
      </c>
      <c r="F45" s="134">
        <v>4300</v>
      </c>
      <c r="G45" s="134">
        <v>4300</v>
      </c>
      <c r="H45" s="134">
        <v>4300</v>
      </c>
      <c r="I45" s="134">
        <v>4300</v>
      </c>
      <c r="J45" s="134">
        <v>4300</v>
      </c>
      <c r="K45" s="134">
        <v>4300</v>
      </c>
      <c r="L45" s="134">
        <v>0</v>
      </c>
      <c r="M45" s="134">
        <v>4300</v>
      </c>
      <c r="N45" s="134">
        <v>0</v>
      </c>
      <c r="O45" s="134">
        <v>0</v>
      </c>
      <c r="P45" s="134">
        <v>4000</v>
      </c>
      <c r="Q45" s="134">
        <v>300</v>
      </c>
      <c r="R45" s="134">
        <v>3150</v>
      </c>
      <c r="S45" s="134">
        <v>1100</v>
      </c>
      <c r="T45" s="134">
        <v>50</v>
      </c>
      <c r="U45" s="134">
        <v>0</v>
      </c>
      <c r="V45" s="134">
        <v>0</v>
      </c>
      <c r="W45" s="134">
        <v>0</v>
      </c>
      <c r="X45" s="134">
        <v>0</v>
      </c>
      <c r="Y45" s="134">
        <v>0</v>
      </c>
      <c r="Z45" s="134">
        <f t="shared" si="9"/>
        <v>47300</v>
      </c>
    </row>
    <row r="46" spans="1:26" s="43" customFormat="1" ht="18" customHeight="1">
      <c r="A46" s="424"/>
      <c r="B46" s="332"/>
      <c r="C46" s="134" t="s">
        <v>25</v>
      </c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>
        <f t="shared" si="9"/>
        <v>0</v>
      </c>
    </row>
    <row r="47" spans="1:26">
      <c r="A47" s="450" t="s">
        <v>35</v>
      </c>
      <c r="B47" s="451"/>
      <c r="C47" s="452"/>
      <c r="D47" s="134">
        <f>D35+D37+D39+D41+D43+D45</f>
        <v>38150</v>
      </c>
      <c r="E47" s="134">
        <f t="shared" ref="E47:Y47" si="10">E35+E37+E39+E41+E43+E45</f>
        <v>38150</v>
      </c>
      <c r="F47" s="134">
        <f t="shared" si="10"/>
        <v>38150</v>
      </c>
      <c r="G47" s="134">
        <f t="shared" si="10"/>
        <v>38150</v>
      </c>
      <c r="H47" s="134">
        <f t="shared" si="10"/>
        <v>38150</v>
      </c>
      <c r="I47" s="134">
        <f t="shared" si="10"/>
        <v>38150</v>
      </c>
      <c r="J47" s="134">
        <f t="shared" si="10"/>
        <v>38150</v>
      </c>
      <c r="K47" s="134">
        <f t="shared" si="10"/>
        <v>38150</v>
      </c>
      <c r="L47" s="134">
        <f t="shared" si="10"/>
        <v>7580</v>
      </c>
      <c r="M47" s="134">
        <f t="shared" si="10"/>
        <v>38150</v>
      </c>
      <c r="N47" s="134">
        <f t="shared" si="10"/>
        <v>450</v>
      </c>
      <c r="O47" s="134">
        <f t="shared" si="10"/>
        <v>800</v>
      </c>
      <c r="P47" s="134">
        <f t="shared" si="10"/>
        <v>27780</v>
      </c>
      <c r="Q47" s="134">
        <f t="shared" si="10"/>
        <v>1575</v>
      </c>
      <c r="R47" s="134">
        <f t="shared" si="10"/>
        <v>29420</v>
      </c>
      <c r="S47" s="134">
        <f t="shared" si="10"/>
        <v>8540</v>
      </c>
      <c r="T47" s="134">
        <f t="shared" si="10"/>
        <v>175</v>
      </c>
      <c r="U47" s="134">
        <f t="shared" si="10"/>
        <v>15</v>
      </c>
      <c r="V47" s="134">
        <f t="shared" si="10"/>
        <v>0</v>
      </c>
      <c r="W47" s="134">
        <f t="shared" si="10"/>
        <v>0</v>
      </c>
      <c r="X47" s="134">
        <f t="shared" si="10"/>
        <v>0</v>
      </c>
      <c r="Y47" s="134">
        <f t="shared" si="10"/>
        <v>0</v>
      </c>
      <c r="Z47" s="134">
        <f>Z35+Z37+Z39+Z41+Z43+Z45</f>
        <v>419685</v>
      </c>
    </row>
    <row r="48" spans="1:26" s="43" customFormat="1">
      <c r="A48" s="450" t="s">
        <v>36</v>
      </c>
      <c r="B48" s="451"/>
      <c r="C48" s="452"/>
      <c r="D48" s="134">
        <f>D36+D38+D40+D42+D44+D46</f>
        <v>0</v>
      </c>
      <c r="E48" s="134">
        <f t="shared" ref="E48:Z48" si="11">E36+E38+E40+E42+E44+E46</f>
        <v>0</v>
      </c>
      <c r="F48" s="134">
        <f t="shared" si="11"/>
        <v>0</v>
      </c>
      <c r="G48" s="134">
        <f t="shared" si="11"/>
        <v>0</v>
      </c>
      <c r="H48" s="134">
        <f t="shared" si="11"/>
        <v>0</v>
      </c>
      <c r="I48" s="134">
        <f t="shared" si="11"/>
        <v>0</v>
      </c>
      <c r="J48" s="134">
        <f t="shared" si="11"/>
        <v>0</v>
      </c>
      <c r="K48" s="134">
        <f t="shared" si="11"/>
        <v>0</v>
      </c>
      <c r="L48" s="134">
        <f t="shared" si="11"/>
        <v>0</v>
      </c>
      <c r="M48" s="134">
        <f t="shared" si="11"/>
        <v>0</v>
      </c>
      <c r="N48" s="134">
        <f t="shared" si="11"/>
        <v>0</v>
      </c>
      <c r="O48" s="134">
        <f t="shared" si="11"/>
        <v>0</v>
      </c>
      <c r="P48" s="134">
        <f t="shared" si="11"/>
        <v>0</v>
      </c>
      <c r="Q48" s="134">
        <f t="shared" si="11"/>
        <v>0</v>
      </c>
      <c r="R48" s="134">
        <f t="shared" si="11"/>
        <v>0</v>
      </c>
      <c r="S48" s="134">
        <f t="shared" si="11"/>
        <v>0</v>
      </c>
      <c r="T48" s="134">
        <f t="shared" si="11"/>
        <v>0</v>
      </c>
      <c r="U48" s="134">
        <f t="shared" si="11"/>
        <v>0</v>
      </c>
      <c r="V48" s="134">
        <f t="shared" si="11"/>
        <v>0</v>
      </c>
      <c r="W48" s="134">
        <f t="shared" si="11"/>
        <v>0</v>
      </c>
      <c r="X48" s="134">
        <f t="shared" si="11"/>
        <v>0</v>
      </c>
      <c r="Y48" s="134">
        <f t="shared" si="11"/>
        <v>0</v>
      </c>
      <c r="Z48" s="134">
        <f t="shared" si="11"/>
        <v>0</v>
      </c>
    </row>
    <row r="49" spans="1:26" s="43" customFormat="1" ht="18" customHeight="1">
      <c r="A49" s="450" t="s">
        <v>308</v>
      </c>
      <c r="B49" s="451"/>
      <c r="C49" s="452"/>
      <c r="D49" s="134">
        <f>D47-D48</f>
        <v>38150</v>
      </c>
      <c r="E49" s="134">
        <f t="shared" ref="E49:Y49" si="12">E47-E48</f>
        <v>38150</v>
      </c>
      <c r="F49" s="134">
        <f t="shared" si="12"/>
        <v>38150</v>
      </c>
      <c r="G49" s="134">
        <f t="shared" si="12"/>
        <v>38150</v>
      </c>
      <c r="H49" s="134">
        <f t="shared" si="12"/>
        <v>38150</v>
      </c>
      <c r="I49" s="134">
        <f t="shared" si="12"/>
        <v>38150</v>
      </c>
      <c r="J49" s="134">
        <f t="shared" si="12"/>
        <v>38150</v>
      </c>
      <c r="K49" s="134">
        <f t="shared" si="12"/>
        <v>38150</v>
      </c>
      <c r="L49" s="134">
        <f t="shared" si="12"/>
        <v>7580</v>
      </c>
      <c r="M49" s="134">
        <f t="shared" si="12"/>
        <v>38150</v>
      </c>
      <c r="N49" s="134">
        <f t="shared" si="12"/>
        <v>450</v>
      </c>
      <c r="O49" s="134">
        <f t="shared" si="12"/>
        <v>800</v>
      </c>
      <c r="P49" s="134">
        <f t="shared" si="12"/>
        <v>27780</v>
      </c>
      <c r="Q49" s="134">
        <f t="shared" si="12"/>
        <v>1575</v>
      </c>
      <c r="R49" s="134">
        <f t="shared" si="12"/>
        <v>29420</v>
      </c>
      <c r="S49" s="134">
        <f t="shared" si="12"/>
        <v>8540</v>
      </c>
      <c r="T49" s="134">
        <f t="shared" si="12"/>
        <v>175</v>
      </c>
      <c r="U49" s="134">
        <f t="shared" si="12"/>
        <v>15</v>
      </c>
      <c r="V49" s="134">
        <f t="shared" si="12"/>
        <v>0</v>
      </c>
      <c r="W49" s="134">
        <f t="shared" si="12"/>
        <v>0</v>
      </c>
      <c r="X49" s="134">
        <f t="shared" si="12"/>
        <v>0</v>
      </c>
      <c r="Y49" s="134">
        <f t="shared" si="12"/>
        <v>0</v>
      </c>
      <c r="Z49" s="134">
        <f t="shared" ref="Z49" si="13">SUM(D49:Y49)</f>
        <v>419685</v>
      </c>
    </row>
    <row r="51" spans="1:26" s="43" customFormat="1" ht="30" customHeight="1">
      <c r="A51" s="453" t="s">
        <v>381</v>
      </c>
      <c r="B51" s="453"/>
      <c r="C51" s="453"/>
      <c r="D51" s="453"/>
      <c r="E51" s="453"/>
      <c r="F51" s="453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s="43" customFormat="1" ht="18" customHeight="1">
      <c r="A52" s="33" t="s">
        <v>118</v>
      </c>
      <c r="B52" s="33" t="s">
        <v>307</v>
      </c>
      <c r="C52" s="35" t="s">
        <v>24</v>
      </c>
      <c r="D52" s="34" t="s">
        <v>194</v>
      </c>
      <c r="E52" s="34" t="s">
        <v>365</v>
      </c>
      <c r="F52" s="35" t="s">
        <v>174</v>
      </c>
      <c r="G52" s="35" t="s">
        <v>27</v>
      </c>
      <c r="H52" s="35" t="s">
        <v>175</v>
      </c>
      <c r="I52" s="35" t="s">
        <v>42</v>
      </c>
      <c r="J52" s="35" t="s">
        <v>169</v>
      </c>
      <c r="K52" s="35" t="s">
        <v>32</v>
      </c>
      <c r="L52" s="34" t="s">
        <v>176</v>
      </c>
      <c r="M52" s="35" t="s">
        <v>44</v>
      </c>
      <c r="N52" s="35" t="s">
        <v>40</v>
      </c>
      <c r="O52" s="35" t="s">
        <v>46</v>
      </c>
      <c r="P52" s="35" t="s">
        <v>47</v>
      </c>
      <c r="Q52" s="35" t="s">
        <v>214</v>
      </c>
      <c r="R52" s="35" t="s">
        <v>170</v>
      </c>
      <c r="S52" s="35" t="s">
        <v>49</v>
      </c>
      <c r="T52" s="35" t="s">
        <v>50</v>
      </c>
      <c r="U52" s="35" t="s">
        <v>177</v>
      </c>
      <c r="V52" s="35" t="s">
        <v>215</v>
      </c>
      <c r="W52" s="34" t="s">
        <v>216</v>
      </c>
      <c r="X52" s="34" t="s">
        <v>149</v>
      </c>
      <c r="Y52" s="35" t="s">
        <v>99</v>
      </c>
      <c r="Z52" s="35" t="s">
        <v>88</v>
      </c>
    </row>
    <row r="53" spans="1:26" s="43" customFormat="1" ht="18" customHeight="1">
      <c r="A53" s="428">
        <v>1</v>
      </c>
      <c r="B53" s="331" t="s">
        <v>21</v>
      </c>
      <c r="C53" s="134" t="s">
        <v>24</v>
      </c>
      <c r="D53" s="134">
        <v>6800</v>
      </c>
      <c r="E53" s="134">
        <v>6800</v>
      </c>
      <c r="F53" s="134">
        <v>6800</v>
      </c>
      <c r="G53" s="134">
        <v>6800</v>
      </c>
      <c r="H53" s="134">
        <v>6800</v>
      </c>
      <c r="I53" s="134">
        <v>6800</v>
      </c>
      <c r="J53" s="134">
        <v>6800</v>
      </c>
      <c r="K53" s="134">
        <v>6800</v>
      </c>
      <c r="L53" s="134">
        <v>0</v>
      </c>
      <c r="M53" s="134">
        <v>6800</v>
      </c>
      <c r="N53" s="134">
        <v>0</v>
      </c>
      <c r="O53" s="134">
        <v>0</v>
      </c>
      <c r="P53" s="134">
        <v>4010</v>
      </c>
      <c r="Q53" s="134">
        <v>2790</v>
      </c>
      <c r="R53" s="134">
        <v>5270</v>
      </c>
      <c r="S53" s="134">
        <v>1180</v>
      </c>
      <c r="T53" s="134">
        <v>315</v>
      </c>
      <c r="U53" s="134">
        <v>35</v>
      </c>
      <c r="V53" s="134">
        <v>0</v>
      </c>
      <c r="W53" s="134">
        <v>0</v>
      </c>
      <c r="X53" s="134">
        <v>0</v>
      </c>
      <c r="Y53" s="134">
        <v>0</v>
      </c>
      <c r="Z53" s="134">
        <f>SUM(D53:Y53)</f>
        <v>74800</v>
      </c>
    </row>
    <row r="54" spans="1:26" s="43" customFormat="1" ht="18" customHeight="1">
      <c r="A54" s="424"/>
      <c r="B54" s="332"/>
      <c r="C54" s="134" t="s">
        <v>25</v>
      </c>
      <c r="D54" s="134"/>
      <c r="E54" s="134"/>
      <c r="F54" s="134"/>
      <c r="G54" s="134"/>
      <c r="H54" s="134"/>
      <c r="I54" s="134"/>
      <c r="J54" s="134"/>
      <c r="K54" s="134"/>
      <c r="L54" s="134"/>
      <c r="M54" s="134"/>
      <c r="N54" s="134"/>
      <c r="O54" s="134"/>
      <c r="P54" s="134"/>
      <c r="Q54" s="134"/>
      <c r="R54" s="134"/>
      <c r="S54" s="134"/>
      <c r="T54" s="134"/>
      <c r="U54" s="134"/>
      <c r="V54" s="134"/>
      <c r="W54" s="134"/>
      <c r="X54" s="134"/>
      <c r="Y54" s="134"/>
      <c r="Z54" s="134">
        <f t="shared" ref="Z54:Z92" si="14">SUM(D54:Y54)</f>
        <v>0</v>
      </c>
    </row>
    <row r="55" spans="1:26" s="43" customFormat="1" ht="18" customHeight="1">
      <c r="A55" s="428">
        <v>2</v>
      </c>
      <c r="B55" s="331" t="s">
        <v>382</v>
      </c>
      <c r="C55" s="134" t="s">
        <v>24</v>
      </c>
      <c r="D55" s="134">
        <v>1610</v>
      </c>
      <c r="E55" s="134">
        <v>1610</v>
      </c>
      <c r="F55" s="134">
        <v>1610</v>
      </c>
      <c r="G55" s="134">
        <v>1610</v>
      </c>
      <c r="H55" s="134">
        <v>1610</v>
      </c>
      <c r="I55" s="134">
        <v>1610</v>
      </c>
      <c r="J55" s="134">
        <v>1610</v>
      </c>
      <c r="K55" s="134">
        <v>1610</v>
      </c>
      <c r="L55" s="134">
        <v>0</v>
      </c>
      <c r="M55" s="134">
        <v>1610</v>
      </c>
      <c r="N55" s="134">
        <v>0</v>
      </c>
      <c r="O55" s="134">
        <v>0</v>
      </c>
      <c r="P55" s="134">
        <v>1320</v>
      </c>
      <c r="Q55" s="134">
        <v>290</v>
      </c>
      <c r="R55" s="134">
        <v>1225</v>
      </c>
      <c r="S55" s="134">
        <v>385</v>
      </c>
      <c r="T55" s="134">
        <v>0</v>
      </c>
      <c r="U55" s="134">
        <v>0</v>
      </c>
      <c r="V55" s="134">
        <v>0</v>
      </c>
      <c r="W55" s="134">
        <v>0</v>
      </c>
      <c r="X55" s="134">
        <v>0</v>
      </c>
      <c r="Y55" s="134">
        <v>0</v>
      </c>
      <c r="Z55" s="134">
        <f t="shared" si="14"/>
        <v>17710</v>
      </c>
    </row>
    <row r="56" spans="1:26" s="43" customFormat="1" ht="18" customHeight="1">
      <c r="A56" s="424"/>
      <c r="B56" s="454"/>
      <c r="C56" s="134" t="s">
        <v>25</v>
      </c>
      <c r="D56" s="134"/>
      <c r="E56" s="134"/>
      <c r="F56" s="134"/>
      <c r="G56" s="134"/>
      <c r="H56" s="134"/>
      <c r="I56" s="134"/>
      <c r="J56" s="134"/>
      <c r="K56" s="134"/>
      <c r="L56" s="134"/>
      <c r="M56" s="134"/>
      <c r="N56" s="134"/>
      <c r="O56" s="134"/>
      <c r="P56" s="134"/>
      <c r="Q56" s="134"/>
      <c r="R56" s="134"/>
      <c r="S56" s="134"/>
      <c r="T56" s="134"/>
      <c r="U56" s="134"/>
      <c r="V56" s="134"/>
      <c r="W56" s="134"/>
      <c r="X56" s="134"/>
      <c r="Y56" s="134"/>
      <c r="Z56" s="134">
        <f t="shared" si="14"/>
        <v>0</v>
      </c>
    </row>
    <row r="57" spans="1:26" s="43" customFormat="1" ht="18" customHeight="1">
      <c r="A57" s="428">
        <v>3</v>
      </c>
      <c r="B57" s="331" t="s">
        <v>383</v>
      </c>
      <c r="C57" s="134" t="s">
        <v>24</v>
      </c>
      <c r="D57" s="134">
        <v>2300</v>
      </c>
      <c r="E57" s="134">
        <v>2300</v>
      </c>
      <c r="F57" s="134">
        <v>2300</v>
      </c>
      <c r="G57" s="134">
        <v>2300</v>
      </c>
      <c r="H57" s="134">
        <v>2300</v>
      </c>
      <c r="I57" s="134">
        <v>2300</v>
      </c>
      <c r="J57" s="134">
        <v>2300</v>
      </c>
      <c r="K57" s="134">
        <v>2300</v>
      </c>
      <c r="L57" s="134">
        <v>730</v>
      </c>
      <c r="M57" s="134">
        <v>2300</v>
      </c>
      <c r="N57" s="134">
        <v>10</v>
      </c>
      <c r="O57" s="134">
        <v>0</v>
      </c>
      <c r="P57" s="134">
        <v>1470</v>
      </c>
      <c r="Q57" s="134">
        <v>90</v>
      </c>
      <c r="R57" s="134">
        <v>1801</v>
      </c>
      <c r="S57" s="134">
        <v>484</v>
      </c>
      <c r="T57" s="134">
        <v>15</v>
      </c>
      <c r="U57" s="134">
        <v>0</v>
      </c>
      <c r="V57" s="134">
        <v>0</v>
      </c>
      <c r="W57" s="134">
        <v>0</v>
      </c>
      <c r="X57" s="134">
        <v>0</v>
      </c>
      <c r="Y57" s="134">
        <v>0</v>
      </c>
      <c r="Z57" s="134">
        <f t="shared" si="14"/>
        <v>25300</v>
      </c>
    </row>
    <row r="58" spans="1:26" s="43" customFormat="1" ht="18" customHeight="1">
      <c r="A58" s="424"/>
      <c r="B58" s="454"/>
      <c r="C58" s="134" t="s">
        <v>25</v>
      </c>
      <c r="D58" s="134"/>
      <c r="E58" s="134"/>
      <c r="F58" s="134"/>
      <c r="G58" s="134"/>
      <c r="H58" s="134"/>
      <c r="I58" s="134"/>
      <c r="J58" s="134"/>
      <c r="K58" s="134"/>
      <c r="L58" s="134"/>
      <c r="M58" s="134"/>
      <c r="N58" s="134"/>
      <c r="O58" s="134"/>
      <c r="P58" s="134"/>
      <c r="Q58" s="134"/>
      <c r="R58" s="134"/>
      <c r="S58" s="134"/>
      <c r="T58" s="134"/>
      <c r="U58" s="134"/>
      <c r="V58" s="134"/>
      <c r="W58" s="134"/>
      <c r="X58" s="134"/>
      <c r="Y58" s="134"/>
      <c r="Z58" s="134">
        <f t="shared" si="14"/>
        <v>0</v>
      </c>
    </row>
    <row r="59" spans="1:26" s="43" customFormat="1" ht="18" customHeight="1">
      <c r="A59" s="428">
        <v>4</v>
      </c>
      <c r="B59" s="331" t="s">
        <v>384</v>
      </c>
      <c r="C59" s="134" t="s">
        <v>24</v>
      </c>
      <c r="D59" s="134">
        <v>3700</v>
      </c>
      <c r="E59" s="134">
        <v>3700</v>
      </c>
      <c r="F59" s="134">
        <v>3700</v>
      </c>
      <c r="G59" s="134">
        <v>3700</v>
      </c>
      <c r="H59" s="134">
        <v>3700</v>
      </c>
      <c r="I59" s="134">
        <v>3700</v>
      </c>
      <c r="J59" s="134">
        <v>3700</v>
      </c>
      <c r="K59" s="134">
        <v>3700</v>
      </c>
      <c r="L59" s="134">
        <v>0</v>
      </c>
      <c r="M59" s="134">
        <v>3700</v>
      </c>
      <c r="N59" s="134">
        <v>0</v>
      </c>
      <c r="O59" s="134">
        <v>0</v>
      </c>
      <c r="P59" s="134">
        <v>3200</v>
      </c>
      <c r="Q59" s="134">
        <v>500</v>
      </c>
      <c r="R59" s="134">
        <v>2000</v>
      </c>
      <c r="S59" s="134">
        <v>1600</v>
      </c>
      <c r="T59" s="134">
        <v>100</v>
      </c>
      <c r="U59" s="134">
        <v>0</v>
      </c>
      <c r="V59" s="134">
        <v>0</v>
      </c>
      <c r="W59" s="134">
        <v>0</v>
      </c>
      <c r="X59" s="134">
        <v>0</v>
      </c>
      <c r="Y59" s="134">
        <v>0</v>
      </c>
      <c r="Z59" s="134">
        <f t="shared" si="14"/>
        <v>40700</v>
      </c>
    </row>
    <row r="60" spans="1:26" s="43" customFormat="1" ht="18" customHeight="1">
      <c r="A60" s="424"/>
      <c r="B60" s="454"/>
      <c r="C60" s="134" t="s">
        <v>25</v>
      </c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4"/>
      <c r="U60" s="134"/>
      <c r="V60" s="134"/>
      <c r="W60" s="134"/>
      <c r="X60" s="134"/>
      <c r="Y60" s="134"/>
      <c r="Z60" s="134">
        <f t="shared" si="14"/>
        <v>0</v>
      </c>
    </row>
    <row r="61" spans="1:26" s="43" customFormat="1" ht="18" customHeight="1">
      <c r="A61" s="428">
        <v>5</v>
      </c>
      <c r="B61" s="331" t="s">
        <v>385</v>
      </c>
      <c r="C61" s="134" t="s">
        <v>24</v>
      </c>
      <c r="D61" s="134">
        <v>2400</v>
      </c>
      <c r="E61" s="134">
        <v>2400</v>
      </c>
      <c r="F61" s="134">
        <v>2400</v>
      </c>
      <c r="G61" s="134">
        <v>2400</v>
      </c>
      <c r="H61" s="134">
        <v>2400</v>
      </c>
      <c r="I61" s="134">
        <v>2400</v>
      </c>
      <c r="J61" s="134">
        <v>2400</v>
      </c>
      <c r="K61" s="134">
        <v>2400</v>
      </c>
      <c r="L61" s="134">
        <v>90</v>
      </c>
      <c r="M61" s="134">
        <v>2400</v>
      </c>
      <c r="N61" s="134">
        <v>50</v>
      </c>
      <c r="O61" s="134">
        <v>0</v>
      </c>
      <c r="P61" s="134">
        <v>2200</v>
      </c>
      <c r="Q61" s="134">
        <v>60</v>
      </c>
      <c r="R61" s="134">
        <v>1600</v>
      </c>
      <c r="S61" s="134">
        <v>780</v>
      </c>
      <c r="T61" s="134">
        <v>20</v>
      </c>
      <c r="U61" s="134">
        <v>0</v>
      </c>
      <c r="V61" s="134">
        <v>0</v>
      </c>
      <c r="W61" s="134">
        <v>0</v>
      </c>
      <c r="X61" s="134">
        <v>0</v>
      </c>
      <c r="Y61" s="134">
        <v>0</v>
      </c>
      <c r="Z61" s="134">
        <f t="shared" si="14"/>
        <v>26400</v>
      </c>
    </row>
    <row r="62" spans="1:26" s="43" customFormat="1" ht="18" customHeight="1">
      <c r="A62" s="424"/>
      <c r="B62" s="454"/>
      <c r="C62" s="134" t="s">
        <v>25</v>
      </c>
      <c r="D62" s="134"/>
      <c r="E62" s="134"/>
      <c r="F62" s="134"/>
      <c r="G62" s="134"/>
      <c r="H62" s="134"/>
      <c r="I62" s="134"/>
      <c r="J62" s="134"/>
      <c r="K62" s="134"/>
      <c r="L62" s="134"/>
      <c r="M62" s="134"/>
      <c r="N62" s="134"/>
      <c r="O62" s="134"/>
      <c r="P62" s="134"/>
      <c r="Q62" s="134"/>
      <c r="R62" s="134"/>
      <c r="S62" s="134"/>
      <c r="T62" s="134"/>
      <c r="U62" s="134"/>
      <c r="V62" s="134"/>
      <c r="W62" s="134"/>
      <c r="X62" s="134"/>
      <c r="Y62" s="134"/>
      <c r="Z62" s="134">
        <f t="shared" si="14"/>
        <v>0</v>
      </c>
    </row>
    <row r="63" spans="1:26" s="43" customFormat="1" ht="18" customHeight="1">
      <c r="A63" s="428">
        <v>6</v>
      </c>
      <c r="B63" s="331" t="s">
        <v>386</v>
      </c>
      <c r="C63" s="134" t="s">
        <v>24</v>
      </c>
      <c r="D63" s="134">
        <v>1763</v>
      </c>
      <c r="E63" s="134">
        <v>1763</v>
      </c>
      <c r="F63" s="134">
        <v>1763</v>
      </c>
      <c r="G63" s="134">
        <v>1763</v>
      </c>
      <c r="H63" s="134">
        <v>1763</v>
      </c>
      <c r="I63" s="134">
        <v>1763</v>
      </c>
      <c r="J63" s="134">
        <v>1763</v>
      </c>
      <c r="K63" s="134">
        <v>1763</v>
      </c>
      <c r="L63" s="134">
        <v>0</v>
      </c>
      <c r="M63" s="134">
        <v>1763</v>
      </c>
      <c r="N63" s="134">
        <v>100</v>
      </c>
      <c r="O63" s="134">
        <v>0</v>
      </c>
      <c r="P63" s="134">
        <v>1513</v>
      </c>
      <c r="Q63" s="134">
        <v>250</v>
      </c>
      <c r="R63" s="134">
        <v>1489</v>
      </c>
      <c r="S63" s="134">
        <v>269</v>
      </c>
      <c r="T63" s="134">
        <v>5</v>
      </c>
      <c r="U63" s="134">
        <v>0</v>
      </c>
      <c r="V63" s="134">
        <v>0</v>
      </c>
      <c r="W63" s="134">
        <v>0</v>
      </c>
      <c r="X63" s="134">
        <v>0</v>
      </c>
      <c r="Y63" s="134">
        <v>0</v>
      </c>
      <c r="Z63" s="134">
        <f t="shared" si="14"/>
        <v>19493</v>
      </c>
    </row>
    <row r="64" spans="1:26" s="43" customFormat="1" ht="18" customHeight="1">
      <c r="A64" s="424"/>
      <c r="B64" s="454"/>
      <c r="C64" s="134" t="s">
        <v>25</v>
      </c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4"/>
      <c r="Q64" s="134"/>
      <c r="R64" s="134"/>
      <c r="S64" s="134"/>
      <c r="T64" s="134"/>
      <c r="U64" s="134"/>
      <c r="V64" s="134"/>
      <c r="W64" s="134"/>
      <c r="X64" s="134"/>
      <c r="Y64" s="134"/>
      <c r="Z64" s="134">
        <f t="shared" si="14"/>
        <v>0</v>
      </c>
    </row>
    <row r="65" spans="1:26" s="43" customFormat="1" ht="18" customHeight="1">
      <c r="A65" s="428">
        <v>7</v>
      </c>
      <c r="B65" s="331" t="s">
        <v>387</v>
      </c>
      <c r="C65" s="134" t="s">
        <v>24</v>
      </c>
      <c r="D65" s="134">
        <v>4000</v>
      </c>
      <c r="E65" s="134">
        <v>4000</v>
      </c>
      <c r="F65" s="134">
        <v>4000</v>
      </c>
      <c r="G65" s="134">
        <v>4000</v>
      </c>
      <c r="H65" s="134">
        <v>4000</v>
      </c>
      <c r="I65" s="134">
        <v>4000</v>
      </c>
      <c r="J65" s="134">
        <v>4000</v>
      </c>
      <c r="K65" s="134">
        <v>4000</v>
      </c>
      <c r="L65" s="134">
        <v>0</v>
      </c>
      <c r="M65" s="134">
        <v>4000</v>
      </c>
      <c r="N65" s="134">
        <v>0</v>
      </c>
      <c r="O65" s="134">
        <v>0</v>
      </c>
      <c r="P65" s="134">
        <v>3800</v>
      </c>
      <c r="Q65" s="134">
        <v>200</v>
      </c>
      <c r="R65" s="134">
        <v>2200</v>
      </c>
      <c r="S65" s="134">
        <v>1750</v>
      </c>
      <c r="T65" s="134">
        <v>50</v>
      </c>
      <c r="U65" s="134">
        <v>0</v>
      </c>
      <c r="V65" s="134">
        <v>0</v>
      </c>
      <c r="W65" s="134">
        <v>0</v>
      </c>
      <c r="X65" s="134">
        <v>0</v>
      </c>
      <c r="Y65" s="134">
        <v>0</v>
      </c>
      <c r="Z65" s="134">
        <f t="shared" si="14"/>
        <v>44000</v>
      </c>
    </row>
    <row r="66" spans="1:26" s="43" customFormat="1" ht="18" customHeight="1">
      <c r="A66" s="424"/>
      <c r="B66" s="454"/>
      <c r="C66" s="134" t="s">
        <v>25</v>
      </c>
      <c r="D66" s="134"/>
      <c r="E66" s="134"/>
      <c r="F66" s="134"/>
      <c r="G66" s="134"/>
      <c r="H66" s="134"/>
      <c r="I66" s="134"/>
      <c r="J66" s="134"/>
      <c r="K66" s="134"/>
      <c r="L66" s="134"/>
      <c r="M66" s="134"/>
      <c r="N66" s="134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>
        <f t="shared" si="14"/>
        <v>0</v>
      </c>
    </row>
    <row r="67" spans="1:26" s="43" customFormat="1" ht="18" customHeight="1">
      <c r="A67" s="428">
        <v>8</v>
      </c>
      <c r="B67" s="331" t="s">
        <v>388</v>
      </c>
      <c r="C67" s="134" t="s">
        <v>24</v>
      </c>
      <c r="D67" s="134">
        <v>1450</v>
      </c>
      <c r="E67" s="134">
        <v>1450</v>
      </c>
      <c r="F67" s="134">
        <v>1450</v>
      </c>
      <c r="G67" s="134">
        <v>1450</v>
      </c>
      <c r="H67" s="134">
        <v>1450</v>
      </c>
      <c r="I67" s="134">
        <v>1450</v>
      </c>
      <c r="J67" s="134">
        <v>1450</v>
      </c>
      <c r="K67" s="134">
        <v>1450</v>
      </c>
      <c r="L67" s="134">
        <v>0</v>
      </c>
      <c r="M67" s="134">
        <v>1450</v>
      </c>
      <c r="N67" s="134">
        <v>0</v>
      </c>
      <c r="O67" s="134">
        <v>0</v>
      </c>
      <c r="P67" s="134">
        <v>1340</v>
      </c>
      <c r="Q67" s="134">
        <v>110</v>
      </c>
      <c r="R67" s="134">
        <v>1190</v>
      </c>
      <c r="S67" s="134">
        <v>250</v>
      </c>
      <c r="T67" s="134">
        <v>10</v>
      </c>
      <c r="U67" s="134">
        <v>0</v>
      </c>
      <c r="V67" s="134">
        <v>0</v>
      </c>
      <c r="W67" s="134">
        <v>0</v>
      </c>
      <c r="X67" s="134">
        <v>0</v>
      </c>
      <c r="Y67" s="134">
        <v>0</v>
      </c>
      <c r="Z67" s="134">
        <f t="shared" si="14"/>
        <v>15950</v>
      </c>
    </row>
    <row r="68" spans="1:26" s="43" customFormat="1" ht="18" customHeight="1">
      <c r="A68" s="424"/>
      <c r="B68" s="454"/>
      <c r="C68" s="134" t="s">
        <v>25</v>
      </c>
      <c r="D68" s="134"/>
      <c r="E68" s="134"/>
      <c r="F68" s="134"/>
      <c r="G68" s="134"/>
      <c r="H68" s="134"/>
      <c r="I68" s="134"/>
      <c r="J68" s="134"/>
      <c r="K68" s="134"/>
      <c r="L68" s="134"/>
      <c r="M68" s="134"/>
      <c r="N68" s="134"/>
      <c r="O68" s="134"/>
      <c r="P68" s="134"/>
      <c r="Q68" s="134"/>
      <c r="R68" s="134"/>
      <c r="S68" s="134"/>
      <c r="T68" s="134"/>
      <c r="U68" s="134"/>
      <c r="V68" s="134"/>
      <c r="W68" s="134"/>
      <c r="X68" s="134"/>
      <c r="Y68" s="134"/>
      <c r="Z68" s="134">
        <f t="shared" si="14"/>
        <v>0</v>
      </c>
    </row>
    <row r="69" spans="1:26" s="43" customFormat="1" ht="18" customHeight="1">
      <c r="A69" s="428">
        <v>9</v>
      </c>
      <c r="B69" s="331" t="s">
        <v>389</v>
      </c>
      <c r="C69" s="134" t="s">
        <v>24</v>
      </c>
      <c r="D69" s="134">
        <v>1900</v>
      </c>
      <c r="E69" s="134">
        <v>1900</v>
      </c>
      <c r="F69" s="134">
        <v>1900</v>
      </c>
      <c r="G69" s="134">
        <v>1900</v>
      </c>
      <c r="H69" s="134">
        <v>1900</v>
      </c>
      <c r="I69" s="134">
        <v>1900</v>
      </c>
      <c r="J69" s="134">
        <v>1900</v>
      </c>
      <c r="K69" s="134">
        <v>1900</v>
      </c>
      <c r="L69" s="134">
        <v>300</v>
      </c>
      <c r="M69" s="134">
        <v>1900</v>
      </c>
      <c r="N69" s="134">
        <v>200</v>
      </c>
      <c r="O69" s="134">
        <v>0</v>
      </c>
      <c r="P69" s="134">
        <v>1400</v>
      </c>
      <c r="Q69" s="134">
        <v>0</v>
      </c>
      <c r="R69" s="134">
        <v>700</v>
      </c>
      <c r="S69" s="134">
        <v>1100</v>
      </c>
      <c r="T69" s="134">
        <v>100</v>
      </c>
      <c r="U69" s="134">
        <v>0</v>
      </c>
      <c r="V69" s="134">
        <v>0</v>
      </c>
      <c r="W69" s="134">
        <v>0</v>
      </c>
      <c r="X69" s="134">
        <v>0</v>
      </c>
      <c r="Y69" s="134">
        <v>0</v>
      </c>
      <c r="Z69" s="134">
        <f t="shared" si="14"/>
        <v>20900</v>
      </c>
    </row>
    <row r="70" spans="1:26" s="43" customFormat="1" ht="18" customHeight="1">
      <c r="A70" s="424"/>
      <c r="B70" s="454"/>
      <c r="C70" s="134" t="s">
        <v>25</v>
      </c>
      <c r="D70" s="134"/>
      <c r="E70" s="134"/>
      <c r="F70" s="134"/>
      <c r="G70" s="134"/>
      <c r="H70" s="134"/>
      <c r="I70" s="134"/>
      <c r="J70" s="134"/>
      <c r="K70" s="134"/>
      <c r="L70" s="134"/>
      <c r="M70" s="134"/>
      <c r="N70" s="134"/>
      <c r="O70" s="134"/>
      <c r="P70" s="134"/>
      <c r="Q70" s="134"/>
      <c r="R70" s="134"/>
      <c r="S70" s="134"/>
      <c r="T70" s="134"/>
      <c r="U70" s="134"/>
      <c r="V70" s="134"/>
      <c r="W70" s="134"/>
      <c r="X70" s="134"/>
      <c r="Y70" s="134"/>
      <c r="Z70" s="134">
        <f t="shared" si="14"/>
        <v>0</v>
      </c>
    </row>
    <row r="71" spans="1:26" s="43" customFormat="1" ht="18" customHeight="1">
      <c r="A71" s="428">
        <v>10</v>
      </c>
      <c r="B71" s="331" t="s">
        <v>390</v>
      </c>
      <c r="C71" s="134" t="s">
        <v>24</v>
      </c>
      <c r="D71" s="134">
        <v>2150</v>
      </c>
      <c r="E71" s="134">
        <v>2150</v>
      </c>
      <c r="F71" s="134">
        <v>2150</v>
      </c>
      <c r="G71" s="134">
        <v>2150</v>
      </c>
      <c r="H71" s="134">
        <v>2150</v>
      </c>
      <c r="I71" s="134">
        <v>2150</v>
      </c>
      <c r="J71" s="134">
        <v>2150</v>
      </c>
      <c r="K71" s="134">
        <v>2150</v>
      </c>
      <c r="L71" s="134">
        <v>200</v>
      </c>
      <c r="M71" s="134">
        <v>2150</v>
      </c>
      <c r="N71" s="134">
        <v>50</v>
      </c>
      <c r="O71" s="134">
        <v>0</v>
      </c>
      <c r="P71" s="134">
        <v>1750</v>
      </c>
      <c r="Q71" s="134">
        <v>150</v>
      </c>
      <c r="R71" s="134">
        <v>1275</v>
      </c>
      <c r="S71" s="134">
        <v>850</v>
      </c>
      <c r="T71" s="134">
        <v>25</v>
      </c>
      <c r="U71" s="134">
        <v>0</v>
      </c>
      <c r="V71" s="134">
        <v>0</v>
      </c>
      <c r="W71" s="134">
        <v>0</v>
      </c>
      <c r="X71" s="134">
        <v>0</v>
      </c>
      <c r="Y71" s="134">
        <v>0</v>
      </c>
      <c r="Z71" s="134">
        <f t="shared" si="14"/>
        <v>23650</v>
      </c>
    </row>
    <row r="72" spans="1:26" s="43" customFormat="1" ht="18" customHeight="1">
      <c r="A72" s="424"/>
      <c r="B72" s="454"/>
      <c r="C72" s="134" t="s">
        <v>25</v>
      </c>
      <c r="D72" s="134"/>
      <c r="E72" s="134"/>
      <c r="F72" s="134"/>
      <c r="G72" s="134"/>
      <c r="H72" s="134"/>
      <c r="I72" s="134"/>
      <c r="J72" s="134"/>
      <c r="K72" s="134"/>
      <c r="L72" s="134"/>
      <c r="M72" s="134"/>
      <c r="N72" s="134"/>
      <c r="O72" s="134"/>
      <c r="P72" s="134"/>
      <c r="Q72" s="134"/>
      <c r="R72" s="134"/>
      <c r="S72" s="134"/>
      <c r="T72" s="134"/>
      <c r="U72" s="134"/>
      <c r="V72" s="134"/>
      <c r="W72" s="134"/>
      <c r="X72" s="134"/>
      <c r="Y72" s="134"/>
      <c r="Z72" s="134">
        <f t="shared" si="14"/>
        <v>0</v>
      </c>
    </row>
    <row r="73" spans="1:26" s="43" customFormat="1" ht="18" customHeight="1">
      <c r="A73" s="428">
        <v>11</v>
      </c>
      <c r="B73" s="331" t="s">
        <v>391</v>
      </c>
      <c r="C73" s="134" t="s">
        <v>24</v>
      </c>
      <c r="D73" s="134">
        <v>5200</v>
      </c>
      <c r="E73" s="134">
        <v>5200</v>
      </c>
      <c r="F73" s="134">
        <v>5200</v>
      </c>
      <c r="G73" s="134">
        <v>5200</v>
      </c>
      <c r="H73" s="134">
        <v>5200</v>
      </c>
      <c r="I73" s="134">
        <v>5200</v>
      </c>
      <c r="J73" s="134">
        <v>5200</v>
      </c>
      <c r="K73" s="134">
        <v>5200</v>
      </c>
      <c r="L73" s="134">
        <v>0</v>
      </c>
      <c r="M73" s="134">
        <v>5200</v>
      </c>
      <c r="N73" s="134">
        <v>0</v>
      </c>
      <c r="O73" s="134">
        <v>0</v>
      </c>
      <c r="P73" s="134">
        <v>4450</v>
      </c>
      <c r="Q73" s="134">
        <v>750</v>
      </c>
      <c r="R73" s="134">
        <v>4482</v>
      </c>
      <c r="S73" s="134">
        <v>580</v>
      </c>
      <c r="T73" s="134">
        <v>140</v>
      </c>
      <c r="U73" s="134">
        <v>10</v>
      </c>
      <c r="V73" s="134">
        <v>0</v>
      </c>
      <c r="W73" s="134">
        <v>0</v>
      </c>
      <c r="X73" s="134">
        <v>0</v>
      </c>
      <c r="Y73" s="134">
        <v>0</v>
      </c>
      <c r="Z73" s="134">
        <f t="shared" si="14"/>
        <v>57212</v>
      </c>
    </row>
    <row r="74" spans="1:26" s="43" customFormat="1" ht="18" customHeight="1">
      <c r="A74" s="424"/>
      <c r="B74" s="454"/>
      <c r="C74" s="134" t="s">
        <v>25</v>
      </c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4"/>
      <c r="U74" s="134"/>
      <c r="V74" s="134"/>
      <c r="W74" s="134"/>
      <c r="X74" s="134"/>
      <c r="Y74" s="134"/>
      <c r="Z74" s="134">
        <f t="shared" si="14"/>
        <v>0</v>
      </c>
    </row>
    <row r="75" spans="1:26" s="43" customFormat="1" ht="18" customHeight="1">
      <c r="A75" s="428">
        <v>12</v>
      </c>
      <c r="B75" s="331" t="s">
        <v>316</v>
      </c>
      <c r="C75" s="134" t="s">
        <v>24</v>
      </c>
      <c r="D75" s="134">
        <v>3850</v>
      </c>
      <c r="E75" s="134">
        <v>3850</v>
      </c>
      <c r="F75" s="134">
        <v>3850</v>
      </c>
      <c r="G75" s="134">
        <v>3850</v>
      </c>
      <c r="H75" s="134">
        <v>3850</v>
      </c>
      <c r="I75" s="134">
        <v>3850</v>
      </c>
      <c r="J75" s="134">
        <v>3850</v>
      </c>
      <c r="K75" s="134">
        <v>3850</v>
      </c>
      <c r="L75" s="134">
        <v>390</v>
      </c>
      <c r="M75" s="134">
        <v>3850</v>
      </c>
      <c r="N75" s="134">
        <v>172</v>
      </c>
      <c r="O75" s="134">
        <v>0</v>
      </c>
      <c r="P75" s="134">
        <v>2888</v>
      </c>
      <c r="Q75" s="134">
        <v>400</v>
      </c>
      <c r="R75" s="134">
        <v>3025</v>
      </c>
      <c r="S75" s="134">
        <v>804</v>
      </c>
      <c r="T75" s="134">
        <v>21</v>
      </c>
      <c r="U75" s="134">
        <v>0</v>
      </c>
      <c r="V75" s="134">
        <v>0</v>
      </c>
      <c r="W75" s="134">
        <v>0</v>
      </c>
      <c r="X75" s="134">
        <v>0</v>
      </c>
      <c r="Y75" s="134">
        <v>0</v>
      </c>
      <c r="Z75" s="134">
        <f t="shared" si="14"/>
        <v>42350</v>
      </c>
    </row>
    <row r="76" spans="1:26" s="43" customFormat="1" ht="18" customHeight="1">
      <c r="A76" s="424"/>
      <c r="B76" s="454"/>
      <c r="C76" s="134" t="s">
        <v>25</v>
      </c>
      <c r="D76" s="134"/>
      <c r="E76" s="134"/>
      <c r="F76" s="134"/>
      <c r="G76" s="134"/>
      <c r="H76" s="134"/>
      <c r="I76" s="134"/>
      <c r="J76" s="134"/>
      <c r="K76" s="134"/>
      <c r="L76" s="134"/>
      <c r="M76" s="134"/>
      <c r="N76" s="134"/>
      <c r="O76" s="134"/>
      <c r="P76" s="134"/>
      <c r="Q76" s="134"/>
      <c r="R76" s="134"/>
      <c r="S76" s="134"/>
      <c r="T76" s="134"/>
      <c r="U76" s="134"/>
      <c r="V76" s="134"/>
      <c r="W76" s="134"/>
      <c r="X76" s="134"/>
      <c r="Y76" s="134"/>
      <c r="Z76" s="134">
        <f t="shared" si="14"/>
        <v>0</v>
      </c>
    </row>
    <row r="77" spans="1:26" s="43" customFormat="1" ht="18" customHeight="1">
      <c r="A77" s="428">
        <v>13</v>
      </c>
      <c r="B77" s="331" t="s">
        <v>317</v>
      </c>
      <c r="C77" s="134" t="s">
        <v>24</v>
      </c>
      <c r="D77" s="134">
        <v>2150</v>
      </c>
      <c r="E77" s="134">
        <v>2150</v>
      </c>
      <c r="F77" s="134">
        <v>2150</v>
      </c>
      <c r="G77" s="134">
        <v>2150</v>
      </c>
      <c r="H77" s="134">
        <v>2150</v>
      </c>
      <c r="I77" s="134">
        <v>2150</v>
      </c>
      <c r="J77" s="134">
        <v>2150</v>
      </c>
      <c r="K77" s="134">
        <v>2150</v>
      </c>
      <c r="L77" s="134">
        <v>0</v>
      </c>
      <c r="M77" s="134">
        <v>2150</v>
      </c>
      <c r="N77" s="134">
        <v>0</v>
      </c>
      <c r="O77" s="134">
        <v>0</v>
      </c>
      <c r="P77" s="134">
        <v>1990</v>
      </c>
      <c r="Q77" s="134">
        <v>160</v>
      </c>
      <c r="R77" s="134">
        <v>1520</v>
      </c>
      <c r="S77" s="134">
        <v>630</v>
      </c>
      <c r="T77" s="134">
        <v>0</v>
      </c>
      <c r="U77" s="134">
        <v>0</v>
      </c>
      <c r="V77" s="134">
        <v>0</v>
      </c>
      <c r="W77" s="134">
        <v>0</v>
      </c>
      <c r="X77" s="134">
        <v>0</v>
      </c>
      <c r="Y77" s="134">
        <v>0</v>
      </c>
      <c r="Z77" s="134">
        <f t="shared" si="14"/>
        <v>23650</v>
      </c>
    </row>
    <row r="78" spans="1:26" s="43" customFormat="1" ht="18" customHeight="1">
      <c r="A78" s="424"/>
      <c r="B78" s="454"/>
      <c r="C78" s="134" t="s">
        <v>25</v>
      </c>
      <c r="D78" s="134"/>
      <c r="E78" s="134"/>
      <c r="F78" s="134"/>
      <c r="G78" s="134"/>
      <c r="H78" s="134"/>
      <c r="I78" s="134"/>
      <c r="J78" s="134"/>
      <c r="K78" s="134"/>
      <c r="L78" s="134"/>
      <c r="M78" s="134"/>
      <c r="N78" s="134"/>
      <c r="O78" s="134"/>
      <c r="P78" s="134"/>
      <c r="Q78" s="134"/>
      <c r="R78" s="134"/>
      <c r="S78" s="134"/>
      <c r="T78" s="134"/>
      <c r="U78" s="134"/>
      <c r="V78" s="134"/>
      <c r="W78" s="134"/>
      <c r="X78" s="134"/>
      <c r="Y78" s="134"/>
      <c r="Z78" s="134">
        <f t="shared" si="14"/>
        <v>0</v>
      </c>
    </row>
    <row r="79" spans="1:26" s="43" customFormat="1" ht="18" customHeight="1">
      <c r="A79" s="428">
        <v>14</v>
      </c>
      <c r="B79" s="331" t="s">
        <v>318</v>
      </c>
      <c r="C79" s="134" t="s">
        <v>24</v>
      </c>
      <c r="D79" s="134">
        <v>1400</v>
      </c>
      <c r="E79" s="134">
        <v>1400</v>
      </c>
      <c r="F79" s="134">
        <v>1400</v>
      </c>
      <c r="G79" s="134">
        <v>1400</v>
      </c>
      <c r="H79" s="134">
        <v>1400</v>
      </c>
      <c r="I79" s="134">
        <v>1400</v>
      </c>
      <c r="J79" s="134">
        <v>1400</v>
      </c>
      <c r="K79" s="134">
        <v>1400</v>
      </c>
      <c r="L79" s="134">
        <v>300</v>
      </c>
      <c r="M79" s="134">
        <v>1400</v>
      </c>
      <c r="N79" s="134">
        <v>75</v>
      </c>
      <c r="O79" s="134">
        <v>0</v>
      </c>
      <c r="P79" s="134">
        <v>1025</v>
      </c>
      <c r="Q79" s="134">
        <v>0</v>
      </c>
      <c r="R79" s="134">
        <v>1200</v>
      </c>
      <c r="S79" s="134">
        <v>200</v>
      </c>
      <c r="T79" s="134">
        <v>0</v>
      </c>
      <c r="U79" s="134">
        <v>0</v>
      </c>
      <c r="V79" s="134">
        <v>0</v>
      </c>
      <c r="W79" s="134">
        <v>0</v>
      </c>
      <c r="X79" s="134">
        <v>0</v>
      </c>
      <c r="Y79" s="134">
        <v>0</v>
      </c>
      <c r="Z79" s="134">
        <f t="shared" si="14"/>
        <v>15400</v>
      </c>
    </row>
    <row r="80" spans="1:26" s="43" customFormat="1" ht="18" customHeight="1">
      <c r="A80" s="424"/>
      <c r="B80" s="454"/>
      <c r="C80" s="134" t="s">
        <v>25</v>
      </c>
      <c r="D80" s="134"/>
      <c r="E80" s="134"/>
      <c r="F80" s="134"/>
      <c r="G80" s="134"/>
      <c r="H80" s="134"/>
      <c r="I80" s="134"/>
      <c r="J80" s="134"/>
      <c r="K80" s="134"/>
      <c r="L80" s="134"/>
      <c r="M80" s="134"/>
      <c r="N80" s="134"/>
      <c r="O80" s="134"/>
      <c r="P80" s="134"/>
      <c r="Q80" s="134"/>
      <c r="R80" s="134"/>
      <c r="S80" s="134"/>
      <c r="T80" s="134"/>
      <c r="U80" s="134"/>
      <c r="V80" s="134"/>
      <c r="W80" s="134"/>
      <c r="X80" s="134"/>
      <c r="Y80" s="134"/>
      <c r="Z80" s="134">
        <f t="shared" si="14"/>
        <v>0</v>
      </c>
    </row>
    <row r="81" spans="1:26" s="43" customFormat="1" ht="18" customHeight="1">
      <c r="A81" s="428">
        <v>15</v>
      </c>
      <c r="B81" s="331" t="s">
        <v>319</v>
      </c>
      <c r="C81" s="134" t="s">
        <v>24</v>
      </c>
      <c r="D81" s="134">
        <v>2200</v>
      </c>
      <c r="E81" s="134">
        <v>2200</v>
      </c>
      <c r="F81" s="134">
        <v>2200</v>
      </c>
      <c r="G81" s="134">
        <v>2200</v>
      </c>
      <c r="H81" s="134">
        <v>2200</v>
      </c>
      <c r="I81" s="134">
        <v>2200</v>
      </c>
      <c r="J81" s="134">
        <v>2200</v>
      </c>
      <c r="K81" s="134">
        <v>2200</v>
      </c>
      <c r="L81" s="134">
        <v>0</v>
      </c>
      <c r="M81" s="134">
        <v>2200</v>
      </c>
      <c r="N81" s="134">
        <v>0</v>
      </c>
      <c r="O81" s="134">
        <v>0</v>
      </c>
      <c r="P81" s="134">
        <v>2200</v>
      </c>
      <c r="Q81" s="134">
        <v>0</v>
      </c>
      <c r="R81" s="134">
        <v>1595</v>
      </c>
      <c r="S81" s="134">
        <v>580</v>
      </c>
      <c r="T81" s="134">
        <v>25</v>
      </c>
      <c r="U81" s="134">
        <v>0</v>
      </c>
      <c r="V81" s="134">
        <v>0</v>
      </c>
      <c r="W81" s="134">
        <v>0</v>
      </c>
      <c r="X81" s="134">
        <v>0</v>
      </c>
      <c r="Y81" s="134">
        <v>0</v>
      </c>
      <c r="Z81" s="134">
        <f t="shared" si="14"/>
        <v>24200</v>
      </c>
    </row>
    <row r="82" spans="1:26" s="43" customFormat="1" ht="18" customHeight="1">
      <c r="A82" s="424"/>
      <c r="B82" s="454"/>
      <c r="C82" s="134" t="s">
        <v>25</v>
      </c>
      <c r="D82" s="134"/>
      <c r="E82" s="134"/>
      <c r="F82" s="134"/>
      <c r="G82" s="134"/>
      <c r="H82" s="134"/>
      <c r="I82" s="134"/>
      <c r="J82" s="134"/>
      <c r="K82" s="134"/>
      <c r="L82" s="134"/>
      <c r="M82" s="134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  <c r="Y82" s="134"/>
      <c r="Z82" s="134">
        <f t="shared" si="14"/>
        <v>0</v>
      </c>
    </row>
    <row r="83" spans="1:26" s="43" customFormat="1" ht="18" customHeight="1">
      <c r="A83" s="428">
        <v>16</v>
      </c>
      <c r="B83" s="331" t="s">
        <v>392</v>
      </c>
      <c r="C83" s="134" t="s">
        <v>24</v>
      </c>
      <c r="D83" s="134">
        <v>4000</v>
      </c>
      <c r="E83" s="134">
        <v>4000</v>
      </c>
      <c r="F83" s="134">
        <v>4000</v>
      </c>
      <c r="G83" s="134">
        <v>4000</v>
      </c>
      <c r="H83" s="134">
        <v>4000</v>
      </c>
      <c r="I83" s="134">
        <v>4000</v>
      </c>
      <c r="J83" s="134">
        <v>4000</v>
      </c>
      <c r="K83" s="134">
        <v>4000</v>
      </c>
      <c r="L83" s="134">
        <v>4000</v>
      </c>
      <c r="M83" s="134">
        <v>4000</v>
      </c>
      <c r="N83" s="134">
        <v>0</v>
      </c>
      <c r="O83" s="134">
        <v>0</v>
      </c>
      <c r="P83" s="134">
        <v>0</v>
      </c>
      <c r="Q83" s="134">
        <v>0</v>
      </c>
      <c r="R83" s="134">
        <v>3440</v>
      </c>
      <c r="S83" s="134">
        <v>560</v>
      </c>
      <c r="T83" s="134">
        <v>2</v>
      </c>
      <c r="U83" s="134">
        <v>0</v>
      </c>
      <c r="V83" s="134">
        <v>0</v>
      </c>
      <c r="W83" s="134">
        <v>0</v>
      </c>
      <c r="X83" s="134">
        <v>0</v>
      </c>
      <c r="Y83" s="134">
        <v>0</v>
      </c>
      <c r="Z83" s="134">
        <f t="shared" si="14"/>
        <v>44002</v>
      </c>
    </row>
    <row r="84" spans="1:26" s="43" customFormat="1" ht="18" customHeight="1">
      <c r="A84" s="424"/>
      <c r="B84" s="332"/>
      <c r="C84" s="134" t="s">
        <v>25</v>
      </c>
      <c r="D84" s="134"/>
      <c r="E84" s="134"/>
      <c r="F84" s="134"/>
      <c r="G84" s="134"/>
      <c r="H84" s="134"/>
      <c r="I84" s="134"/>
      <c r="J84" s="134"/>
      <c r="K84" s="134"/>
      <c r="L84" s="134"/>
      <c r="M84" s="134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  <c r="Y84" s="134"/>
      <c r="Z84" s="134">
        <f t="shared" si="14"/>
        <v>0</v>
      </c>
    </row>
    <row r="85" spans="1:26" s="43" customFormat="1" ht="18" customHeight="1">
      <c r="A85" s="428">
        <v>17</v>
      </c>
      <c r="B85" s="331" t="s">
        <v>320</v>
      </c>
      <c r="C85" s="134" t="s">
        <v>24</v>
      </c>
      <c r="D85" s="134">
        <v>1650</v>
      </c>
      <c r="E85" s="134">
        <v>1650</v>
      </c>
      <c r="F85" s="134">
        <v>1650</v>
      </c>
      <c r="G85" s="134">
        <v>1650</v>
      </c>
      <c r="H85" s="134">
        <v>1650</v>
      </c>
      <c r="I85" s="134">
        <v>1650</v>
      </c>
      <c r="J85" s="134">
        <v>1650</v>
      </c>
      <c r="K85" s="134">
        <v>1650</v>
      </c>
      <c r="L85" s="134">
        <v>280</v>
      </c>
      <c r="M85" s="134">
        <v>1650</v>
      </c>
      <c r="N85" s="134">
        <v>0</v>
      </c>
      <c r="O85" s="134">
        <v>0</v>
      </c>
      <c r="P85" s="134">
        <v>1120</v>
      </c>
      <c r="Q85" s="134">
        <v>250</v>
      </c>
      <c r="R85" s="134">
        <v>1120</v>
      </c>
      <c r="S85" s="134">
        <v>440</v>
      </c>
      <c r="T85" s="134">
        <v>90</v>
      </c>
      <c r="U85" s="134">
        <v>0</v>
      </c>
      <c r="V85" s="134">
        <v>0</v>
      </c>
      <c r="W85" s="134">
        <v>0</v>
      </c>
      <c r="X85" s="134">
        <v>0</v>
      </c>
      <c r="Y85" s="134">
        <v>0</v>
      </c>
      <c r="Z85" s="134">
        <f t="shared" si="14"/>
        <v>18150</v>
      </c>
    </row>
    <row r="86" spans="1:26" s="43" customFormat="1" ht="18" customHeight="1">
      <c r="A86" s="424"/>
      <c r="B86" s="332"/>
      <c r="C86" s="134" t="s">
        <v>25</v>
      </c>
      <c r="D86" s="134"/>
      <c r="E86" s="134"/>
      <c r="F86" s="134"/>
      <c r="G86" s="134"/>
      <c r="H86" s="134"/>
      <c r="I86" s="134"/>
      <c r="J86" s="134"/>
      <c r="K86" s="134"/>
      <c r="L86" s="134"/>
      <c r="M86" s="134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  <c r="Y86" s="134"/>
      <c r="Z86" s="134">
        <f t="shared" si="14"/>
        <v>0</v>
      </c>
    </row>
    <row r="87" spans="1:26" s="43" customFormat="1" ht="18" customHeight="1">
      <c r="A87" s="428">
        <v>18</v>
      </c>
      <c r="B87" s="331" t="s">
        <v>321</v>
      </c>
      <c r="C87" s="134" t="s">
        <v>24</v>
      </c>
      <c r="D87" s="134">
        <v>2050</v>
      </c>
      <c r="E87" s="134">
        <v>2050</v>
      </c>
      <c r="F87" s="134">
        <v>2050</v>
      </c>
      <c r="G87" s="134">
        <v>2050</v>
      </c>
      <c r="H87" s="134">
        <v>2050</v>
      </c>
      <c r="I87" s="134">
        <v>2050</v>
      </c>
      <c r="J87" s="134">
        <v>2050</v>
      </c>
      <c r="K87" s="134">
        <v>2050</v>
      </c>
      <c r="L87" s="134">
        <v>0</v>
      </c>
      <c r="M87" s="134">
        <v>2050</v>
      </c>
      <c r="N87" s="134">
        <v>0</v>
      </c>
      <c r="O87" s="134">
        <v>0</v>
      </c>
      <c r="P87" s="134">
        <v>1950</v>
      </c>
      <c r="Q87" s="134">
        <v>100</v>
      </c>
      <c r="R87" s="134">
        <v>1350</v>
      </c>
      <c r="S87" s="134">
        <v>690</v>
      </c>
      <c r="T87" s="134">
        <v>10</v>
      </c>
      <c r="U87" s="134">
        <v>0</v>
      </c>
      <c r="V87" s="134">
        <v>0</v>
      </c>
      <c r="W87" s="134">
        <v>0</v>
      </c>
      <c r="X87" s="134">
        <v>0</v>
      </c>
      <c r="Y87" s="134">
        <v>0</v>
      </c>
      <c r="Z87" s="134">
        <f t="shared" si="14"/>
        <v>22550</v>
      </c>
    </row>
    <row r="88" spans="1:26" s="43" customFormat="1" ht="18" customHeight="1">
      <c r="A88" s="424"/>
      <c r="B88" s="332"/>
      <c r="C88" s="134" t="s">
        <v>25</v>
      </c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  <c r="Y88" s="134"/>
      <c r="Z88" s="134">
        <f t="shared" si="14"/>
        <v>0</v>
      </c>
    </row>
    <row r="89" spans="1:26" s="43" customFormat="1" ht="18" customHeight="1">
      <c r="A89" s="428">
        <v>19</v>
      </c>
      <c r="B89" s="331" t="s">
        <v>322</v>
      </c>
      <c r="C89" s="134" t="s">
        <v>24</v>
      </c>
      <c r="D89" s="134">
        <v>1120</v>
      </c>
      <c r="E89" s="134">
        <v>1120</v>
      </c>
      <c r="F89" s="134">
        <v>1120</v>
      </c>
      <c r="G89" s="134">
        <v>1120</v>
      </c>
      <c r="H89" s="134">
        <v>1120</v>
      </c>
      <c r="I89" s="134">
        <v>1120</v>
      </c>
      <c r="J89" s="134">
        <v>1120</v>
      </c>
      <c r="K89" s="134">
        <v>1120</v>
      </c>
      <c r="L89" s="134">
        <v>300</v>
      </c>
      <c r="M89" s="134">
        <v>1120</v>
      </c>
      <c r="N89" s="134">
        <v>60</v>
      </c>
      <c r="O89" s="134">
        <v>0</v>
      </c>
      <c r="P89" s="134">
        <v>640</v>
      </c>
      <c r="Q89" s="134">
        <v>120</v>
      </c>
      <c r="R89" s="134">
        <v>840</v>
      </c>
      <c r="S89" s="134">
        <v>280</v>
      </c>
      <c r="T89" s="134">
        <v>0</v>
      </c>
      <c r="U89" s="134">
        <v>0</v>
      </c>
      <c r="V89" s="134">
        <v>0</v>
      </c>
      <c r="W89" s="134">
        <v>0</v>
      </c>
      <c r="X89" s="134">
        <v>0</v>
      </c>
      <c r="Y89" s="134">
        <v>0</v>
      </c>
      <c r="Z89" s="134">
        <f t="shared" si="14"/>
        <v>12320</v>
      </c>
    </row>
    <row r="90" spans="1:26" s="43" customFormat="1" ht="18" customHeight="1">
      <c r="A90" s="424"/>
      <c r="B90" s="332"/>
      <c r="C90" s="134" t="s">
        <v>25</v>
      </c>
      <c r="D90" s="134"/>
      <c r="E90" s="134"/>
      <c r="F90" s="134"/>
      <c r="G90" s="134"/>
      <c r="H90" s="134"/>
      <c r="I90" s="134"/>
      <c r="J90" s="134"/>
      <c r="K90" s="134"/>
      <c r="L90" s="134"/>
      <c r="M90" s="134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  <c r="Y90" s="134"/>
      <c r="Z90" s="134">
        <f t="shared" si="14"/>
        <v>0</v>
      </c>
    </row>
    <row r="91" spans="1:26" s="43" customFormat="1" ht="18" customHeight="1">
      <c r="A91" s="428">
        <v>20</v>
      </c>
      <c r="B91" s="331" t="s">
        <v>323</v>
      </c>
      <c r="C91" s="134" t="s">
        <v>24</v>
      </c>
      <c r="D91" s="134">
        <v>1900</v>
      </c>
      <c r="E91" s="134">
        <v>1900</v>
      </c>
      <c r="F91" s="134">
        <v>1900</v>
      </c>
      <c r="G91" s="134">
        <v>1900</v>
      </c>
      <c r="H91" s="134">
        <v>1900</v>
      </c>
      <c r="I91" s="134">
        <v>1900</v>
      </c>
      <c r="J91" s="134">
        <v>1900</v>
      </c>
      <c r="K91" s="134">
        <v>1900</v>
      </c>
      <c r="L91" s="134">
        <v>0</v>
      </c>
      <c r="M91" s="134">
        <v>1900</v>
      </c>
      <c r="N91" s="134">
        <v>0</v>
      </c>
      <c r="O91" s="134">
        <v>0</v>
      </c>
      <c r="P91" s="134">
        <v>1750</v>
      </c>
      <c r="Q91" s="134">
        <v>150</v>
      </c>
      <c r="R91" s="134">
        <v>1130</v>
      </c>
      <c r="S91" s="134">
        <v>770</v>
      </c>
      <c r="T91" s="134">
        <v>0</v>
      </c>
      <c r="U91" s="134">
        <v>0</v>
      </c>
      <c r="V91" s="134">
        <v>0</v>
      </c>
      <c r="W91" s="134">
        <v>0</v>
      </c>
      <c r="X91" s="134">
        <v>0</v>
      </c>
      <c r="Y91" s="134">
        <v>0</v>
      </c>
      <c r="Z91" s="134">
        <f t="shared" si="14"/>
        <v>20900</v>
      </c>
    </row>
    <row r="92" spans="1:26" s="43" customFormat="1" ht="18" customHeight="1">
      <c r="A92" s="424"/>
      <c r="B92" s="332"/>
      <c r="C92" s="134" t="s">
        <v>25</v>
      </c>
      <c r="D92" s="134"/>
      <c r="E92" s="134"/>
      <c r="F92" s="134"/>
      <c r="G92" s="134"/>
      <c r="H92" s="134"/>
      <c r="I92" s="134"/>
      <c r="J92" s="134"/>
      <c r="K92" s="134"/>
      <c r="L92" s="134"/>
      <c r="M92" s="134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  <c r="Y92" s="134"/>
      <c r="Z92" s="134">
        <f t="shared" si="14"/>
        <v>0</v>
      </c>
    </row>
    <row r="93" spans="1:26">
      <c r="A93" s="455" t="s">
        <v>35</v>
      </c>
      <c r="B93" s="456"/>
      <c r="C93" s="457"/>
      <c r="D93" s="136">
        <f>D53+D55+D57+D59+D61+D63+D65+D67+D69+D71+D73+D75+D77+D79+D81+D83+D85+D87+D89+D91</f>
        <v>53593</v>
      </c>
      <c r="E93" s="136">
        <f t="shared" ref="E93:Z93" si="15">E53+E55+E57+E59+E61+E63+E65+E67+E69+E71+E73+E75+E77+E79+E81+E83+E85+E87+E89+E91</f>
        <v>53593</v>
      </c>
      <c r="F93" s="136">
        <f t="shared" si="15"/>
        <v>53593</v>
      </c>
      <c r="G93" s="136">
        <f t="shared" si="15"/>
        <v>53593</v>
      </c>
      <c r="H93" s="136">
        <f t="shared" si="15"/>
        <v>53593</v>
      </c>
      <c r="I93" s="136">
        <f t="shared" si="15"/>
        <v>53593</v>
      </c>
      <c r="J93" s="136">
        <f t="shared" si="15"/>
        <v>53593</v>
      </c>
      <c r="K93" s="136">
        <f t="shared" si="15"/>
        <v>53593</v>
      </c>
      <c r="L93" s="136">
        <f t="shared" si="15"/>
        <v>6590</v>
      </c>
      <c r="M93" s="136">
        <f t="shared" si="15"/>
        <v>53593</v>
      </c>
      <c r="N93" s="136">
        <f t="shared" si="15"/>
        <v>717</v>
      </c>
      <c r="O93" s="136">
        <f t="shared" si="15"/>
        <v>0</v>
      </c>
      <c r="P93" s="136">
        <f t="shared" si="15"/>
        <v>40016</v>
      </c>
      <c r="Q93" s="136">
        <f t="shared" si="15"/>
        <v>6370</v>
      </c>
      <c r="R93" s="136">
        <f t="shared" si="15"/>
        <v>38452</v>
      </c>
      <c r="S93" s="136">
        <f t="shared" si="15"/>
        <v>14182</v>
      </c>
      <c r="T93" s="136">
        <f t="shared" si="15"/>
        <v>928</v>
      </c>
      <c r="U93" s="136">
        <f t="shared" si="15"/>
        <v>45</v>
      </c>
      <c r="V93" s="136">
        <f t="shared" si="15"/>
        <v>0</v>
      </c>
      <c r="W93" s="136">
        <f t="shared" si="15"/>
        <v>0</v>
      </c>
      <c r="X93" s="136">
        <f t="shared" si="15"/>
        <v>0</v>
      </c>
      <c r="Y93" s="136">
        <f t="shared" si="15"/>
        <v>0</v>
      </c>
      <c r="Z93" s="136">
        <f t="shared" si="15"/>
        <v>589637</v>
      </c>
    </row>
    <row r="94" spans="1:26" s="43" customFormat="1">
      <c r="A94" s="455" t="s">
        <v>36</v>
      </c>
      <c r="B94" s="456"/>
      <c r="C94" s="457"/>
      <c r="D94" s="136">
        <f>D54+D56+D58+D60+D62+D64+D66+D68+D70+D72+D74+D76+D78+D80+D82+D84+D86+D88+D90+D92</f>
        <v>0</v>
      </c>
      <c r="E94" s="136">
        <f t="shared" ref="E94:Z94" si="16">E54+E56+E58+E60+E62+E64+E66+E68+E70+E72+E74+E76+E78+E80+E82+E84+E86+E88+E90+E92</f>
        <v>0</v>
      </c>
      <c r="F94" s="136">
        <f t="shared" si="16"/>
        <v>0</v>
      </c>
      <c r="G94" s="136">
        <f t="shared" si="16"/>
        <v>0</v>
      </c>
      <c r="H94" s="136">
        <f t="shared" si="16"/>
        <v>0</v>
      </c>
      <c r="I94" s="136">
        <f t="shared" si="16"/>
        <v>0</v>
      </c>
      <c r="J94" s="136">
        <f t="shared" si="16"/>
        <v>0</v>
      </c>
      <c r="K94" s="136">
        <f t="shared" si="16"/>
        <v>0</v>
      </c>
      <c r="L94" s="136">
        <f t="shared" si="16"/>
        <v>0</v>
      </c>
      <c r="M94" s="136">
        <f t="shared" si="16"/>
        <v>0</v>
      </c>
      <c r="N94" s="136">
        <f t="shared" si="16"/>
        <v>0</v>
      </c>
      <c r="O94" s="136">
        <f t="shared" si="16"/>
        <v>0</v>
      </c>
      <c r="P94" s="136">
        <f t="shared" si="16"/>
        <v>0</v>
      </c>
      <c r="Q94" s="136">
        <f t="shared" si="16"/>
        <v>0</v>
      </c>
      <c r="R94" s="136">
        <f t="shared" si="16"/>
        <v>0</v>
      </c>
      <c r="S94" s="136">
        <f t="shared" si="16"/>
        <v>0</v>
      </c>
      <c r="T94" s="136">
        <f t="shared" si="16"/>
        <v>0</v>
      </c>
      <c r="U94" s="136">
        <f t="shared" si="16"/>
        <v>0</v>
      </c>
      <c r="V94" s="136">
        <f t="shared" si="16"/>
        <v>0</v>
      </c>
      <c r="W94" s="136">
        <f t="shared" si="16"/>
        <v>0</v>
      </c>
      <c r="X94" s="136">
        <f t="shared" si="16"/>
        <v>0</v>
      </c>
      <c r="Y94" s="136">
        <f t="shared" si="16"/>
        <v>0</v>
      </c>
      <c r="Z94" s="136">
        <f t="shared" si="16"/>
        <v>0</v>
      </c>
    </row>
    <row r="95" spans="1:26" s="43" customFormat="1" ht="18" customHeight="1">
      <c r="A95" s="455" t="s">
        <v>308</v>
      </c>
      <c r="B95" s="456"/>
      <c r="C95" s="457"/>
      <c r="D95" s="136">
        <f>D93-D94</f>
        <v>53593</v>
      </c>
      <c r="E95" s="136">
        <f t="shared" ref="E95:Y95" si="17">E93-E94</f>
        <v>53593</v>
      </c>
      <c r="F95" s="136">
        <f t="shared" si="17"/>
        <v>53593</v>
      </c>
      <c r="G95" s="136">
        <f t="shared" si="17"/>
        <v>53593</v>
      </c>
      <c r="H95" s="136">
        <f t="shared" si="17"/>
        <v>53593</v>
      </c>
      <c r="I95" s="136">
        <f t="shared" si="17"/>
        <v>53593</v>
      </c>
      <c r="J95" s="136">
        <f t="shared" si="17"/>
        <v>53593</v>
      </c>
      <c r="K95" s="136">
        <f t="shared" si="17"/>
        <v>53593</v>
      </c>
      <c r="L95" s="136">
        <f t="shared" si="17"/>
        <v>6590</v>
      </c>
      <c r="M95" s="136">
        <f t="shared" si="17"/>
        <v>53593</v>
      </c>
      <c r="N95" s="136">
        <f t="shared" si="17"/>
        <v>717</v>
      </c>
      <c r="O95" s="136">
        <f t="shared" si="17"/>
        <v>0</v>
      </c>
      <c r="P95" s="136">
        <f t="shared" si="17"/>
        <v>40016</v>
      </c>
      <c r="Q95" s="136">
        <f t="shared" si="17"/>
        <v>6370</v>
      </c>
      <c r="R95" s="136">
        <f t="shared" si="17"/>
        <v>38452</v>
      </c>
      <c r="S95" s="136">
        <f t="shared" si="17"/>
        <v>14182</v>
      </c>
      <c r="T95" s="136">
        <f t="shared" si="17"/>
        <v>928</v>
      </c>
      <c r="U95" s="136">
        <f t="shared" si="17"/>
        <v>45</v>
      </c>
      <c r="V95" s="136">
        <f t="shared" si="17"/>
        <v>0</v>
      </c>
      <c r="W95" s="136">
        <f t="shared" si="17"/>
        <v>0</v>
      </c>
      <c r="X95" s="136">
        <f t="shared" si="17"/>
        <v>0</v>
      </c>
      <c r="Y95" s="136">
        <f t="shared" si="17"/>
        <v>0</v>
      </c>
      <c r="Z95" s="136">
        <f t="shared" ref="Z95" si="18">SUM(D95:Y95)</f>
        <v>589637</v>
      </c>
    </row>
    <row r="97" spans="1:26" s="43" customFormat="1" ht="30" customHeight="1">
      <c r="A97" s="453" t="s">
        <v>393</v>
      </c>
      <c r="B97" s="453"/>
      <c r="C97" s="453"/>
      <c r="D97" s="453"/>
      <c r="E97" s="453"/>
      <c r="F97" s="453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s="43" customFormat="1" ht="18" customHeight="1">
      <c r="A98" s="33" t="s">
        <v>118</v>
      </c>
      <c r="B98" s="33" t="s">
        <v>307</v>
      </c>
      <c r="C98" s="35" t="s">
        <v>24</v>
      </c>
      <c r="D98" s="34" t="s">
        <v>194</v>
      </c>
      <c r="E98" s="34" t="s">
        <v>365</v>
      </c>
      <c r="F98" s="35" t="s">
        <v>174</v>
      </c>
      <c r="G98" s="35" t="s">
        <v>27</v>
      </c>
      <c r="H98" s="35" t="s">
        <v>175</v>
      </c>
      <c r="I98" s="35" t="s">
        <v>42</v>
      </c>
      <c r="J98" s="35" t="s">
        <v>169</v>
      </c>
      <c r="K98" s="35" t="s">
        <v>32</v>
      </c>
      <c r="L98" s="34" t="s">
        <v>176</v>
      </c>
      <c r="M98" s="35" t="s">
        <v>44</v>
      </c>
      <c r="N98" s="35" t="s">
        <v>40</v>
      </c>
      <c r="O98" s="35" t="s">
        <v>46</v>
      </c>
      <c r="P98" s="35" t="s">
        <v>47</v>
      </c>
      <c r="Q98" s="35" t="s">
        <v>214</v>
      </c>
      <c r="R98" s="35" t="s">
        <v>170</v>
      </c>
      <c r="S98" s="35" t="s">
        <v>49</v>
      </c>
      <c r="T98" s="35" t="s">
        <v>50</v>
      </c>
      <c r="U98" s="35" t="s">
        <v>177</v>
      </c>
      <c r="V98" s="35" t="s">
        <v>215</v>
      </c>
      <c r="W98" s="34" t="s">
        <v>216</v>
      </c>
      <c r="X98" s="34" t="s">
        <v>149</v>
      </c>
      <c r="Y98" s="35" t="s">
        <v>99</v>
      </c>
      <c r="Z98" s="35" t="s">
        <v>88</v>
      </c>
    </row>
    <row r="99" spans="1:26" s="43" customFormat="1" ht="18" customHeight="1">
      <c r="A99" s="428">
        <v>1</v>
      </c>
      <c r="B99" s="331" t="s">
        <v>394</v>
      </c>
      <c r="C99" s="134" t="s">
        <v>24</v>
      </c>
      <c r="D99" s="134">
        <v>5800</v>
      </c>
      <c r="E99" s="134">
        <v>5800</v>
      </c>
      <c r="F99" s="134">
        <v>5800</v>
      </c>
      <c r="G99" s="134">
        <v>5800</v>
      </c>
      <c r="H99" s="134">
        <v>5800</v>
      </c>
      <c r="I99" s="134">
        <v>5800</v>
      </c>
      <c r="J99" s="134">
        <v>5800</v>
      </c>
      <c r="K99" s="134">
        <v>5800</v>
      </c>
      <c r="L99" s="134">
        <v>2100</v>
      </c>
      <c r="M99" s="134">
        <v>5800</v>
      </c>
      <c r="N99" s="134">
        <v>0</v>
      </c>
      <c r="O99" s="134">
        <v>0</v>
      </c>
      <c r="P99" s="134">
        <v>3700</v>
      </c>
      <c r="Q99" s="134">
        <v>60</v>
      </c>
      <c r="R99" s="134">
        <v>3800</v>
      </c>
      <c r="S99" s="134">
        <v>1975</v>
      </c>
      <c r="T99" s="134">
        <v>25</v>
      </c>
      <c r="U99" s="134">
        <v>0</v>
      </c>
      <c r="V99" s="134">
        <v>0</v>
      </c>
      <c r="W99" s="134">
        <v>0</v>
      </c>
      <c r="X99" s="134">
        <v>0</v>
      </c>
      <c r="Y99" s="134">
        <v>0</v>
      </c>
      <c r="Z99" s="134">
        <f>SUM(D99:Y99)</f>
        <v>63860</v>
      </c>
    </row>
    <row r="100" spans="1:26" s="43" customFormat="1" ht="18" customHeight="1">
      <c r="A100" s="424"/>
      <c r="B100" s="332"/>
      <c r="C100" s="134" t="s">
        <v>25</v>
      </c>
      <c r="D100" s="134"/>
      <c r="E100" s="134"/>
      <c r="F100" s="134"/>
      <c r="G100" s="134"/>
      <c r="H100" s="134"/>
      <c r="I100" s="134"/>
      <c r="J100" s="134"/>
      <c r="K100" s="134"/>
      <c r="L100" s="134"/>
      <c r="M100" s="134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  <c r="Y100" s="134"/>
      <c r="Z100" s="134">
        <f t="shared" ref="Z100:Z112" si="19">SUM(D100:Y100)</f>
        <v>0</v>
      </c>
    </row>
    <row r="101" spans="1:26" s="43" customFormat="1" ht="18" customHeight="1">
      <c r="A101" s="428">
        <v>2</v>
      </c>
      <c r="B101" s="331" t="s">
        <v>395</v>
      </c>
      <c r="C101" s="134" t="s">
        <v>24</v>
      </c>
      <c r="D101" s="134">
        <v>4350</v>
      </c>
      <c r="E101" s="134">
        <v>4350</v>
      </c>
      <c r="F101" s="134">
        <v>4350</v>
      </c>
      <c r="G101" s="134">
        <v>4350</v>
      </c>
      <c r="H101" s="134">
        <v>4350</v>
      </c>
      <c r="I101" s="134">
        <v>4350</v>
      </c>
      <c r="J101" s="134">
        <v>4350</v>
      </c>
      <c r="K101" s="134">
        <v>4350</v>
      </c>
      <c r="L101" s="134">
        <v>0</v>
      </c>
      <c r="M101" s="134">
        <v>4350</v>
      </c>
      <c r="N101" s="134">
        <v>0</v>
      </c>
      <c r="O101" s="134">
        <v>0</v>
      </c>
      <c r="P101" s="134">
        <v>4350</v>
      </c>
      <c r="Q101" s="134">
        <v>0</v>
      </c>
      <c r="R101" s="134">
        <v>3770</v>
      </c>
      <c r="S101" s="134">
        <v>560</v>
      </c>
      <c r="T101" s="134">
        <v>0</v>
      </c>
      <c r="U101" s="134">
        <v>0</v>
      </c>
      <c r="V101" s="134">
        <v>0</v>
      </c>
      <c r="W101" s="134">
        <v>0</v>
      </c>
      <c r="X101" s="134">
        <v>0</v>
      </c>
      <c r="Y101" s="134">
        <v>0</v>
      </c>
      <c r="Z101" s="134">
        <f t="shared" si="19"/>
        <v>47830</v>
      </c>
    </row>
    <row r="102" spans="1:26" s="43" customFormat="1" ht="18" customHeight="1">
      <c r="A102" s="424"/>
      <c r="B102" s="454"/>
      <c r="C102" s="134" t="s">
        <v>25</v>
      </c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  <c r="Y102" s="134"/>
      <c r="Z102" s="134">
        <f t="shared" si="19"/>
        <v>0</v>
      </c>
    </row>
    <row r="103" spans="1:26" s="43" customFormat="1" ht="18" customHeight="1">
      <c r="A103" s="428">
        <v>3</v>
      </c>
      <c r="B103" s="331" t="s">
        <v>396</v>
      </c>
      <c r="C103" s="134" t="s">
        <v>24</v>
      </c>
      <c r="D103" s="134">
        <v>3100</v>
      </c>
      <c r="E103" s="134">
        <v>3100</v>
      </c>
      <c r="F103" s="134">
        <v>3100</v>
      </c>
      <c r="G103" s="134">
        <v>3100</v>
      </c>
      <c r="H103" s="134">
        <v>3100</v>
      </c>
      <c r="I103" s="134">
        <v>3100</v>
      </c>
      <c r="J103" s="134">
        <v>3100</v>
      </c>
      <c r="K103" s="134">
        <v>3100</v>
      </c>
      <c r="L103" s="134">
        <v>0</v>
      </c>
      <c r="M103" s="134">
        <v>3100</v>
      </c>
      <c r="N103" s="134">
        <v>0</v>
      </c>
      <c r="O103" s="134">
        <v>0</v>
      </c>
      <c r="P103" s="134">
        <v>2750</v>
      </c>
      <c r="Q103" s="134">
        <v>350</v>
      </c>
      <c r="R103" s="134">
        <v>2550</v>
      </c>
      <c r="S103" s="134">
        <v>545</v>
      </c>
      <c r="T103" s="134">
        <v>5</v>
      </c>
      <c r="U103" s="134">
        <v>0</v>
      </c>
      <c r="V103" s="134">
        <v>0</v>
      </c>
      <c r="W103" s="134">
        <v>0</v>
      </c>
      <c r="X103" s="134">
        <v>0</v>
      </c>
      <c r="Y103" s="134">
        <v>0</v>
      </c>
      <c r="Z103" s="134">
        <f t="shared" si="19"/>
        <v>34100</v>
      </c>
    </row>
    <row r="104" spans="1:26" s="43" customFormat="1" ht="18" customHeight="1">
      <c r="A104" s="424"/>
      <c r="B104" s="454"/>
      <c r="C104" s="134" t="s">
        <v>25</v>
      </c>
      <c r="D104" s="134"/>
      <c r="E104" s="134"/>
      <c r="F104" s="134"/>
      <c r="G104" s="134"/>
      <c r="H104" s="134"/>
      <c r="I104" s="134"/>
      <c r="J104" s="134"/>
      <c r="K104" s="134"/>
      <c r="L104" s="134"/>
      <c r="M104" s="134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  <c r="Y104" s="134"/>
      <c r="Z104" s="134">
        <f t="shared" si="19"/>
        <v>0</v>
      </c>
    </row>
    <row r="105" spans="1:26" s="43" customFormat="1" ht="18" customHeight="1">
      <c r="A105" s="428">
        <v>4</v>
      </c>
      <c r="B105" s="331" t="s">
        <v>397</v>
      </c>
      <c r="C105" s="134" t="s">
        <v>24</v>
      </c>
      <c r="D105" s="134">
        <v>4800</v>
      </c>
      <c r="E105" s="134">
        <v>4800</v>
      </c>
      <c r="F105" s="134">
        <v>4800</v>
      </c>
      <c r="G105" s="134">
        <v>4800</v>
      </c>
      <c r="H105" s="134">
        <v>4800</v>
      </c>
      <c r="I105" s="134">
        <v>4800</v>
      </c>
      <c r="J105" s="134">
        <v>4800</v>
      </c>
      <c r="K105" s="134">
        <v>4800</v>
      </c>
      <c r="L105" s="134">
        <v>0</v>
      </c>
      <c r="M105" s="134">
        <v>4800</v>
      </c>
      <c r="N105" s="134">
        <v>0</v>
      </c>
      <c r="O105" s="134">
        <v>0</v>
      </c>
      <c r="P105" s="134">
        <v>4800</v>
      </c>
      <c r="Q105" s="134">
        <v>0</v>
      </c>
      <c r="R105" s="134">
        <v>3835</v>
      </c>
      <c r="S105" s="134">
        <v>940</v>
      </c>
      <c r="T105" s="134">
        <v>25</v>
      </c>
      <c r="U105" s="134">
        <v>0</v>
      </c>
      <c r="V105" s="134">
        <v>0</v>
      </c>
      <c r="W105" s="134">
        <v>0</v>
      </c>
      <c r="X105" s="134">
        <v>0</v>
      </c>
      <c r="Y105" s="134">
        <v>0</v>
      </c>
      <c r="Z105" s="134">
        <f t="shared" si="19"/>
        <v>52800</v>
      </c>
    </row>
    <row r="106" spans="1:26" s="43" customFormat="1" ht="18" customHeight="1">
      <c r="A106" s="424"/>
      <c r="B106" s="454"/>
      <c r="C106" s="134" t="s">
        <v>25</v>
      </c>
      <c r="D106" s="134"/>
      <c r="E106" s="134"/>
      <c r="F106" s="134"/>
      <c r="G106" s="134"/>
      <c r="H106" s="134"/>
      <c r="I106" s="134"/>
      <c r="J106" s="134"/>
      <c r="K106" s="134"/>
      <c r="L106" s="134"/>
      <c r="M106" s="134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  <c r="Y106" s="134"/>
      <c r="Z106" s="134">
        <f t="shared" si="19"/>
        <v>0</v>
      </c>
    </row>
    <row r="107" spans="1:26" s="43" customFormat="1" ht="18" customHeight="1">
      <c r="A107" s="428">
        <v>5</v>
      </c>
      <c r="B107" s="331" t="s">
        <v>398</v>
      </c>
      <c r="C107" s="134" t="s">
        <v>24</v>
      </c>
      <c r="D107" s="134">
        <v>2300</v>
      </c>
      <c r="E107" s="134">
        <v>2300</v>
      </c>
      <c r="F107" s="134">
        <v>2300</v>
      </c>
      <c r="G107" s="134">
        <v>2300</v>
      </c>
      <c r="H107" s="134">
        <v>2300</v>
      </c>
      <c r="I107" s="134">
        <v>2300</v>
      </c>
      <c r="J107" s="134">
        <v>2300</v>
      </c>
      <c r="K107" s="134">
        <v>2300</v>
      </c>
      <c r="L107" s="134">
        <v>0</v>
      </c>
      <c r="M107" s="134">
        <v>2300</v>
      </c>
      <c r="N107" s="134">
        <v>0</v>
      </c>
      <c r="O107" s="134">
        <v>0</v>
      </c>
      <c r="P107" s="134">
        <v>2300</v>
      </c>
      <c r="Q107" s="134">
        <v>0</v>
      </c>
      <c r="R107" s="134">
        <v>1500</v>
      </c>
      <c r="S107" s="134">
        <v>800</v>
      </c>
      <c r="T107" s="134">
        <v>0</v>
      </c>
      <c r="U107" s="134">
        <v>0</v>
      </c>
      <c r="V107" s="134">
        <v>0</v>
      </c>
      <c r="W107" s="134">
        <v>0</v>
      </c>
      <c r="X107" s="134">
        <v>0</v>
      </c>
      <c r="Y107" s="134">
        <v>0</v>
      </c>
      <c r="Z107" s="134">
        <f t="shared" si="19"/>
        <v>25300</v>
      </c>
    </row>
    <row r="108" spans="1:26" s="43" customFormat="1" ht="18" customHeight="1">
      <c r="A108" s="424"/>
      <c r="B108" s="454"/>
      <c r="C108" s="134" t="s">
        <v>25</v>
      </c>
      <c r="D108" s="134"/>
      <c r="E108" s="134"/>
      <c r="F108" s="134"/>
      <c r="G108" s="134"/>
      <c r="H108" s="134"/>
      <c r="I108" s="134"/>
      <c r="J108" s="134"/>
      <c r="K108" s="134"/>
      <c r="L108" s="134"/>
      <c r="M108" s="134"/>
      <c r="N108" s="134"/>
      <c r="O108" s="134"/>
      <c r="P108" s="134"/>
      <c r="Q108" s="134"/>
      <c r="R108" s="134"/>
      <c r="S108" s="134"/>
      <c r="T108" s="134"/>
      <c r="U108" s="134"/>
      <c r="V108" s="134"/>
      <c r="W108" s="134"/>
      <c r="X108" s="134"/>
      <c r="Y108" s="134"/>
      <c r="Z108" s="134">
        <f t="shared" si="19"/>
        <v>0</v>
      </c>
    </row>
    <row r="109" spans="1:26" s="43" customFormat="1" ht="18" customHeight="1">
      <c r="A109" s="428">
        <v>6</v>
      </c>
      <c r="B109" s="331" t="s">
        <v>399</v>
      </c>
      <c r="C109" s="134" t="s">
        <v>24</v>
      </c>
      <c r="D109" s="134">
        <v>3700</v>
      </c>
      <c r="E109" s="134">
        <v>3700</v>
      </c>
      <c r="F109" s="134">
        <v>3700</v>
      </c>
      <c r="G109" s="134">
        <v>3700</v>
      </c>
      <c r="H109" s="134">
        <v>3700</v>
      </c>
      <c r="I109" s="134">
        <v>3700</v>
      </c>
      <c r="J109" s="134">
        <v>3700</v>
      </c>
      <c r="K109" s="134">
        <v>3700</v>
      </c>
      <c r="L109" s="134">
        <v>0</v>
      </c>
      <c r="M109" s="134">
        <v>3700</v>
      </c>
      <c r="N109" s="134">
        <v>0</v>
      </c>
      <c r="O109" s="134">
        <v>0</v>
      </c>
      <c r="P109" s="134">
        <v>3700</v>
      </c>
      <c r="Q109" s="134">
        <v>0</v>
      </c>
      <c r="R109" s="134">
        <v>2790</v>
      </c>
      <c r="S109" s="134">
        <v>910</v>
      </c>
      <c r="T109" s="134">
        <v>0</v>
      </c>
      <c r="U109" s="134">
        <v>0</v>
      </c>
      <c r="V109" s="134">
        <v>0</v>
      </c>
      <c r="W109" s="134">
        <v>0</v>
      </c>
      <c r="X109" s="134">
        <v>0</v>
      </c>
      <c r="Y109" s="134">
        <v>0</v>
      </c>
      <c r="Z109" s="134">
        <f t="shared" si="19"/>
        <v>40700</v>
      </c>
    </row>
    <row r="110" spans="1:26" s="43" customFormat="1" ht="18" customHeight="1">
      <c r="A110" s="424"/>
      <c r="B110" s="454"/>
      <c r="C110" s="134" t="s">
        <v>25</v>
      </c>
      <c r="D110" s="134"/>
      <c r="E110" s="134"/>
      <c r="F110" s="134"/>
      <c r="G110" s="134"/>
      <c r="H110" s="134"/>
      <c r="I110" s="134"/>
      <c r="J110" s="134"/>
      <c r="K110" s="134"/>
      <c r="L110" s="134"/>
      <c r="M110" s="134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  <c r="Y110" s="134"/>
      <c r="Z110" s="134">
        <f t="shared" si="19"/>
        <v>0</v>
      </c>
    </row>
    <row r="111" spans="1:26" s="43" customFormat="1" ht="18" customHeight="1">
      <c r="A111" s="428">
        <v>7</v>
      </c>
      <c r="B111" s="331" t="s">
        <v>400</v>
      </c>
      <c r="C111" s="134" t="s">
        <v>24</v>
      </c>
      <c r="D111" s="134">
        <v>3565</v>
      </c>
      <c r="E111" s="134">
        <v>3565</v>
      </c>
      <c r="F111" s="134">
        <v>3565</v>
      </c>
      <c r="G111" s="134">
        <v>3565</v>
      </c>
      <c r="H111" s="134">
        <v>3565</v>
      </c>
      <c r="I111" s="134">
        <v>3565</v>
      </c>
      <c r="J111" s="134">
        <v>3565</v>
      </c>
      <c r="K111" s="134">
        <v>3565</v>
      </c>
      <c r="L111" s="134">
        <v>0</v>
      </c>
      <c r="M111" s="134">
        <v>3565</v>
      </c>
      <c r="N111" s="134">
        <v>0</v>
      </c>
      <c r="O111" s="134">
        <v>0</v>
      </c>
      <c r="P111" s="134">
        <v>3415</v>
      </c>
      <c r="Q111" s="134">
        <v>150</v>
      </c>
      <c r="R111" s="134">
        <v>3075</v>
      </c>
      <c r="S111" s="134">
        <v>490</v>
      </c>
      <c r="T111" s="134">
        <v>0</v>
      </c>
      <c r="U111" s="134">
        <v>0</v>
      </c>
      <c r="V111" s="134">
        <v>0</v>
      </c>
      <c r="W111" s="134">
        <v>0</v>
      </c>
      <c r="X111" s="134">
        <v>0</v>
      </c>
      <c r="Y111" s="134">
        <v>0</v>
      </c>
      <c r="Z111" s="134">
        <f t="shared" si="19"/>
        <v>39215</v>
      </c>
    </row>
    <row r="112" spans="1:26" s="43" customFormat="1" ht="18" customHeight="1">
      <c r="A112" s="424"/>
      <c r="B112" s="454"/>
      <c r="C112" s="134" t="s">
        <v>25</v>
      </c>
      <c r="D112" s="134"/>
      <c r="E112" s="134"/>
      <c r="F112" s="134"/>
      <c r="G112" s="134"/>
      <c r="H112" s="134"/>
      <c r="I112" s="134"/>
      <c r="J112" s="134"/>
      <c r="K112" s="134"/>
      <c r="L112" s="134"/>
      <c r="M112" s="134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  <c r="Y112" s="134"/>
      <c r="Z112" s="134">
        <f t="shared" si="19"/>
        <v>0</v>
      </c>
    </row>
    <row r="113" spans="1:26">
      <c r="A113" s="450" t="s">
        <v>35</v>
      </c>
      <c r="B113" s="451"/>
      <c r="C113" s="452"/>
      <c r="D113" s="134">
        <f>D99+D101+D103+D105+D107+D109+D111</f>
        <v>27615</v>
      </c>
      <c r="E113" s="134">
        <f t="shared" ref="E113:Z113" si="20">E99+E101+E103+E105+E107+E109+E111</f>
        <v>27615</v>
      </c>
      <c r="F113" s="134">
        <f t="shared" si="20"/>
        <v>27615</v>
      </c>
      <c r="G113" s="134">
        <f t="shared" si="20"/>
        <v>27615</v>
      </c>
      <c r="H113" s="134">
        <f t="shared" si="20"/>
        <v>27615</v>
      </c>
      <c r="I113" s="134">
        <f t="shared" si="20"/>
        <v>27615</v>
      </c>
      <c r="J113" s="134">
        <f t="shared" si="20"/>
        <v>27615</v>
      </c>
      <c r="K113" s="134">
        <f t="shared" si="20"/>
        <v>27615</v>
      </c>
      <c r="L113" s="134">
        <f t="shared" si="20"/>
        <v>2100</v>
      </c>
      <c r="M113" s="134">
        <f t="shared" si="20"/>
        <v>27615</v>
      </c>
      <c r="N113" s="134">
        <f t="shared" si="20"/>
        <v>0</v>
      </c>
      <c r="O113" s="134">
        <f t="shared" si="20"/>
        <v>0</v>
      </c>
      <c r="P113" s="134">
        <f t="shared" si="20"/>
        <v>25015</v>
      </c>
      <c r="Q113" s="134">
        <f t="shared" si="20"/>
        <v>560</v>
      </c>
      <c r="R113" s="134">
        <f t="shared" si="20"/>
        <v>21320</v>
      </c>
      <c r="S113" s="134">
        <f t="shared" si="20"/>
        <v>6220</v>
      </c>
      <c r="T113" s="134">
        <f t="shared" si="20"/>
        <v>55</v>
      </c>
      <c r="U113" s="134">
        <f t="shared" si="20"/>
        <v>0</v>
      </c>
      <c r="V113" s="134">
        <f t="shared" si="20"/>
        <v>0</v>
      </c>
      <c r="W113" s="134">
        <f t="shared" si="20"/>
        <v>0</v>
      </c>
      <c r="X113" s="134">
        <f t="shared" si="20"/>
        <v>0</v>
      </c>
      <c r="Y113" s="134">
        <f t="shared" si="20"/>
        <v>0</v>
      </c>
      <c r="Z113" s="134">
        <f t="shared" si="20"/>
        <v>303805</v>
      </c>
    </row>
    <row r="114" spans="1:26" s="43" customFormat="1">
      <c r="A114" s="450" t="s">
        <v>36</v>
      </c>
      <c r="B114" s="451"/>
      <c r="C114" s="452"/>
      <c r="D114" s="134">
        <f>D100+D102+D104+D106+D108+D110+D112</f>
        <v>0</v>
      </c>
      <c r="E114" s="134">
        <f t="shared" ref="E114:Z114" si="21">E100+E102+E104+E106+E108+E110+E112</f>
        <v>0</v>
      </c>
      <c r="F114" s="134">
        <f t="shared" si="21"/>
        <v>0</v>
      </c>
      <c r="G114" s="134">
        <f t="shared" si="21"/>
        <v>0</v>
      </c>
      <c r="H114" s="134">
        <f t="shared" si="21"/>
        <v>0</v>
      </c>
      <c r="I114" s="134">
        <f t="shared" si="21"/>
        <v>0</v>
      </c>
      <c r="J114" s="134">
        <f t="shared" si="21"/>
        <v>0</v>
      </c>
      <c r="K114" s="134">
        <f t="shared" si="21"/>
        <v>0</v>
      </c>
      <c r="L114" s="134">
        <f t="shared" si="21"/>
        <v>0</v>
      </c>
      <c r="M114" s="134">
        <f t="shared" si="21"/>
        <v>0</v>
      </c>
      <c r="N114" s="134">
        <f t="shared" si="21"/>
        <v>0</v>
      </c>
      <c r="O114" s="134">
        <f t="shared" si="21"/>
        <v>0</v>
      </c>
      <c r="P114" s="134">
        <f t="shared" si="21"/>
        <v>0</v>
      </c>
      <c r="Q114" s="134">
        <f t="shared" si="21"/>
        <v>0</v>
      </c>
      <c r="R114" s="134">
        <f t="shared" si="21"/>
        <v>0</v>
      </c>
      <c r="S114" s="134">
        <f t="shared" si="21"/>
        <v>0</v>
      </c>
      <c r="T114" s="134">
        <f t="shared" si="21"/>
        <v>0</v>
      </c>
      <c r="U114" s="134">
        <f t="shared" si="21"/>
        <v>0</v>
      </c>
      <c r="V114" s="134">
        <f t="shared" si="21"/>
        <v>0</v>
      </c>
      <c r="W114" s="134">
        <f t="shared" si="21"/>
        <v>0</v>
      </c>
      <c r="X114" s="134">
        <f t="shared" si="21"/>
        <v>0</v>
      </c>
      <c r="Y114" s="134">
        <f t="shared" si="21"/>
        <v>0</v>
      </c>
      <c r="Z114" s="134">
        <f t="shared" si="21"/>
        <v>0</v>
      </c>
    </row>
    <row r="115" spans="1:26" s="43" customFormat="1" ht="18" customHeight="1">
      <c r="A115" s="450" t="s">
        <v>308</v>
      </c>
      <c r="B115" s="451"/>
      <c r="C115" s="452"/>
      <c r="D115" s="134">
        <f>D113-D114</f>
        <v>27615</v>
      </c>
      <c r="E115" s="134">
        <f t="shared" ref="E115:Y115" si="22">E113-E114</f>
        <v>27615</v>
      </c>
      <c r="F115" s="134">
        <f t="shared" si="22"/>
        <v>27615</v>
      </c>
      <c r="G115" s="134">
        <f t="shared" si="22"/>
        <v>27615</v>
      </c>
      <c r="H115" s="134">
        <f t="shared" si="22"/>
        <v>27615</v>
      </c>
      <c r="I115" s="134">
        <f t="shared" si="22"/>
        <v>27615</v>
      </c>
      <c r="J115" s="134">
        <f t="shared" si="22"/>
        <v>27615</v>
      </c>
      <c r="K115" s="134">
        <f t="shared" si="22"/>
        <v>27615</v>
      </c>
      <c r="L115" s="134">
        <f t="shared" si="22"/>
        <v>2100</v>
      </c>
      <c r="M115" s="134">
        <f t="shared" si="22"/>
        <v>27615</v>
      </c>
      <c r="N115" s="134">
        <f t="shared" si="22"/>
        <v>0</v>
      </c>
      <c r="O115" s="134">
        <f t="shared" si="22"/>
        <v>0</v>
      </c>
      <c r="P115" s="134">
        <f t="shared" si="22"/>
        <v>25015</v>
      </c>
      <c r="Q115" s="134">
        <f t="shared" si="22"/>
        <v>560</v>
      </c>
      <c r="R115" s="134">
        <f t="shared" si="22"/>
        <v>21320</v>
      </c>
      <c r="S115" s="134">
        <f t="shared" si="22"/>
        <v>6220</v>
      </c>
      <c r="T115" s="134">
        <f t="shared" si="22"/>
        <v>55</v>
      </c>
      <c r="U115" s="134">
        <f t="shared" si="22"/>
        <v>0</v>
      </c>
      <c r="V115" s="134">
        <f t="shared" si="22"/>
        <v>0</v>
      </c>
      <c r="W115" s="134">
        <f t="shared" si="22"/>
        <v>0</v>
      </c>
      <c r="X115" s="134">
        <f t="shared" si="22"/>
        <v>0</v>
      </c>
      <c r="Y115" s="134">
        <f t="shared" si="22"/>
        <v>0</v>
      </c>
      <c r="Z115" s="134">
        <f t="shared" ref="Z115" si="23">SUM(D115:Y115)</f>
        <v>303805</v>
      </c>
    </row>
    <row r="116" spans="1:26">
      <c r="D116" s="233"/>
      <c r="E116" s="233"/>
      <c r="F116" s="233"/>
      <c r="G116" s="233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</row>
    <row r="118" spans="1:26"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</sheetData>
  <mergeCells count="106">
    <mergeCell ref="A12:C12"/>
    <mergeCell ref="A13:C13"/>
    <mergeCell ref="B27:B28"/>
    <mergeCell ref="A7:A8"/>
    <mergeCell ref="B7:B8"/>
    <mergeCell ref="A9:A10"/>
    <mergeCell ref="B9:B10"/>
    <mergeCell ref="A3:A4"/>
    <mergeCell ref="B3:B4"/>
    <mergeCell ref="A5:A6"/>
    <mergeCell ref="B5:B6"/>
    <mergeCell ref="A11:C11"/>
    <mergeCell ref="A35:A36"/>
    <mergeCell ref="B35:B36"/>
    <mergeCell ref="A37:A38"/>
    <mergeCell ref="B37:B38"/>
    <mergeCell ref="A27:A28"/>
    <mergeCell ref="A17:A18"/>
    <mergeCell ref="B17:B18"/>
    <mergeCell ref="A19:A20"/>
    <mergeCell ref="B19:B20"/>
    <mergeCell ref="A21:A22"/>
    <mergeCell ref="B21:B22"/>
    <mergeCell ref="A47:C47"/>
    <mergeCell ref="A48:C48"/>
    <mergeCell ref="A49:C49"/>
    <mergeCell ref="A51:F51"/>
    <mergeCell ref="A45:A46"/>
    <mergeCell ref="B45:B46"/>
    <mergeCell ref="A41:A42"/>
    <mergeCell ref="B41:B42"/>
    <mergeCell ref="A43:A44"/>
    <mergeCell ref="B43:B44"/>
    <mergeCell ref="A53:A54"/>
    <mergeCell ref="B53:B54"/>
    <mergeCell ref="B83:B84"/>
    <mergeCell ref="B85:B86"/>
    <mergeCell ref="A55:A56"/>
    <mergeCell ref="A57:A58"/>
    <mergeCell ref="A59:A60"/>
    <mergeCell ref="A61:A62"/>
    <mergeCell ref="B55:B56"/>
    <mergeCell ref="B57:B58"/>
    <mergeCell ref="B59:B60"/>
    <mergeCell ref="B61:B62"/>
    <mergeCell ref="B73:B74"/>
    <mergeCell ref="B75:B76"/>
    <mergeCell ref="A69:A70"/>
    <mergeCell ref="B69:B70"/>
    <mergeCell ref="A63:A64"/>
    <mergeCell ref="A65:A66"/>
    <mergeCell ref="A67:A68"/>
    <mergeCell ref="B63:B64"/>
    <mergeCell ref="B65:B66"/>
    <mergeCell ref="B67:B68"/>
    <mergeCell ref="B71:B72"/>
    <mergeCell ref="A83:A84"/>
    <mergeCell ref="A81:A82"/>
    <mergeCell ref="B77:B78"/>
    <mergeCell ref="B79:B80"/>
    <mergeCell ref="B81:B82"/>
    <mergeCell ref="A71:A72"/>
    <mergeCell ref="A77:A78"/>
    <mergeCell ref="A79:A80"/>
    <mergeCell ref="A73:A74"/>
    <mergeCell ref="A75:A76"/>
    <mergeCell ref="B103:B104"/>
    <mergeCell ref="A97:F97"/>
    <mergeCell ref="A99:A100"/>
    <mergeCell ref="B99:B100"/>
    <mergeCell ref="A101:A102"/>
    <mergeCell ref="B101:B102"/>
    <mergeCell ref="A91:A92"/>
    <mergeCell ref="A85:A86"/>
    <mergeCell ref="A87:A88"/>
    <mergeCell ref="A89:A90"/>
    <mergeCell ref="A93:C93"/>
    <mergeCell ref="B91:B92"/>
    <mergeCell ref="A94:C94"/>
    <mergeCell ref="A95:C95"/>
    <mergeCell ref="B87:B88"/>
    <mergeCell ref="B89:B90"/>
    <mergeCell ref="A114:C114"/>
    <mergeCell ref="A115:C115"/>
    <mergeCell ref="A1:F1"/>
    <mergeCell ref="A15:F15"/>
    <mergeCell ref="A29:C29"/>
    <mergeCell ref="A30:C30"/>
    <mergeCell ref="A31:C31"/>
    <mergeCell ref="A25:A26"/>
    <mergeCell ref="B25:B26"/>
    <mergeCell ref="A23:A24"/>
    <mergeCell ref="B23:B24"/>
    <mergeCell ref="A33:F33"/>
    <mergeCell ref="A39:A40"/>
    <mergeCell ref="B39:B40"/>
    <mergeCell ref="A113:C113"/>
    <mergeCell ref="A111:A112"/>
    <mergeCell ref="B111:B112"/>
    <mergeCell ref="A105:A106"/>
    <mergeCell ref="B105:B106"/>
    <mergeCell ref="A107:A108"/>
    <mergeCell ref="B107:B108"/>
    <mergeCell ref="A109:A110"/>
    <mergeCell ref="B109:B110"/>
    <mergeCell ref="A103:A104"/>
  </mergeCells>
  <pageMargins left="0.2" right="0.2" top="0.25" bottom="0.2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rgb="FF00B0F0"/>
  </sheetPr>
  <dimension ref="A1:T112"/>
  <sheetViews>
    <sheetView topLeftCell="A88" zoomScale="145" zoomScaleNormal="145" workbookViewId="0">
      <selection activeCell="A67" sqref="A67:A106"/>
    </sheetView>
  </sheetViews>
  <sheetFormatPr defaultColWidth="9.140625" defaultRowHeight="15.75"/>
  <cols>
    <col min="1" max="1" width="3.5703125" style="1" customWidth="1"/>
    <col min="2" max="2" width="10.5703125" style="1" bestFit="1" customWidth="1"/>
    <col min="3" max="3" width="7.28515625" style="1" bestFit="1" customWidth="1"/>
    <col min="4" max="4" width="8.140625" style="1" bestFit="1" customWidth="1"/>
    <col min="5" max="7" width="7.42578125" style="1" bestFit="1" customWidth="1"/>
    <col min="8" max="8" width="7" style="1" bestFit="1" customWidth="1"/>
    <col min="9" max="10" width="6.85546875" style="1" bestFit="1" customWidth="1"/>
    <col min="11" max="11" width="7" style="1" bestFit="1" customWidth="1"/>
    <col min="12" max="12" width="7.140625" style="1" bestFit="1" customWidth="1"/>
    <col min="13" max="15" width="6.85546875" style="1" bestFit="1" customWidth="1"/>
    <col min="16" max="16" width="6.7109375" style="1" bestFit="1" customWidth="1"/>
    <col min="17" max="17" width="6.140625" style="1" customWidth="1"/>
    <col min="18" max="18" width="4.85546875" style="1" customWidth="1"/>
    <col min="19" max="19" width="3.5703125" style="1" customWidth="1"/>
    <col min="20" max="20" width="9.28515625" style="1" customWidth="1"/>
    <col min="21" max="16384" width="9.140625" style="1"/>
  </cols>
  <sheetData>
    <row r="1" spans="1:20" ht="19.5">
      <c r="A1" s="459" t="s">
        <v>401</v>
      </c>
      <c r="B1" s="459"/>
      <c r="C1" s="459"/>
      <c r="D1" s="459"/>
      <c r="E1" s="459"/>
      <c r="F1" s="459"/>
      <c r="G1" s="459"/>
      <c r="H1" s="459"/>
      <c r="I1" s="459"/>
      <c r="J1" s="459"/>
      <c r="K1" s="459"/>
      <c r="L1" s="459"/>
      <c r="M1" s="459"/>
      <c r="N1" s="459"/>
      <c r="O1" s="459"/>
      <c r="P1" s="459"/>
      <c r="Q1" s="459"/>
      <c r="R1" s="459"/>
      <c r="S1" s="459"/>
      <c r="T1" s="459"/>
    </row>
    <row r="2" spans="1:20">
      <c r="A2" s="137" t="s">
        <v>15</v>
      </c>
      <c r="B2" s="137" t="s">
        <v>16</v>
      </c>
      <c r="C2" s="137"/>
      <c r="D2" s="137" t="s">
        <v>26</v>
      </c>
      <c r="E2" s="137" t="s">
        <v>27</v>
      </c>
      <c r="F2" s="137" t="s">
        <v>31</v>
      </c>
      <c r="G2" s="137" t="s">
        <v>48</v>
      </c>
      <c r="H2" s="137" t="s">
        <v>49</v>
      </c>
      <c r="I2" s="137" t="s">
        <v>76</v>
      </c>
      <c r="J2" s="137" t="s">
        <v>51</v>
      </c>
      <c r="K2" s="137" t="s">
        <v>95</v>
      </c>
      <c r="L2" s="137" t="s">
        <v>109</v>
      </c>
      <c r="M2" s="137" t="s">
        <v>110</v>
      </c>
      <c r="N2" s="137" t="s">
        <v>97</v>
      </c>
      <c r="O2" s="137" t="s">
        <v>111</v>
      </c>
      <c r="P2" s="137" t="s">
        <v>99</v>
      </c>
      <c r="Q2" s="137" t="s">
        <v>100</v>
      </c>
      <c r="R2" s="137" t="s">
        <v>112</v>
      </c>
      <c r="S2" s="137" t="s">
        <v>101</v>
      </c>
      <c r="T2" s="137" t="s">
        <v>34</v>
      </c>
    </row>
    <row r="3" spans="1:20">
      <c r="A3" s="458">
        <v>1</v>
      </c>
      <c r="B3" s="460" t="s">
        <v>402</v>
      </c>
      <c r="C3" s="2" t="s">
        <v>24</v>
      </c>
      <c r="D3" s="2">
        <v>55600</v>
      </c>
      <c r="E3" s="2">
        <v>55600</v>
      </c>
      <c r="F3" s="2">
        <v>55600</v>
      </c>
      <c r="G3" s="2">
        <v>51300</v>
      </c>
      <c r="H3" s="2">
        <v>3700</v>
      </c>
      <c r="I3" s="2">
        <v>500</v>
      </c>
      <c r="J3" s="2">
        <v>100</v>
      </c>
      <c r="K3" s="2">
        <v>14000</v>
      </c>
      <c r="L3" s="2">
        <v>12500</v>
      </c>
      <c r="M3" s="2">
        <v>14000</v>
      </c>
      <c r="N3" s="2">
        <v>1500</v>
      </c>
      <c r="O3" s="2">
        <v>18000</v>
      </c>
      <c r="P3" s="2">
        <v>0</v>
      </c>
      <c r="Q3" s="2">
        <v>0</v>
      </c>
      <c r="R3" s="2">
        <v>0</v>
      </c>
      <c r="S3" s="2">
        <v>0</v>
      </c>
      <c r="T3" s="2">
        <f>SUM(D3:S3)</f>
        <v>282400</v>
      </c>
    </row>
    <row r="4" spans="1:20">
      <c r="A4" s="458"/>
      <c r="B4" s="460"/>
      <c r="C4" s="2" t="s">
        <v>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>
        <f t="shared" ref="T4:T6" si="0">SUM(D4:S4)</f>
        <v>0</v>
      </c>
    </row>
    <row r="5" spans="1:20">
      <c r="A5" s="458">
        <v>2</v>
      </c>
      <c r="B5" s="460" t="s">
        <v>57</v>
      </c>
      <c r="C5" s="2" t="s">
        <v>24</v>
      </c>
      <c r="D5" s="2">
        <v>4142</v>
      </c>
      <c r="E5" s="2">
        <v>4142</v>
      </c>
      <c r="F5" s="2">
        <v>4142</v>
      </c>
      <c r="G5" s="2">
        <v>3000</v>
      </c>
      <c r="H5" s="2">
        <v>710</v>
      </c>
      <c r="I5" s="2">
        <v>422</v>
      </c>
      <c r="J5" s="2">
        <v>10</v>
      </c>
      <c r="K5" s="2">
        <v>1675</v>
      </c>
      <c r="L5" s="2">
        <v>1475</v>
      </c>
      <c r="M5" s="2">
        <v>1675</v>
      </c>
      <c r="N5" s="2">
        <v>200</v>
      </c>
      <c r="O5" s="2">
        <v>1472</v>
      </c>
      <c r="P5" s="2">
        <v>0</v>
      </c>
      <c r="Q5" s="2">
        <v>0</v>
      </c>
      <c r="R5" s="2">
        <v>0</v>
      </c>
      <c r="S5" s="2">
        <v>0</v>
      </c>
      <c r="T5" s="2">
        <f t="shared" si="0"/>
        <v>23065</v>
      </c>
    </row>
    <row r="6" spans="1:20">
      <c r="A6" s="458"/>
      <c r="B6" s="460"/>
      <c r="C6" s="2" t="s">
        <v>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>
        <f t="shared" si="0"/>
        <v>0</v>
      </c>
    </row>
    <row r="7" spans="1:20">
      <c r="A7" s="442" t="s">
        <v>35</v>
      </c>
      <c r="B7" s="442"/>
      <c r="C7" s="442"/>
      <c r="D7" s="2">
        <f>D3+D5</f>
        <v>59742</v>
      </c>
      <c r="E7" s="2">
        <f t="shared" ref="E7:T7" si="1">E3+E5</f>
        <v>59742</v>
      </c>
      <c r="F7" s="2">
        <f t="shared" si="1"/>
        <v>59742</v>
      </c>
      <c r="G7" s="2">
        <f t="shared" si="1"/>
        <v>54300</v>
      </c>
      <c r="H7" s="2">
        <f t="shared" si="1"/>
        <v>4410</v>
      </c>
      <c r="I7" s="2">
        <f t="shared" si="1"/>
        <v>922</v>
      </c>
      <c r="J7" s="2">
        <f t="shared" si="1"/>
        <v>110</v>
      </c>
      <c r="K7" s="2">
        <f t="shared" si="1"/>
        <v>15675</v>
      </c>
      <c r="L7" s="2">
        <f t="shared" si="1"/>
        <v>13975</v>
      </c>
      <c r="M7" s="2">
        <f t="shared" si="1"/>
        <v>15675</v>
      </c>
      <c r="N7" s="2">
        <f t="shared" si="1"/>
        <v>1700</v>
      </c>
      <c r="O7" s="2">
        <f t="shared" si="1"/>
        <v>19472</v>
      </c>
      <c r="P7" s="2">
        <f t="shared" si="1"/>
        <v>0</v>
      </c>
      <c r="Q7" s="2">
        <f t="shared" si="1"/>
        <v>0</v>
      </c>
      <c r="R7" s="2">
        <f t="shared" si="1"/>
        <v>0</v>
      </c>
      <c r="S7" s="2">
        <f t="shared" si="1"/>
        <v>0</v>
      </c>
      <c r="T7" s="2">
        <f t="shared" si="1"/>
        <v>305465</v>
      </c>
    </row>
    <row r="8" spans="1:20">
      <c r="A8" s="442" t="s">
        <v>36</v>
      </c>
      <c r="B8" s="442"/>
      <c r="C8" s="442"/>
      <c r="D8" s="2">
        <f>D4+D6</f>
        <v>0</v>
      </c>
      <c r="E8" s="2">
        <f t="shared" ref="E8:T8" si="2">E4+E6</f>
        <v>0</v>
      </c>
      <c r="F8" s="2">
        <f t="shared" si="2"/>
        <v>0</v>
      </c>
      <c r="G8" s="2">
        <f t="shared" si="2"/>
        <v>0</v>
      </c>
      <c r="H8" s="2">
        <f t="shared" si="2"/>
        <v>0</v>
      </c>
      <c r="I8" s="2">
        <f t="shared" si="2"/>
        <v>0</v>
      </c>
      <c r="J8" s="2">
        <f t="shared" si="2"/>
        <v>0</v>
      </c>
      <c r="K8" s="2">
        <f t="shared" si="2"/>
        <v>0</v>
      </c>
      <c r="L8" s="2">
        <f t="shared" si="2"/>
        <v>0</v>
      </c>
      <c r="M8" s="2">
        <f t="shared" si="2"/>
        <v>0</v>
      </c>
      <c r="N8" s="2">
        <f t="shared" si="2"/>
        <v>0</v>
      </c>
      <c r="O8" s="2">
        <f t="shared" si="2"/>
        <v>0</v>
      </c>
      <c r="P8" s="2">
        <f t="shared" si="2"/>
        <v>0</v>
      </c>
      <c r="Q8" s="2">
        <f t="shared" si="2"/>
        <v>0</v>
      </c>
      <c r="R8" s="2">
        <f t="shared" si="2"/>
        <v>0</v>
      </c>
      <c r="S8" s="2">
        <f t="shared" si="2"/>
        <v>0</v>
      </c>
      <c r="T8" s="2">
        <f t="shared" si="2"/>
        <v>0</v>
      </c>
    </row>
    <row r="9" spans="1:20">
      <c r="A9" s="442" t="s">
        <v>37</v>
      </c>
      <c r="B9" s="442"/>
      <c r="C9" s="442"/>
      <c r="D9" s="2">
        <f>D7-D8</f>
        <v>59742</v>
      </c>
      <c r="E9" s="2">
        <f t="shared" ref="E9:T9" si="3">E7-E8</f>
        <v>59742</v>
      </c>
      <c r="F9" s="2">
        <f t="shared" si="3"/>
        <v>59742</v>
      </c>
      <c r="G9" s="2">
        <f t="shared" si="3"/>
        <v>54300</v>
      </c>
      <c r="H9" s="2">
        <f t="shared" si="3"/>
        <v>4410</v>
      </c>
      <c r="I9" s="2">
        <f t="shared" si="3"/>
        <v>922</v>
      </c>
      <c r="J9" s="2">
        <f t="shared" si="3"/>
        <v>110</v>
      </c>
      <c r="K9" s="2">
        <f t="shared" si="3"/>
        <v>15675</v>
      </c>
      <c r="L9" s="2">
        <f t="shared" si="3"/>
        <v>13975</v>
      </c>
      <c r="M9" s="2">
        <f t="shared" si="3"/>
        <v>15675</v>
      </c>
      <c r="N9" s="2">
        <f t="shared" si="3"/>
        <v>1700</v>
      </c>
      <c r="O9" s="2">
        <f t="shared" si="3"/>
        <v>19472</v>
      </c>
      <c r="P9" s="2">
        <f t="shared" si="3"/>
        <v>0</v>
      </c>
      <c r="Q9" s="2">
        <f t="shared" si="3"/>
        <v>0</v>
      </c>
      <c r="R9" s="2">
        <f t="shared" si="3"/>
        <v>0</v>
      </c>
      <c r="S9" s="2">
        <f t="shared" si="3"/>
        <v>0</v>
      </c>
      <c r="T9" s="2">
        <f t="shared" si="3"/>
        <v>305465</v>
      </c>
    </row>
    <row r="11" spans="1:20" ht="19.5">
      <c r="A11" s="459" t="s">
        <v>403</v>
      </c>
      <c r="B11" s="459"/>
      <c r="C11" s="459"/>
      <c r="D11" s="459"/>
      <c r="E11" s="459"/>
      <c r="F11" s="459"/>
      <c r="G11" s="459"/>
      <c r="H11" s="459"/>
      <c r="I11" s="459"/>
      <c r="J11" s="459"/>
      <c r="K11" s="459"/>
      <c r="L11" s="459"/>
      <c r="M11" s="459"/>
      <c r="N11" s="459"/>
      <c r="O11" s="459"/>
      <c r="P11" s="459"/>
      <c r="Q11" s="459"/>
      <c r="R11" s="459"/>
      <c r="S11" s="459"/>
      <c r="T11" s="459"/>
    </row>
    <row r="12" spans="1:20">
      <c r="A12" s="137" t="s">
        <v>15</v>
      </c>
      <c r="B12" s="137" t="s">
        <v>16</v>
      </c>
      <c r="C12" s="137"/>
      <c r="D12" s="137" t="s">
        <v>26</v>
      </c>
      <c r="E12" s="137" t="s">
        <v>27</v>
      </c>
      <c r="F12" s="137" t="s">
        <v>31</v>
      </c>
      <c r="G12" s="137" t="s">
        <v>48</v>
      </c>
      <c r="H12" s="137" t="s">
        <v>49</v>
      </c>
      <c r="I12" s="137" t="s">
        <v>76</v>
      </c>
      <c r="J12" s="137" t="s">
        <v>51</v>
      </c>
      <c r="K12" s="137" t="s">
        <v>95</v>
      </c>
      <c r="L12" s="137" t="s">
        <v>109</v>
      </c>
      <c r="M12" s="137" t="s">
        <v>110</v>
      </c>
      <c r="N12" s="137" t="s">
        <v>97</v>
      </c>
      <c r="O12" s="137" t="s">
        <v>111</v>
      </c>
      <c r="P12" s="137" t="s">
        <v>99</v>
      </c>
      <c r="Q12" s="137" t="s">
        <v>100</v>
      </c>
      <c r="R12" s="137" t="s">
        <v>112</v>
      </c>
      <c r="S12" s="137" t="s">
        <v>101</v>
      </c>
      <c r="T12" s="137" t="s">
        <v>34</v>
      </c>
    </row>
    <row r="13" spans="1:20">
      <c r="A13" s="458">
        <v>1</v>
      </c>
      <c r="B13" s="460" t="s">
        <v>404</v>
      </c>
      <c r="C13" s="2" t="s">
        <v>24</v>
      </c>
      <c r="D13" s="2">
        <v>2800</v>
      </c>
      <c r="E13" s="2">
        <v>2800</v>
      </c>
      <c r="F13" s="2">
        <v>2800</v>
      </c>
      <c r="G13" s="2">
        <v>2500</v>
      </c>
      <c r="H13" s="2">
        <v>250</v>
      </c>
      <c r="I13" s="2">
        <v>30</v>
      </c>
      <c r="J13" s="2">
        <v>20</v>
      </c>
      <c r="K13" s="2">
        <v>650</v>
      </c>
      <c r="L13" s="2">
        <v>650</v>
      </c>
      <c r="M13" s="2">
        <v>650</v>
      </c>
      <c r="N13" s="2">
        <v>150</v>
      </c>
      <c r="O13" s="2">
        <v>1500</v>
      </c>
      <c r="P13" s="2">
        <v>0</v>
      </c>
      <c r="Q13" s="2">
        <v>0</v>
      </c>
      <c r="R13" s="2">
        <v>0</v>
      </c>
      <c r="S13" s="2">
        <v>0</v>
      </c>
      <c r="T13" s="2">
        <f>SUM(D13:S13)</f>
        <v>14800</v>
      </c>
    </row>
    <row r="14" spans="1:20">
      <c r="A14" s="458"/>
      <c r="B14" s="460"/>
      <c r="C14" s="2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>
        <f t="shared" ref="T14:T30" si="4">SUM(D14:S14)</f>
        <v>0</v>
      </c>
    </row>
    <row r="15" spans="1:20">
      <c r="A15" s="458">
        <v>2</v>
      </c>
      <c r="B15" s="460" t="s">
        <v>405</v>
      </c>
      <c r="C15" s="2" t="s">
        <v>24</v>
      </c>
      <c r="D15" s="2">
        <v>4600</v>
      </c>
      <c r="E15" s="2">
        <v>4600</v>
      </c>
      <c r="F15" s="2">
        <v>4600</v>
      </c>
      <c r="G15" s="2">
        <v>3600</v>
      </c>
      <c r="H15" s="2">
        <v>750</v>
      </c>
      <c r="I15" s="2">
        <v>5</v>
      </c>
      <c r="J15" s="2">
        <v>250</v>
      </c>
      <c r="K15" s="2">
        <v>1400</v>
      </c>
      <c r="L15" s="2">
        <v>1200</v>
      </c>
      <c r="M15" s="2">
        <v>1400</v>
      </c>
      <c r="N15" s="2">
        <v>300</v>
      </c>
      <c r="O15" s="2">
        <v>2700</v>
      </c>
      <c r="P15" s="2">
        <v>0</v>
      </c>
      <c r="Q15" s="2">
        <v>0</v>
      </c>
      <c r="R15" s="2">
        <v>0</v>
      </c>
      <c r="S15" s="2">
        <v>0</v>
      </c>
      <c r="T15" s="2">
        <f t="shared" si="4"/>
        <v>25405</v>
      </c>
    </row>
    <row r="16" spans="1:20">
      <c r="A16" s="458"/>
      <c r="B16" s="460"/>
      <c r="C16" s="2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>
        <f t="shared" si="4"/>
        <v>0</v>
      </c>
    </row>
    <row r="17" spans="1:20">
      <c r="A17" s="458">
        <v>3</v>
      </c>
      <c r="B17" s="460" t="s">
        <v>406</v>
      </c>
      <c r="C17" s="2" t="s">
        <v>24</v>
      </c>
      <c r="D17" s="2">
        <v>8750</v>
      </c>
      <c r="E17" s="2">
        <v>8750</v>
      </c>
      <c r="F17" s="2">
        <v>8750</v>
      </c>
      <c r="G17" s="2">
        <v>6500</v>
      </c>
      <c r="H17" s="2">
        <v>2500</v>
      </c>
      <c r="I17" s="2">
        <v>5</v>
      </c>
      <c r="J17" s="2">
        <v>100</v>
      </c>
      <c r="K17" s="2">
        <v>2500</v>
      </c>
      <c r="L17" s="2">
        <v>2200</v>
      </c>
      <c r="M17" s="2">
        <v>2500</v>
      </c>
      <c r="N17" s="2">
        <v>300</v>
      </c>
      <c r="O17" s="2">
        <v>4500</v>
      </c>
      <c r="P17" s="2">
        <v>0</v>
      </c>
      <c r="Q17" s="2">
        <v>0</v>
      </c>
      <c r="R17" s="2">
        <v>0</v>
      </c>
      <c r="S17" s="2">
        <v>0</v>
      </c>
      <c r="T17" s="2">
        <f t="shared" si="4"/>
        <v>47355</v>
      </c>
    </row>
    <row r="18" spans="1:20">
      <c r="A18" s="458"/>
      <c r="B18" s="460"/>
      <c r="C18" s="2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>
        <f t="shared" si="4"/>
        <v>0</v>
      </c>
    </row>
    <row r="19" spans="1:20">
      <c r="A19" s="458">
        <v>4</v>
      </c>
      <c r="B19" s="460" t="s">
        <v>407</v>
      </c>
      <c r="C19" s="2" t="s">
        <v>24</v>
      </c>
      <c r="D19" s="2">
        <v>8100</v>
      </c>
      <c r="E19" s="2">
        <v>8100</v>
      </c>
      <c r="F19" s="2">
        <v>8100</v>
      </c>
      <c r="G19" s="2">
        <v>5600</v>
      </c>
      <c r="H19" s="2">
        <v>1800</v>
      </c>
      <c r="I19" s="2">
        <v>300</v>
      </c>
      <c r="J19" s="2">
        <v>400</v>
      </c>
      <c r="K19" s="2">
        <v>3300</v>
      </c>
      <c r="L19" s="2">
        <v>3300</v>
      </c>
      <c r="M19" s="2">
        <v>3300</v>
      </c>
      <c r="N19" s="2">
        <v>2800</v>
      </c>
      <c r="O19" s="2">
        <v>2800</v>
      </c>
      <c r="P19" s="2">
        <v>0</v>
      </c>
      <c r="Q19" s="2">
        <v>0</v>
      </c>
      <c r="R19" s="2">
        <v>0</v>
      </c>
      <c r="S19" s="2">
        <v>0</v>
      </c>
      <c r="T19" s="2">
        <f t="shared" si="4"/>
        <v>47900</v>
      </c>
    </row>
    <row r="20" spans="1:20">
      <c r="A20" s="458"/>
      <c r="B20" s="460"/>
      <c r="C20" s="2" t="s">
        <v>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>
        <f t="shared" si="4"/>
        <v>0</v>
      </c>
    </row>
    <row r="21" spans="1:20">
      <c r="A21" s="458">
        <v>5</v>
      </c>
      <c r="B21" s="460" t="s">
        <v>408</v>
      </c>
      <c r="C21" s="2" t="s">
        <v>24</v>
      </c>
      <c r="D21" s="2">
        <v>8500</v>
      </c>
      <c r="E21" s="2">
        <v>8500</v>
      </c>
      <c r="F21" s="2">
        <v>8500</v>
      </c>
      <c r="G21" s="2">
        <v>6700</v>
      </c>
      <c r="H21" s="2">
        <v>1500</v>
      </c>
      <c r="I21" s="2">
        <v>200</v>
      </c>
      <c r="J21" s="2">
        <v>200</v>
      </c>
      <c r="K21" s="2">
        <v>1500</v>
      </c>
      <c r="L21" s="2">
        <v>1500</v>
      </c>
      <c r="M21" s="2">
        <v>1500</v>
      </c>
      <c r="N21" s="2">
        <v>1500</v>
      </c>
      <c r="O21" s="2">
        <v>4500</v>
      </c>
      <c r="P21" s="2">
        <v>0</v>
      </c>
      <c r="Q21" s="2">
        <v>0</v>
      </c>
      <c r="R21" s="2">
        <v>0</v>
      </c>
      <c r="S21" s="2">
        <v>0</v>
      </c>
      <c r="T21" s="2">
        <f t="shared" si="4"/>
        <v>44600</v>
      </c>
    </row>
    <row r="22" spans="1:20">
      <c r="A22" s="458"/>
      <c r="B22" s="460"/>
      <c r="C22" s="2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>
        <f t="shared" si="4"/>
        <v>0</v>
      </c>
    </row>
    <row r="23" spans="1:20">
      <c r="A23" s="458">
        <v>6</v>
      </c>
      <c r="B23" s="460" t="s">
        <v>409</v>
      </c>
      <c r="C23" s="2" t="s">
        <v>24</v>
      </c>
      <c r="D23" s="2">
        <v>9700</v>
      </c>
      <c r="E23" s="2">
        <v>9700</v>
      </c>
      <c r="F23" s="2">
        <v>9700</v>
      </c>
      <c r="G23" s="2">
        <v>7400</v>
      </c>
      <c r="H23" s="2">
        <v>2000</v>
      </c>
      <c r="I23" s="2">
        <v>50</v>
      </c>
      <c r="J23" s="2">
        <v>350</v>
      </c>
      <c r="K23" s="2">
        <v>3500</v>
      </c>
      <c r="L23" s="2">
        <v>3500</v>
      </c>
      <c r="M23" s="2">
        <v>3500</v>
      </c>
      <c r="N23" s="2">
        <v>500</v>
      </c>
      <c r="O23" s="2">
        <v>4400</v>
      </c>
      <c r="P23" s="2">
        <v>0</v>
      </c>
      <c r="Q23" s="2">
        <v>0</v>
      </c>
      <c r="R23" s="2">
        <v>0</v>
      </c>
      <c r="S23" s="2">
        <v>0</v>
      </c>
      <c r="T23" s="2">
        <f t="shared" si="4"/>
        <v>54300</v>
      </c>
    </row>
    <row r="24" spans="1:20">
      <c r="A24" s="458"/>
      <c r="B24" s="460"/>
      <c r="C24" s="2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>
        <f t="shared" si="4"/>
        <v>0</v>
      </c>
    </row>
    <row r="25" spans="1:20">
      <c r="A25" s="458">
        <v>7</v>
      </c>
      <c r="B25" s="460" t="s">
        <v>410</v>
      </c>
      <c r="C25" s="2" t="s">
        <v>24</v>
      </c>
      <c r="D25" s="2">
        <v>8600</v>
      </c>
      <c r="E25" s="2">
        <v>8600</v>
      </c>
      <c r="F25" s="2">
        <v>8600</v>
      </c>
      <c r="G25" s="2">
        <v>7145</v>
      </c>
      <c r="H25" s="2">
        <v>1100</v>
      </c>
      <c r="I25" s="2">
        <v>5</v>
      </c>
      <c r="J25" s="2">
        <v>350</v>
      </c>
      <c r="K25" s="2">
        <v>3900</v>
      </c>
      <c r="L25" s="2">
        <v>3650</v>
      </c>
      <c r="M25" s="2">
        <v>3900</v>
      </c>
      <c r="N25" s="2">
        <v>250</v>
      </c>
      <c r="O25" s="2">
        <v>3200</v>
      </c>
      <c r="P25" s="2">
        <v>0</v>
      </c>
      <c r="Q25" s="2">
        <v>0</v>
      </c>
      <c r="R25" s="2">
        <v>0</v>
      </c>
      <c r="S25" s="2">
        <v>0</v>
      </c>
      <c r="T25" s="2">
        <f t="shared" si="4"/>
        <v>49300</v>
      </c>
    </row>
    <row r="26" spans="1:20">
      <c r="A26" s="458"/>
      <c r="B26" s="460"/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>
        <f t="shared" si="4"/>
        <v>0</v>
      </c>
    </row>
    <row r="27" spans="1:20">
      <c r="A27" s="458">
        <v>8</v>
      </c>
      <c r="B27" s="460" t="s">
        <v>411</v>
      </c>
      <c r="C27" s="2" t="s">
        <v>24</v>
      </c>
      <c r="D27" s="2">
        <v>6500</v>
      </c>
      <c r="E27" s="2">
        <v>6500</v>
      </c>
      <c r="F27" s="2">
        <v>6500</v>
      </c>
      <c r="G27" s="2">
        <v>5290</v>
      </c>
      <c r="H27" s="2">
        <v>1130</v>
      </c>
      <c r="I27" s="2">
        <v>0</v>
      </c>
      <c r="J27" s="2">
        <v>80</v>
      </c>
      <c r="K27" s="2">
        <v>3300</v>
      </c>
      <c r="L27" s="2">
        <v>3050</v>
      </c>
      <c r="M27" s="2">
        <v>3300</v>
      </c>
      <c r="N27" s="2">
        <v>250</v>
      </c>
      <c r="O27" s="2">
        <v>2000</v>
      </c>
      <c r="P27" s="2">
        <v>0</v>
      </c>
      <c r="Q27" s="2">
        <v>0</v>
      </c>
      <c r="R27" s="2">
        <v>0</v>
      </c>
      <c r="S27" s="2">
        <v>0</v>
      </c>
      <c r="T27" s="2">
        <f t="shared" si="4"/>
        <v>37900</v>
      </c>
    </row>
    <row r="28" spans="1:20">
      <c r="A28" s="458"/>
      <c r="B28" s="460"/>
      <c r="C28" s="2" t="s"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>
        <f t="shared" si="4"/>
        <v>0</v>
      </c>
    </row>
    <row r="29" spans="1:20">
      <c r="A29" s="458">
        <v>9</v>
      </c>
      <c r="B29" s="460" t="s">
        <v>412</v>
      </c>
      <c r="C29" s="2" t="s">
        <v>24</v>
      </c>
      <c r="D29" s="2">
        <v>4400</v>
      </c>
      <c r="E29" s="2">
        <v>4400</v>
      </c>
      <c r="F29" s="2">
        <v>4400</v>
      </c>
      <c r="G29" s="2">
        <v>3600</v>
      </c>
      <c r="H29" s="2">
        <v>1000</v>
      </c>
      <c r="I29" s="2">
        <v>20</v>
      </c>
      <c r="J29" s="2">
        <v>200</v>
      </c>
      <c r="K29" s="2">
        <v>1500</v>
      </c>
      <c r="L29" s="2">
        <v>1500</v>
      </c>
      <c r="M29" s="2">
        <v>1500</v>
      </c>
      <c r="N29" s="2">
        <v>100</v>
      </c>
      <c r="O29" s="2">
        <v>2200</v>
      </c>
      <c r="P29" s="2">
        <v>0</v>
      </c>
      <c r="Q29" s="2">
        <v>0</v>
      </c>
      <c r="R29" s="2">
        <v>0</v>
      </c>
      <c r="S29" s="2">
        <v>0</v>
      </c>
      <c r="T29" s="2">
        <f t="shared" si="4"/>
        <v>24820</v>
      </c>
    </row>
    <row r="30" spans="1:20">
      <c r="A30" s="458"/>
      <c r="B30" s="460"/>
      <c r="C30" s="2" t="s">
        <v>25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>
        <f t="shared" si="4"/>
        <v>0</v>
      </c>
    </row>
    <row r="31" spans="1:20">
      <c r="A31" s="442" t="s">
        <v>35</v>
      </c>
      <c r="B31" s="442"/>
      <c r="C31" s="442"/>
      <c r="D31" s="2">
        <f>D13+D15+D17+D19+D21+D23+D25+D27+D29</f>
        <v>61950</v>
      </c>
      <c r="E31" s="2">
        <f t="shared" ref="E31:T31" si="5">E13+E15+E17+E19+E21+E23+E25+E27+E29</f>
        <v>61950</v>
      </c>
      <c r="F31" s="2">
        <f t="shared" si="5"/>
        <v>61950</v>
      </c>
      <c r="G31" s="2">
        <f t="shared" si="5"/>
        <v>48335</v>
      </c>
      <c r="H31" s="2">
        <f t="shared" si="5"/>
        <v>12030</v>
      </c>
      <c r="I31" s="2">
        <f t="shared" si="5"/>
        <v>615</v>
      </c>
      <c r="J31" s="2">
        <f t="shared" si="5"/>
        <v>1950</v>
      </c>
      <c r="K31" s="2">
        <f t="shared" si="5"/>
        <v>21550</v>
      </c>
      <c r="L31" s="2">
        <f t="shared" si="5"/>
        <v>20550</v>
      </c>
      <c r="M31" s="2">
        <f t="shared" si="5"/>
        <v>21550</v>
      </c>
      <c r="N31" s="2">
        <f t="shared" si="5"/>
        <v>6150</v>
      </c>
      <c r="O31" s="2">
        <f t="shared" si="5"/>
        <v>27800</v>
      </c>
      <c r="P31" s="2">
        <f t="shared" si="5"/>
        <v>0</v>
      </c>
      <c r="Q31" s="2">
        <f t="shared" si="5"/>
        <v>0</v>
      </c>
      <c r="R31" s="2">
        <f t="shared" si="5"/>
        <v>0</v>
      </c>
      <c r="S31" s="2">
        <f t="shared" si="5"/>
        <v>0</v>
      </c>
      <c r="T31" s="2">
        <f t="shared" si="5"/>
        <v>346380</v>
      </c>
    </row>
    <row r="32" spans="1:20">
      <c r="A32" s="442" t="s">
        <v>36</v>
      </c>
      <c r="B32" s="442"/>
      <c r="C32" s="442"/>
      <c r="D32" s="2">
        <f>D14+D16+D18+D20+D22+D24+D26+D28+D30</f>
        <v>0</v>
      </c>
      <c r="E32" s="2">
        <f t="shared" ref="E32:T32" si="6">E14+E16+E18+E20+E22+E24+E26+E28+E30</f>
        <v>0</v>
      </c>
      <c r="F32" s="2">
        <f t="shared" si="6"/>
        <v>0</v>
      </c>
      <c r="G32" s="2">
        <f t="shared" si="6"/>
        <v>0</v>
      </c>
      <c r="H32" s="2">
        <f t="shared" si="6"/>
        <v>0</v>
      </c>
      <c r="I32" s="2">
        <f t="shared" si="6"/>
        <v>0</v>
      </c>
      <c r="J32" s="2">
        <f t="shared" si="6"/>
        <v>0</v>
      </c>
      <c r="K32" s="2">
        <f t="shared" si="6"/>
        <v>0</v>
      </c>
      <c r="L32" s="2">
        <f t="shared" si="6"/>
        <v>0</v>
      </c>
      <c r="M32" s="2">
        <f t="shared" si="6"/>
        <v>0</v>
      </c>
      <c r="N32" s="2">
        <f t="shared" si="6"/>
        <v>0</v>
      </c>
      <c r="O32" s="2">
        <f t="shared" si="6"/>
        <v>0</v>
      </c>
      <c r="P32" s="2">
        <f t="shared" si="6"/>
        <v>0</v>
      </c>
      <c r="Q32" s="2">
        <f t="shared" si="6"/>
        <v>0</v>
      </c>
      <c r="R32" s="2">
        <f t="shared" si="6"/>
        <v>0</v>
      </c>
      <c r="S32" s="2">
        <f t="shared" si="6"/>
        <v>0</v>
      </c>
      <c r="T32" s="2">
        <f t="shared" si="6"/>
        <v>0</v>
      </c>
    </row>
    <row r="33" spans="1:20">
      <c r="A33" s="442" t="s">
        <v>37</v>
      </c>
      <c r="B33" s="442"/>
      <c r="C33" s="442"/>
      <c r="D33" s="2">
        <f>D31-D32</f>
        <v>61950</v>
      </c>
      <c r="E33" s="2">
        <f t="shared" ref="E33:T33" si="7">E31-E32</f>
        <v>61950</v>
      </c>
      <c r="F33" s="2">
        <f t="shared" si="7"/>
        <v>61950</v>
      </c>
      <c r="G33" s="2">
        <f t="shared" si="7"/>
        <v>48335</v>
      </c>
      <c r="H33" s="2">
        <f t="shared" si="7"/>
        <v>12030</v>
      </c>
      <c r="I33" s="2">
        <f t="shared" si="7"/>
        <v>615</v>
      </c>
      <c r="J33" s="2">
        <f t="shared" si="7"/>
        <v>1950</v>
      </c>
      <c r="K33" s="2">
        <f t="shared" si="7"/>
        <v>21550</v>
      </c>
      <c r="L33" s="2">
        <f t="shared" si="7"/>
        <v>20550</v>
      </c>
      <c r="M33" s="2">
        <f t="shared" si="7"/>
        <v>21550</v>
      </c>
      <c r="N33" s="2">
        <f t="shared" si="7"/>
        <v>6150</v>
      </c>
      <c r="O33" s="2">
        <f t="shared" si="7"/>
        <v>27800</v>
      </c>
      <c r="P33" s="2">
        <f t="shared" si="7"/>
        <v>0</v>
      </c>
      <c r="Q33" s="2">
        <f t="shared" si="7"/>
        <v>0</v>
      </c>
      <c r="R33" s="2">
        <f t="shared" si="7"/>
        <v>0</v>
      </c>
      <c r="S33" s="2">
        <f t="shared" si="7"/>
        <v>0</v>
      </c>
      <c r="T33" s="2">
        <f t="shared" si="7"/>
        <v>346380</v>
      </c>
    </row>
    <row r="35" spans="1:20" ht="19.5">
      <c r="A35" s="459" t="s">
        <v>413</v>
      </c>
      <c r="B35" s="459"/>
      <c r="C35" s="459"/>
      <c r="D35" s="459"/>
      <c r="E35" s="459"/>
      <c r="F35" s="459"/>
      <c r="G35" s="459"/>
      <c r="H35" s="459"/>
      <c r="I35" s="459"/>
      <c r="J35" s="459"/>
      <c r="K35" s="459"/>
      <c r="L35" s="459"/>
      <c r="M35" s="459"/>
      <c r="N35" s="459"/>
      <c r="O35" s="459"/>
      <c r="P35" s="459"/>
      <c r="Q35" s="459"/>
      <c r="R35" s="459"/>
      <c r="S35" s="459"/>
      <c r="T35" s="459"/>
    </row>
    <row r="36" spans="1:20">
      <c r="A36" s="137" t="s">
        <v>15</v>
      </c>
      <c r="B36" s="137" t="s">
        <v>16</v>
      </c>
      <c r="C36" s="137"/>
      <c r="D36" s="137" t="s">
        <v>26</v>
      </c>
      <c r="E36" s="137" t="s">
        <v>27</v>
      </c>
      <c r="F36" s="137" t="s">
        <v>31</v>
      </c>
      <c r="G36" s="137" t="s">
        <v>48</v>
      </c>
      <c r="H36" s="137" t="s">
        <v>49</v>
      </c>
      <c r="I36" s="137" t="s">
        <v>76</v>
      </c>
      <c r="J36" s="137" t="s">
        <v>51</v>
      </c>
      <c r="K36" s="137" t="s">
        <v>95</v>
      </c>
      <c r="L36" s="137" t="s">
        <v>109</v>
      </c>
      <c r="M36" s="137" t="s">
        <v>110</v>
      </c>
      <c r="N36" s="137" t="s">
        <v>97</v>
      </c>
      <c r="O36" s="137" t="s">
        <v>111</v>
      </c>
      <c r="P36" s="137" t="s">
        <v>99</v>
      </c>
      <c r="Q36" s="137" t="s">
        <v>100</v>
      </c>
      <c r="R36" s="137" t="s">
        <v>112</v>
      </c>
      <c r="S36" s="137" t="s">
        <v>101</v>
      </c>
      <c r="T36" s="137" t="s">
        <v>34</v>
      </c>
    </row>
    <row r="37" spans="1:20">
      <c r="A37" s="458">
        <v>1</v>
      </c>
      <c r="B37" s="460" t="s">
        <v>414</v>
      </c>
      <c r="C37" s="2" t="s">
        <v>24</v>
      </c>
      <c r="D37" s="2">
        <v>5350</v>
      </c>
      <c r="E37" s="2">
        <v>5350</v>
      </c>
      <c r="F37" s="2">
        <v>5350</v>
      </c>
      <c r="G37" s="2">
        <v>4550</v>
      </c>
      <c r="H37" s="2">
        <v>700</v>
      </c>
      <c r="I37" s="2">
        <v>100</v>
      </c>
      <c r="J37" s="2">
        <v>0</v>
      </c>
      <c r="K37" s="2">
        <v>3021</v>
      </c>
      <c r="L37" s="2">
        <v>1671</v>
      </c>
      <c r="M37" s="2">
        <v>3021</v>
      </c>
      <c r="N37" s="2">
        <v>1350</v>
      </c>
      <c r="O37" s="2">
        <v>374</v>
      </c>
      <c r="P37" s="2">
        <v>0</v>
      </c>
      <c r="Q37" s="2">
        <v>0</v>
      </c>
      <c r="R37" s="2">
        <v>0</v>
      </c>
      <c r="S37" s="2">
        <v>0</v>
      </c>
      <c r="T37" s="2">
        <f>SUM(D37:S37)</f>
        <v>30837</v>
      </c>
    </row>
    <row r="38" spans="1:20">
      <c r="A38" s="458"/>
      <c r="B38" s="460"/>
      <c r="C38" s="2" t="s">
        <v>25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>
        <f t="shared" ref="T38:T60" si="8">SUM(D38:S38)</f>
        <v>0</v>
      </c>
    </row>
    <row r="39" spans="1:20">
      <c r="A39" s="458">
        <v>2</v>
      </c>
      <c r="B39" s="460" t="s">
        <v>415</v>
      </c>
      <c r="C39" s="2" t="s">
        <v>24</v>
      </c>
      <c r="D39" s="2">
        <v>4200</v>
      </c>
      <c r="E39" s="2">
        <v>4200</v>
      </c>
      <c r="F39" s="2">
        <v>4200</v>
      </c>
      <c r="G39" s="2">
        <v>3500</v>
      </c>
      <c r="H39" s="2">
        <v>700</v>
      </c>
      <c r="I39" s="2">
        <v>0</v>
      </c>
      <c r="J39" s="2">
        <v>0</v>
      </c>
      <c r="K39" s="2">
        <v>2800</v>
      </c>
      <c r="L39" s="2">
        <v>2200</v>
      </c>
      <c r="M39" s="2">
        <v>2800</v>
      </c>
      <c r="N39" s="2">
        <v>800</v>
      </c>
      <c r="O39" s="2">
        <v>250</v>
      </c>
      <c r="P39" s="2">
        <v>0</v>
      </c>
      <c r="Q39" s="2">
        <v>0</v>
      </c>
      <c r="R39" s="2">
        <v>0</v>
      </c>
      <c r="S39" s="2">
        <v>0</v>
      </c>
      <c r="T39" s="2">
        <f t="shared" si="8"/>
        <v>25650</v>
      </c>
    </row>
    <row r="40" spans="1:20">
      <c r="A40" s="458"/>
      <c r="B40" s="460"/>
      <c r="C40" s="2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>
        <f t="shared" si="8"/>
        <v>0</v>
      </c>
    </row>
    <row r="41" spans="1:20">
      <c r="A41" s="458">
        <v>3</v>
      </c>
      <c r="B41" s="460" t="s">
        <v>416</v>
      </c>
      <c r="C41" s="2" t="s">
        <v>24</v>
      </c>
      <c r="D41" s="2">
        <v>2800</v>
      </c>
      <c r="E41" s="2">
        <v>2800</v>
      </c>
      <c r="F41" s="2">
        <v>2800</v>
      </c>
      <c r="G41" s="2">
        <v>2550</v>
      </c>
      <c r="H41" s="2">
        <v>250</v>
      </c>
      <c r="I41" s="2">
        <v>0</v>
      </c>
      <c r="J41" s="2">
        <v>0</v>
      </c>
      <c r="K41" s="2">
        <v>2000</v>
      </c>
      <c r="L41" s="2">
        <v>1200</v>
      </c>
      <c r="M41" s="2">
        <v>2000</v>
      </c>
      <c r="N41" s="2">
        <v>900</v>
      </c>
      <c r="O41" s="2">
        <v>150</v>
      </c>
      <c r="P41" s="2">
        <v>0</v>
      </c>
      <c r="Q41" s="2">
        <v>0</v>
      </c>
      <c r="R41" s="2">
        <v>0</v>
      </c>
      <c r="S41" s="2">
        <v>0</v>
      </c>
      <c r="T41" s="2">
        <f t="shared" si="8"/>
        <v>17450</v>
      </c>
    </row>
    <row r="42" spans="1:20">
      <c r="A42" s="458"/>
      <c r="B42" s="460"/>
      <c r="C42" s="2" t="s">
        <v>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>
        <f t="shared" si="8"/>
        <v>0</v>
      </c>
    </row>
    <row r="43" spans="1:20">
      <c r="A43" s="458">
        <v>4</v>
      </c>
      <c r="B43" s="460" t="s">
        <v>417</v>
      </c>
      <c r="C43" s="2" t="s">
        <v>24</v>
      </c>
      <c r="D43" s="2">
        <v>1720</v>
      </c>
      <c r="E43" s="2">
        <v>1720</v>
      </c>
      <c r="F43" s="2">
        <v>1720</v>
      </c>
      <c r="G43" s="2">
        <v>1580</v>
      </c>
      <c r="H43" s="2">
        <v>132</v>
      </c>
      <c r="I43" s="2">
        <v>8</v>
      </c>
      <c r="J43" s="2">
        <v>0</v>
      </c>
      <c r="K43" s="2">
        <v>1170</v>
      </c>
      <c r="L43" s="2">
        <v>850</v>
      </c>
      <c r="M43" s="2">
        <v>1170</v>
      </c>
      <c r="N43" s="2">
        <v>360</v>
      </c>
      <c r="O43" s="2">
        <v>80</v>
      </c>
      <c r="P43" s="2">
        <v>0</v>
      </c>
      <c r="Q43" s="2">
        <v>0</v>
      </c>
      <c r="R43" s="2">
        <v>0</v>
      </c>
      <c r="S43" s="2">
        <v>0</v>
      </c>
      <c r="T43" s="2">
        <f t="shared" si="8"/>
        <v>10510</v>
      </c>
    </row>
    <row r="44" spans="1:20">
      <c r="A44" s="458"/>
      <c r="B44" s="460"/>
      <c r="C44" s="2" t="s">
        <v>25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>
        <f t="shared" si="8"/>
        <v>0</v>
      </c>
    </row>
    <row r="45" spans="1:20">
      <c r="A45" s="458">
        <v>5</v>
      </c>
      <c r="B45" s="460" t="s">
        <v>418</v>
      </c>
      <c r="C45" s="2" t="s">
        <v>24</v>
      </c>
      <c r="D45" s="2">
        <v>4960</v>
      </c>
      <c r="E45" s="2">
        <v>4960</v>
      </c>
      <c r="F45" s="2">
        <v>4960</v>
      </c>
      <c r="G45" s="2">
        <v>4437</v>
      </c>
      <c r="H45" s="2">
        <v>303</v>
      </c>
      <c r="I45" s="2">
        <v>220</v>
      </c>
      <c r="J45" s="2">
        <v>0</v>
      </c>
      <c r="K45" s="2">
        <v>2880</v>
      </c>
      <c r="L45" s="2">
        <v>858</v>
      </c>
      <c r="M45" s="2">
        <v>2880</v>
      </c>
      <c r="N45" s="2">
        <v>2287</v>
      </c>
      <c r="O45" s="2">
        <v>525</v>
      </c>
      <c r="P45" s="2">
        <v>0</v>
      </c>
      <c r="Q45" s="2">
        <v>0</v>
      </c>
      <c r="R45" s="2">
        <v>0</v>
      </c>
      <c r="S45" s="2">
        <v>0</v>
      </c>
      <c r="T45" s="2">
        <f t="shared" si="8"/>
        <v>29270</v>
      </c>
    </row>
    <row r="46" spans="1:20">
      <c r="A46" s="458"/>
      <c r="B46" s="460"/>
      <c r="C46" s="2" t="s">
        <v>25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f t="shared" si="8"/>
        <v>0</v>
      </c>
    </row>
    <row r="47" spans="1:20">
      <c r="A47" s="458">
        <v>6</v>
      </c>
      <c r="B47" s="460" t="s">
        <v>419</v>
      </c>
      <c r="C47" s="2" t="s">
        <v>24</v>
      </c>
      <c r="D47" s="2">
        <v>4200</v>
      </c>
      <c r="E47" s="2">
        <v>4200</v>
      </c>
      <c r="F47" s="2">
        <v>4200</v>
      </c>
      <c r="G47" s="2">
        <v>3700</v>
      </c>
      <c r="H47" s="2">
        <v>490</v>
      </c>
      <c r="I47" s="2">
        <v>10</v>
      </c>
      <c r="J47" s="2">
        <v>0</v>
      </c>
      <c r="K47" s="2">
        <v>2600</v>
      </c>
      <c r="L47" s="2">
        <v>1800</v>
      </c>
      <c r="M47" s="2">
        <v>2600</v>
      </c>
      <c r="N47" s="2">
        <v>800</v>
      </c>
      <c r="O47" s="2">
        <v>300</v>
      </c>
      <c r="P47" s="2">
        <v>0</v>
      </c>
      <c r="Q47" s="2">
        <v>0</v>
      </c>
      <c r="R47" s="2">
        <v>0</v>
      </c>
      <c r="S47" s="2">
        <v>0</v>
      </c>
      <c r="T47" s="2">
        <f t="shared" si="8"/>
        <v>24900</v>
      </c>
    </row>
    <row r="48" spans="1:20">
      <c r="A48" s="458"/>
      <c r="B48" s="460"/>
      <c r="C48" s="2" t="s">
        <v>25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>
        <f t="shared" si="8"/>
        <v>0</v>
      </c>
    </row>
    <row r="49" spans="1:20">
      <c r="A49" s="458">
        <v>7</v>
      </c>
      <c r="B49" s="460" t="s">
        <v>420</v>
      </c>
      <c r="C49" s="2" t="s">
        <v>24</v>
      </c>
      <c r="D49" s="2">
        <v>2400</v>
      </c>
      <c r="E49" s="2">
        <v>2400</v>
      </c>
      <c r="F49" s="2">
        <v>2400</v>
      </c>
      <c r="G49" s="2">
        <v>2200</v>
      </c>
      <c r="H49" s="2">
        <v>185</v>
      </c>
      <c r="I49" s="2">
        <v>15</v>
      </c>
      <c r="J49" s="2">
        <v>0</v>
      </c>
      <c r="K49" s="2">
        <v>1069</v>
      </c>
      <c r="L49" s="2">
        <v>550</v>
      </c>
      <c r="M49" s="2">
        <v>1069</v>
      </c>
      <c r="N49" s="2">
        <v>529</v>
      </c>
      <c r="O49" s="2">
        <v>75</v>
      </c>
      <c r="P49" s="2">
        <v>0</v>
      </c>
      <c r="Q49" s="2">
        <v>0</v>
      </c>
      <c r="R49" s="2">
        <v>0</v>
      </c>
      <c r="S49" s="2">
        <v>0</v>
      </c>
      <c r="T49" s="2">
        <f t="shared" si="8"/>
        <v>12892</v>
      </c>
    </row>
    <row r="50" spans="1:20">
      <c r="A50" s="458"/>
      <c r="B50" s="460"/>
      <c r="C50" s="2" t="s">
        <v>25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>
        <f t="shared" si="8"/>
        <v>0</v>
      </c>
    </row>
    <row r="51" spans="1:20">
      <c r="A51" s="458">
        <v>8</v>
      </c>
      <c r="B51" s="460" t="s">
        <v>421</v>
      </c>
      <c r="C51" s="2" t="s">
        <v>24</v>
      </c>
      <c r="D51" s="2">
        <v>7238</v>
      </c>
      <c r="E51" s="2">
        <v>7238</v>
      </c>
      <c r="F51" s="2">
        <v>7238</v>
      </c>
      <c r="G51" s="2">
        <v>6727</v>
      </c>
      <c r="H51" s="2">
        <v>483</v>
      </c>
      <c r="I51" s="2">
        <v>28</v>
      </c>
      <c r="J51" s="2">
        <v>0</v>
      </c>
      <c r="K51" s="2">
        <v>4406</v>
      </c>
      <c r="L51" s="2">
        <v>4201</v>
      </c>
      <c r="M51" s="2">
        <v>4406</v>
      </c>
      <c r="N51" s="2">
        <v>205</v>
      </c>
      <c r="O51" s="2">
        <v>10</v>
      </c>
      <c r="P51" s="2">
        <v>0</v>
      </c>
      <c r="Q51" s="2">
        <v>0</v>
      </c>
      <c r="R51" s="2">
        <v>0</v>
      </c>
      <c r="S51" s="2">
        <v>0</v>
      </c>
      <c r="T51" s="2">
        <f t="shared" si="8"/>
        <v>42180</v>
      </c>
    </row>
    <row r="52" spans="1:20">
      <c r="A52" s="458"/>
      <c r="B52" s="460"/>
      <c r="C52" s="2" t="s">
        <v>25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>
        <f t="shared" si="8"/>
        <v>0</v>
      </c>
    </row>
    <row r="53" spans="1:20">
      <c r="A53" s="458">
        <v>9</v>
      </c>
      <c r="B53" s="460" t="s">
        <v>422</v>
      </c>
      <c r="C53" s="2" t="s">
        <v>24</v>
      </c>
      <c r="D53" s="2">
        <v>3150</v>
      </c>
      <c r="E53" s="2">
        <v>3150</v>
      </c>
      <c r="F53" s="2">
        <v>3150</v>
      </c>
      <c r="G53" s="2">
        <v>2700</v>
      </c>
      <c r="H53" s="2">
        <v>375</v>
      </c>
      <c r="I53" s="2">
        <v>75</v>
      </c>
      <c r="J53" s="2">
        <v>0</v>
      </c>
      <c r="K53" s="2">
        <v>1900</v>
      </c>
      <c r="L53" s="2">
        <v>1900</v>
      </c>
      <c r="M53" s="2">
        <v>1900</v>
      </c>
      <c r="N53" s="2">
        <v>0</v>
      </c>
      <c r="O53" s="2">
        <v>60</v>
      </c>
      <c r="P53" s="2">
        <v>0</v>
      </c>
      <c r="Q53" s="2">
        <v>0</v>
      </c>
      <c r="R53" s="2">
        <v>0</v>
      </c>
      <c r="S53" s="2">
        <v>0</v>
      </c>
      <c r="T53" s="2">
        <f t="shared" si="8"/>
        <v>18360</v>
      </c>
    </row>
    <row r="54" spans="1:20">
      <c r="A54" s="458"/>
      <c r="B54" s="460"/>
      <c r="C54" s="2" t="s">
        <v>25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>
        <f t="shared" si="8"/>
        <v>0</v>
      </c>
    </row>
    <row r="55" spans="1:20">
      <c r="A55" s="458">
        <v>10</v>
      </c>
      <c r="B55" s="460" t="s">
        <v>423</v>
      </c>
      <c r="C55" s="2" t="s">
        <v>24</v>
      </c>
      <c r="D55" s="2">
        <v>2688</v>
      </c>
      <c r="E55" s="2">
        <v>2688</v>
      </c>
      <c r="F55" s="2">
        <v>2688</v>
      </c>
      <c r="G55" s="2">
        <v>2282</v>
      </c>
      <c r="H55" s="2">
        <v>304</v>
      </c>
      <c r="I55" s="2">
        <v>103</v>
      </c>
      <c r="J55" s="2">
        <v>0</v>
      </c>
      <c r="K55" s="2">
        <v>1450</v>
      </c>
      <c r="L55" s="2">
        <v>1450</v>
      </c>
      <c r="M55" s="2">
        <v>1450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f t="shared" si="8"/>
        <v>15103</v>
      </c>
    </row>
    <row r="56" spans="1:20">
      <c r="A56" s="458"/>
      <c r="B56" s="460"/>
      <c r="C56" s="2" t="s">
        <v>25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>
        <f t="shared" si="8"/>
        <v>0</v>
      </c>
    </row>
    <row r="57" spans="1:20">
      <c r="A57" s="458">
        <v>11</v>
      </c>
      <c r="B57" s="460" t="s">
        <v>424</v>
      </c>
      <c r="C57" s="2" t="s">
        <v>24</v>
      </c>
      <c r="D57" s="2">
        <v>1480</v>
      </c>
      <c r="E57" s="2">
        <v>1480</v>
      </c>
      <c r="F57" s="2">
        <v>1480</v>
      </c>
      <c r="G57" s="2">
        <v>1423</v>
      </c>
      <c r="H57" s="2">
        <v>57</v>
      </c>
      <c r="I57" s="2">
        <v>0</v>
      </c>
      <c r="J57" s="2">
        <v>0</v>
      </c>
      <c r="K57" s="2">
        <v>920</v>
      </c>
      <c r="L57" s="2">
        <v>855</v>
      </c>
      <c r="M57" s="2">
        <v>920</v>
      </c>
      <c r="N57" s="2">
        <v>65</v>
      </c>
      <c r="O57" s="2">
        <v>40</v>
      </c>
      <c r="P57" s="2">
        <v>0</v>
      </c>
      <c r="Q57" s="2">
        <v>0</v>
      </c>
      <c r="R57" s="2">
        <v>0</v>
      </c>
      <c r="S57" s="2">
        <v>0</v>
      </c>
      <c r="T57" s="2">
        <f t="shared" si="8"/>
        <v>8720</v>
      </c>
    </row>
    <row r="58" spans="1:20">
      <c r="A58" s="458"/>
      <c r="B58" s="460"/>
      <c r="C58" s="2" t="s">
        <v>25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>
        <f t="shared" si="8"/>
        <v>0</v>
      </c>
    </row>
    <row r="59" spans="1:20">
      <c r="A59" s="458">
        <v>12</v>
      </c>
      <c r="B59" s="460" t="s">
        <v>425</v>
      </c>
      <c r="C59" s="2" t="s">
        <v>24</v>
      </c>
      <c r="D59" s="2">
        <v>8393</v>
      </c>
      <c r="E59" s="2">
        <v>8393</v>
      </c>
      <c r="F59" s="2">
        <v>8393</v>
      </c>
      <c r="G59" s="2">
        <v>7987</v>
      </c>
      <c r="H59" s="2">
        <v>406</v>
      </c>
      <c r="I59" s="2">
        <v>0</v>
      </c>
      <c r="J59" s="2">
        <v>0</v>
      </c>
      <c r="K59" s="2">
        <v>5963</v>
      </c>
      <c r="L59" s="2">
        <v>5963</v>
      </c>
      <c r="M59" s="2">
        <v>5963</v>
      </c>
      <c r="N59" s="2">
        <v>900</v>
      </c>
      <c r="O59" s="2">
        <v>5</v>
      </c>
      <c r="P59" s="2">
        <v>0</v>
      </c>
      <c r="Q59" s="2">
        <v>0</v>
      </c>
      <c r="R59" s="2">
        <v>0</v>
      </c>
      <c r="S59" s="2">
        <v>0</v>
      </c>
      <c r="T59" s="2">
        <f t="shared" si="8"/>
        <v>52366</v>
      </c>
    </row>
    <row r="60" spans="1:20">
      <c r="A60" s="458"/>
      <c r="B60" s="460"/>
      <c r="C60" s="2" t="s">
        <v>25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>
        <f t="shared" si="8"/>
        <v>0</v>
      </c>
    </row>
    <row r="61" spans="1:20">
      <c r="A61" s="442" t="s">
        <v>35</v>
      </c>
      <c r="B61" s="442"/>
      <c r="C61" s="442"/>
      <c r="D61" s="2">
        <f>D37+D39+D41+D43+D45+D47+D49+D51+D53+D55+D57+D59</f>
        <v>48579</v>
      </c>
      <c r="E61" s="2">
        <f t="shared" ref="E61:T61" si="9">E37+E39+E41+E43+E45+E47+E49+E51+E53+E55+E57+E59</f>
        <v>48579</v>
      </c>
      <c r="F61" s="2">
        <f t="shared" si="9"/>
        <v>48579</v>
      </c>
      <c r="G61" s="2">
        <f t="shared" si="9"/>
        <v>43636</v>
      </c>
      <c r="H61" s="2">
        <f t="shared" si="9"/>
        <v>4385</v>
      </c>
      <c r="I61" s="2">
        <f t="shared" si="9"/>
        <v>559</v>
      </c>
      <c r="J61" s="2">
        <f t="shared" si="9"/>
        <v>0</v>
      </c>
      <c r="K61" s="2">
        <f t="shared" si="9"/>
        <v>30179</v>
      </c>
      <c r="L61" s="2">
        <f t="shared" si="9"/>
        <v>23498</v>
      </c>
      <c r="M61" s="2">
        <f t="shared" si="9"/>
        <v>30179</v>
      </c>
      <c r="N61" s="2">
        <f t="shared" si="9"/>
        <v>8196</v>
      </c>
      <c r="O61" s="2">
        <f t="shared" si="9"/>
        <v>1869</v>
      </c>
      <c r="P61" s="2">
        <f t="shared" si="9"/>
        <v>0</v>
      </c>
      <c r="Q61" s="2">
        <f t="shared" si="9"/>
        <v>0</v>
      </c>
      <c r="R61" s="2">
        <f t="shared" si="9"/>
        <v>0</v>
      </c>
      <c r="S61" s="2">
        <f t="shared" si="9"/>
        <v>0</v>
      </c>
      <c r="T61" s="2">
        <f t="shared" si="9"/>
        <v>288238</v>
      </c>
    </row>
    <row r="62" spans="1:20">
      <c r="A62" s="442" t="s">
        <v>36</v>
      </c>
      <c r="B62" s="442"/>
      <c r="C62" s="442"/>
      <c r="D62" s="2">
        <f>D38+D40+D42+D44+D46+D48+D50+D52+D54+D56+D58+D60</f>
        <v>0</v>
      </c>
      <c r="E62" s="2">
        <f t="shared" ref="E62:T62" si="10">E38+E40+E42+E44+E46+E48+E50+E52+E54+E56+E58+E60</f>
        <v>0</v>
      </c>
      <c r="F62" s="2">
        <f t="shared" si="10"/>
        <v>0</v>
      </c>
      <c r="G62" s="2">
        <f t="shared" si="10"/>
        <v>0</v>
      </c>
      <c r="H62" s="2">
        <f t="shared" si="10"/>
        <v>0</v>
      </c>
      <c r="I62" s="2">
        <f t="shared" si="10"/>
        <v>0</v>
      </c>
      <c r="J62" s="2">
        <f t="shared" si="10"/>
        <v>0</v>
      </c>
      <c r="K62" s="2">
        <f t="shared" si="10"/>
        <v>0</v>
      </c>
      <c r="L62" s="2">
        <f t="shared" si="10"/>
        <v>0</v>
      </c>
      <c r="M62" s="2">
        <f t="shared" si="10"/>
        <v>0</v>
      </c>
      <c r="N62" s="2">
        <f t="shared" si="10"/>
        <v>0</v>
      </c>
      <c r="O62" s="2">
        <f t="shared" si="10"/>
        <v>0</v>
      </c>
      <c r="P62" s="2">
        <f t="shared" si="10"/>
        <v>0</v>
      </c>
      <c r="Q62" s="2">
        <f t="shared" si="10"/>
        <v>0</v>
      </c>
      <c r="R62" s="2">
        <f t="shared" si="10"/>
        <v>0</v>
      </c>
      <c r="S62" s="2">
        <f t="shared" si="10"/>
        <v>0</v>
      </c>
      <c r="T62" s="2">
        <f t="shared" si="10"/>
        <v>0</v>
      </c>
    </row>
    <row r="63" spans="1:20">
      <c r="A63" s="442" t="s">
        <v>37</v>
      </c>
      <c r="B63" s="442"/>
      <c r="C63" s="442"/>
      <c r="D63" s="2">
        <f>D61-D62</f>
        <v>48579</v>
      </c>
      <c r="E63" s="2">
        <f t="shared" ref="E63:T63" si="11">E61-E62</f>
        <v>48579</v>
      </c>
      <c r="F63" s="2">
        <f t="shared" si="11"/>
        <v>48579</v>
      </c>
      <c r="G63" s="2">
        <f t="shared" si="11"/>
        <v>43636</v>
      </c>
      <c r="H63" s="2">
        <f t="shared" si="11"/>
        <v>4385</v>
      </c>
      <c r="I63" s="2">
        <f t="shared" si="11"/>
        <v>559</v>
      </c>
      <c r="J63" s="2">
        <f t="shared" si="11"/>
        <v>0</v>
      </c>
      <c r="K63" s="2">
        <f t="shared" si="11"/>
        <v>30179</v>
      </c>
      <c r="L63" s="2">
        <f t="shared" si="11"/>
        <v>23498</v>
      </c>
      <c r="M63" s="2">
        <f t="shared" si="11"/>
        <v>30179</v>
      </c>
      <c r="N63" s="2">
        <f t="shared" si="11"/>
        <v>8196</v>
      </c>
      <c r="O63" s="2">
        <f t="shared" si="11"/>
        <v>1869</v>
      </c>
      <c r="P63" s="2">
        <f t="shared" si="11"/>
        <v>0</v>
      </c>
      <c r="Q63" s="2">
        <f t="shared" si="11"/>
        <v>0</v>
      </c>
      <c r="R63" s="2">
        <f t="shared" si="11"/>
        <v>0</v>
      </c>
      <c r="S63" s="2">
        <f t="shared" si="11"/>
        <v>0</v>
      </c>
      <c r="T63" s="2">
        <f t="shared" si="11"/>
        <v>288238</v>
      </c>
    </row>
    <row r="65" spans="1:20" ht="19.5">
      <c r="A65" s="459" t="s">
        <v>431</v>
      </c>
      <c r="B65" s="459"/>
      <c r="C65" s="459"/>
      <c r="D65" s="459"/>
      <c r="E65" s="459"/>
      <c r="F65" s="459"/>
      <c r="G65" s="459"/>
      <c r="H65" s="459"/>
      <c r="I65" s="459"/>
      <c r="J65" s="459"/>
      <c r="K65" s="459"/>
      <c r="L65" s="459"/>
      <c r="M65" s="459"/>
      <c r="N65" s="459"/>
      <c r="O65" s="459"/>
      <c r="P65" s="459"/>
      <c r="Q65" s="459"/>
      <c r="R65" s="459"/>
      <c r="S65" s="459"/>
      <c r="T65" s="459"/>
    </row>
    <row r="66" spans="1:20">
      <c r="A66" s="137" t="s">
        <v>15</v>
      </c>
      <c r="B66" s="137" t="s">
        <v>16</v>
      </c>
      <c r="C66" s="137"/>
      <c r="D66" s="137" t="s">
        <v>26</v>
      </c>
      <c r="E66" s="137" t="s">
        <v>27</v>
      </c>
      <c r="F66" s="137" t="s">
        <v>31</v>
      </c>
      <c r="G66" s="137" t="s">
        <v>48</v>
      </c>
      <c r="H66" s="137" t="s">
        <v>49</v>
      </c>
      <c r="I66" s="137" t="s">
        <v>76</v>
      </c>
      <c r="J66" s="137" t="s">
        <v>51</v>
      </c>
      <c r="K66" s="137" t="s">
        <v>95</v>
      </c>
      <c r="L66" s="137" t="s">
        <v>109</v>
      </c>
      <c r="M66" s="137" t="s">
        <v>110</v>
      </c>
      <c r="N66" s="137" t="s">
        <v>97</v>
      </c>
      <c r="O66" s="137" t="s">
        <v>111</v>
      </c>
      <c r="P66" s="137" t="s">
        <v>99</v>
      </c>
      <c r="Q66" s="137" t="s">
        <v>100</v>
      </c>
      <c r="R66" s="137" t="s">
        <v>112</v>
      </c>
      <c r="S66" s="137" t="s">
        <v>101</v>
      </c>
      <c r="T66" s="137" t="s">
        <v>34</v>
      </c>
    </row>
    <row r="67" spans="1:20">
      <c r="A67" s="458">
        <v>1</v>
      </c>
      <c r="B67" s="331" t="s">
        <v>21</v>
      </c>
      <c r="C67" s="2" t="s">
        <v>24</v>
      </c>
      <c r="D67" s="2">
        <v>6800</v>
      </c>
      <c r="E67" s="2">
        <v>6800</v>
      </c>
      <c r="F67" s="2">
        <v>6800</v>
      </c>
      <c r="G67" s="2">
        <v>5380</v>
      </c>
      <c r="H67" s="2">
        <v>1105</v>
      </c>
      <c r="I67" s="2">
        <v>280</v>
      </c>
      <c r="J67" s="2">
        <v>35</v>
      </c>
      <c r="K67" s="2">
        <v>2470</v>
      </c>
      <c r="L67" s="2">
        <v>1380</v>
      </c>
      <c r="M67" s="2">
        <v>2470</v>
      </c>
      <c r="N67" s="2">
        <v>1340</v>
      </c>
      <c r="O67" s="2">
        <v>2250</v>
      </c>
      <c r="P67" s="2">
        <v>0</v>
      </c>
      <c r="Q67" s="2">
        <v>0</v>
      </c>
      <c r="R67" s="2">
        <v>0</v>
      </c>
      <c r="S67" s="2">
        <v>0</v>
      </c>
      <c r="T67" s="2">
        <f>SUM(D67:S67)</f>
        <v>37110</v>
      </c>
    </row>
    <row r="68" spans="1:20">
      <c r="A68" s="458"/>
      <c r="B68" s="332"/>
      <c r="C68" s="2" t="s">
        <v>25</v>
      </c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>
        <f t="shared" ref="T68:T106" si="12">SUM(D68:S68)</f>
        <v>0</v>
      </c>
    </row>
    <row r="69" spans="1:20">
      <c r="A69" s="458">
        <v>2</v>
      </c>
      <c r="B69" s="331" t="s">
        <v>382</v>
      </c>
      <c r="C69" s="2" t="s">
        <v>24</v>
      </c>
      <c r="D69" s="2">
        <v>1435</v>
      </c>
      <c r="E69" s="2">
        <v>1435</v>
      </c>
      <c r="F69" s="2">
        <v>1435</v>
      </c>
      <c r="G69" s="2">
        <v>1083</v>
      </c>
      <c r="H69" s="2">
        <v>352</v>
      </c>
      <c r="I69" s="2">
        <v>0</v>
      </c>
      <c r="J69" s="2">
        <v>0</v>
      </c>
      <c r="K69" s="2">
        <v>950</v>
      </c>
      <c r="L69" s="2">
        <v>730</v>
      </c>
      <c r="M69" s="2">
        <v>950</v>
      </c>
      <c r="N69" s="2">
        <v>220</v>
      </c>
      <c r="O69" s="2">
        <v>250</v>
      </c>
      <c r="P69" s="2">
        <v>0</v>
      </c>
      <c r="Q69" s="2">
        <v>0</v>
      </c>
      <c r="R69" s="2">
        <v>0</v>
      </c>
      <c r="S69" s="2">
        <v>0</v>
      </c>
      <c r="T69" s="2">
        <f t="shared" si="12"/>
        <v>8840</v>
      </c>
    </row>
    <row r="70" spans="1:20">
      <c r="A70" s="458"/>
      <c r="B70" s="454"/>
      <c r="C70" s="2" t="s">
        <v>25</v>
      </c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>
        <f t="shared" si="12"/>
        <v>0</v>
      </c>
    </row>
    <row r="71" spans="1:20">
      <c r="A71" s="458">
        <v>3</v>
      </c>
      <c r="B71" s="331" t="s">
        <v>383</v>
      </c>
      <c r="C71" s="2" t="s">
        <v>24</v>
      </c>
      <c r="D71" s="2">
        <v>2220</v>
      </c>
      <c r="E71" s="2">
        <v>2220</v>
      </c>
      <c r="F71" s="2">
        <v>2220</v>
      </c>
      <c r="G71" s="2">
        <v>1770</v>
      </c>
      <c r="H71" s="2">
        <v>433</v>
      </c>
      <c r="I71" s="2">
        <v>17</v>
      </c>
      <c r="J71" s="2">
        <v>0</v>
      </c>
      <c r="K71" s="2">
        <v>1160</v>
      </c>
      <c r="L71" s="2">
        <v>370</v>
      </c>
      <c r="M71" s="2">
        <v>1160</v>
      </c>
      <c r="N71" s="2">
        <v>790</v>
      </c>
      <c r="O71" s="2">
        <v>688</v>
      </c>
      <c r="P71" s="2">
        <v>0</v>
      </c>
      <c r="Q71" s="2">
        <v>0</v>
      </c>
      <c r="R71" s="2">
        <v>0</v>
      </c>
      <c r="S71" s="2">
        <v>0</v>
      </c>
      <c r="T71" s="2">
        <f t="shared" si="12"/>
        <v>13048</v>
      </c>
    </row>
    <row r="72" spans="1:20">
      <c r="A72" s="458"/>
      <c r="B72" s="454"/>
      <c r="C72" s="2" t="s">
        <v>25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>
        <f t="shared" si="12"/>
        <v>0</v>
      </c>
    </row>
    <row r="73" spans="1:20">
      <c r="A73" s="458">
        <v>4</v>
      </c>
      <c r="B73" s="331" t="s">
        <v>384</v>
      </c>
      <c r="C73" s="2" t="s">
        <v>24</v>
      </c>
      <c r="D73" s="2">
        <v>3800</v>
      </c>
      <c r="E73" s="2">
        <v>3800</v>
      </c>
      <c r="F73" s="2">
        <v>3800</v>
      </c>
      <c r="G73" s="2">
        <v>2200</v>
      </c>
      <c r="H73" s="2">
        <v>1500</v>
      </c>
      <c r="I73" s="2">
        <v>100</v>
      </c>
      <c r="J73" s="2">
        <v>0</v>
      </c>
      <c r="K73" s="2">
        <v>3000</v>
      </c>
      <c r="L73" s="2">
        <v>2200</v>
      </c>
      <c r="M73" s="2">
        <v>3000</v>
      </c>
      <c r="N73" s="2">
        <v>1800</v>
      </c>
      <c r="O73" s="2">
        <v>600</v>
      </c>
      <c r="P73" s="2">
        <v>0</v>
      </c>
      <c r="Q73" s="2">
        <v>0</v>
      </c>
      <c r="R73" s="2">
        <v>0</v>
      </c>
      <c r="S73" s="2">
        <v>0</v>
      </c>
      <c r="T73" s="2">
        <f t="shared" si="12"/>
        <v>25800</v>
      </c>
    </row>
    <row r="74" spans="1:20">
      <c r="A74" s="458"/>
      <c r="B74" s="454"/>
      <c r="C74" s="2" t="s">
        <v>25</v>
      </c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>
        <f t="shared" si="12"/>
        <v>0</v>
      </c>
    </row>
    <row r="75" spans="1:20">
      <c r="A75" s="458">
        <v>5</v>
      </c>
      <c r="B75" s="331" t="s">
        <v>385</v>
      </c>
      <c r="C75" s="2" t="s">
        <v>24</v>
      </c>
      <c r="D75" s="2">
        <v>2200</v>
      </c>
      <c r="E75" s="2">
        <v>2200</v>
      </c>
      <c r="F75" s="2">
        <v>2200</v>
      </c>
      <c r="G75" s="2">
        <v>1450</v>
      </c>
      <c r="H75" s="2">
        <v>740</v>
      </c>
      <c r="I75" s="2">
        <v>10</v>
      </c>
      <c r="J75" s="2">
        <v>0</v>
      </c>
      <c r="K75" s="2">
        <v>1500</v>
      </c>
      <c r="L75" s="2">
        <v>1180</v>
      </c>
      <c r="M75" s="2">
        <v>1500</v>
      </c>
      <c r="N75" s="2">
        <v>320</v>
      </c>
      <c r="O75" s="2">
        <v>250</v>
      </c>
      <c r="P75" s="2">
        <v>0</v>
      </c>
      <c r="Q75" s="2">
        <v>0</v>
      </c>
      <c r="R75" s="2">
        <v>0</v>
      </c>
      <c r="S75" s="2">
        <v>0</v>
      </c>
      <c r="T75" s="2">
        <f t="shared" si="12"/>
        <v>13550</v>
      </c>
    </row>
    <row r="76" spans="1:20">
      <c r="A76" s="458"/>
      <c r="B76" s="454"/>
      <c r="C76" s="2" t="s">
        <v>25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>
        <f t="shared" si="12"/>
        <v>0</v>
      </c>
    </row>
    <row r="77" spans="1:20">
      <c r="A77" s="458">
        <v>6</v>
      </c>
      <c r="B77" s="331" t="s">
        <v>386</v>
      </c>
      <c r="C77" s="2" t="s">
        <v>24</v>
      </c>
      <c r="D77" s="2">
        <v>1693</v>
      </c>
      <c r="E77" s="2">
        <v>1693</v>
      </c>
      <c r="F77" s="2">
        <v>1693</v>
      </c>
      <c r="G77" s="2">
        <v>1437</v>
      </c>
      <c r="H77" s="2">
        <v>251</v>
      </c>
      <c r="I77" s="2">
        <v>5</v>
      </c>
      <c r="J77" s="2">
        <v>2</v>
      </c>
      <c r="K77" s="2">
        <v>764</v>
      </c>
      <c r="L77" s="2">
        <v>317</v>
      </c>
      <c r="M77" s="2">
        <v>759</v>
      </c>
      <c r="N77" s="2">
        <v>664</v>
      </c>
      <c r="O77" s="2">
        <v>433</v>
      </c>
      <c r="P77" s="2">
        <v>0</v>
      </c>
      <c r="Q77" s="2">
        <v>0</v>
      </c>
      <c r="R77" s="2">
        <v>0</v>
      </c>
      <c r="S77" s="2">
        <v>0</v>
      </c>
      <c r="T77" s="2">
        <f t="shared" si="12"/>
        <v>9711</v>
      </c>
    </row>
    <row r="78" spans="1:20">
      <c r="A78" s="458"/>
      <c r="B78" s="454"/>
      <c r="C78" s="2" t="s">
        <v>25</v>
      </c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>
        <f t="shared" si="12"/>
        <v>0</v>
      </c>
    </row>
    <row r="79" spans="1:20">
      <c r="A79" s="458">
        <v>7</v>
      </c>
      <c r="B79" s="331" t="s">
        <v>387</v>
      </c>
      <c r="C79" s="2" t="s">
        <v>24</v>
      </c>
      <c r="D79" s="2">
        <v>4200</v>
      </c>
      <c r="E79" s="2">
        <v>4200</v>
      </c>
      <c r="F79" s="2">
        <v>4200</v>
      </c>
      <c r="G79" s="2">
        <v>2200</v>
      </c>
      <c r="H79" s="2">
        <v>1950</v>
      </c>
      <c r="I79" s="2">
        <v>50</v>
      </c>
      <c r="J79" s="2">
        <v>0</v>
      </c>
      <c r="K79" s="2">
        <v>3200</v>
      </c>
      <c r="L79" s="2">
        <v>2000</v>
      </c>
      <c r="M79" s="2">
        <v>3200</v>
      </c>
      <c r="N79" s="2">
        <v>1200</v>
      </c>
      <c r="O79" s="2">
        <v>700</v>
      </c>
      <c r="P79" s="2">
        <v>0</v>
      </c>
      <c r="Q79" s="2">
        <v>0</v>
      </c>
      <c r="R79" s="2">
        <v>0</v>
      </c>
      <c r="S79" s="2">
        <v>0</v>
      </c>
      <c r="T79" s="2">
        <f t="shared" si="12"/>
        <v>27100</v>
      </c>
    </row>
    <row r="80" spans="1:20">
      <c r="A80" s="458"/>
      <c r="B80" s="454"/>
      <c r="C80" s="2" t="s">
        <v>25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>
        <f t="shared" si="12"/>
        <v>0</v>
      </c>
    </row>
    <row r="81" spans="1:20">
      <c r="A81" s="458">
        <v>8</v>
      </c>
      <c r="B81" s="331" t="s">
        <v>388</v>
      </c>
      <c r="C81" s="2" t="s">
        <v>24</v>
      </c>
      <c r="D81" s="2">
        <v>1250</v>
      </c>
      <c r="E81" s="2">
        <v>1250</v>
      </c>
      <c r="F81" s="2">
        <v>1250</v>
      </c>
      <c r="G81" s="2">
        <v>1020</v>
      </c>
      <c r="H81" s="2">
        <v>225</v>
      </c>
      <c r="I81" s="2">
        <v>5</v>
      </c>
      <c r="J81" s="2">
        <v>0</v>
      </c>
      <c r="K81" s="2">
        <v>750</v>
      </c>
      <c r="L81" s="2">
        <v>425</v>
      </c>
      <c r="M81" s="2">
        <v>750</v>
      </c>
      <c r="N81" s="2">
        <v>325</v>
      </c>
      <c r="O81" s="2">
        <v>300</v>
      </c>
      <c r="P81" s="2">
        <v>0</v>
      </c>
      <c r="Q81" s="2">
        <v>0</v>
      </c>
      <c r="R81" s="2">
        <v>0</v>
      </c>
      <c r="S81" s="2">
        <v>0</v>
      </c>
      <c r="T81" s="2">
        <f t="shared" si="12"/>
        <v>7550</v>
      </c>
    </row>
    <row r="82" spans="1:20">
      <c r="A82" s="458"/>
      <c r="B82" s="454"/>
      <c r="C82" s="2" t="s">
        <v>25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>
        <f t="shared" si="12"/>
        <v>0</v>
      </c>
    </row>
    <row r="83" spans="1:20">
      <c r="A83" s="458">
        <v>9</v>
      </c>
      <c r="B83" s="331" t="s">
        <v>389</v>
      </c>
      <c r="C83" s="2" t="s">
        <v>24</v>
      </c>
      <c r="D83" s="2">
        <v>1900</v>
      </c>
      <c r="E83" s="2">
        <v>1900</v>
      </c>
      <c r="F83" s="2">
        <v>1900</v>
      </c>
      <c r="G83" s="2">
        <v>700</v>
      </c>
      <c r="H83" s="2">
        <v>1100</v>
      </c>
      <c r="I83" s="2">
        <v>100</v>
      </c>
      <c r="J83" s="2">
        <v>0</v>
      </c>
      <c r="K83" s="2">
        <v>1300</v>
      </c>
      <c r="L83" s="2">
        <v>800</v>
      </c>
      <c r="M83" s="2">
        <v>1300</v>
      </c>
      <c r="N83" s="2">
        <v>500</v>
      </c>
      <c r="O83" s="2">
        <v>250</v>
      </c>
      <c r="P83" s="2">
        <v>0</v>
      </c>
      <c r="Q83" s="2">
        <v>0</v>
      </c>
      <c r="R83" s="2">
        <v>0</v>
      </c>
      <c r="S83" s="2">
        <v>0</v>
      </c>
      <c r="T83" s="2">
        <f t="shared" si="12"/>
        <v>11750</v>
      </c>
    </row>
    <row r="84" spans="1:20">
      <c r="A84" s="458"/>
      <c r="B84" s="454"/>
      <c r="C84" s="2" t="s">
        <v>25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>
        <f t="shared" si="12"/>
        <v>0</v>
      </c>
    </row>
    <row r="85" spans="1:20">
      <c r="A85" s="458">
        <v>10</v>
      </c>
      <c r="B85" s="331" t="s">
        <v>390</v>
      </c>
      <c r="C85" s="2" t="s">
        <v>24</v>
      </c>
      <c r="D85" s="2">
        <v>1850</v>
      </c>
      <c r="E85" s="2">
        <v>1850</v>
      </c>
      <c r="F85" s="2">
        <v>1850</v>
      </c>
      <c r="G85" s="2">
        <v>1080</v>
      </c>
      <c r="H85" s="2">
        <v>750</v>
      </c>
      <c r="I85" s="2">
        <v>20</v>
      </c>
      <c r="J85" s="2">
        <v>0</v>
      </c>
      <c r="K85" s="2">
        <v>1250</v>
      </c>
      <c r="L85" s="2">
        <v>1000</v>
      </c>
      <c r="M85" s="2">
        <v>1180</v>
      </c>
      <c r="N85" s="2">
        <v>250</v>
      </c>
      <c r="O85" s="2">
        <v>350</v>
      </c>
      <c r="P85" s="2">
        <v>0</v>
      </c>
      <c r="Q85" s="2">
        <v>0</v>
      </c>
      <c r="R85" s="2">
        <v>0</v>
      </c>
      <c r="S85" s="2">
        <v>0</v>
      </c>
      <c r="T85" s="2">
        <f t="shared" si="12"/>
        <v>11430</v>
      </c>
    </row>
    <row r="86" spans="1:20">
      <c r="A86" s="458"/>
      <c r="B86" s="454"/>
      <c r="C86" s="2" t="s">
        <v>25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f t="shared" si="12"/>
        <v>0</v>
      </c>
    </row>
    <row r="87" spans="1:20">
      <c r="A87" s="458">
        <v>11</v>
      </c>
      <c r="B87" s="331" t="s">
        <v>391</v>
      </c>
      <c r="C87" s="2" t="s">
        <v>24</v>
      </c>
      <c r="D87" s="2">
        <v>5150</v>
      </c>
      <c r="E87" s="2">
        <v>5150</v>
      </c>
      <c r="F87" s="2">
        <v>5150</v>
      </c>
      <c r="G87" s="2">
        <v>4470</v>
      </c>
      <c r="H87" s="2">
        <v>560</v>
      </c>
      <c r="I87" s="2">
        <v>110</v>
      </c>
      <c r="J87" s="2">
        <v>10</v>
      </c>
      <c r="K87" s="2">
        <v>1837</v>
      </c>
      <c r="L87" s="2">
        <v>1567</v>
      </c>
      <c r="M87" s="2">
        <v>1837</v>
      </c>
      <c r="N87" s="2">
        <v>270</v>
      </c>
      <c r="O87" s="2">
        <v>1270</v>
      </c>
      <c r="P87" s="2">
        <v>0</v>
      </c>
      <c r="Q87" s="2">
        <v>0</v>
      </c>
      <c r="R87" s="2">
        <v>0</v>
      </c>
      <c r="S87" s="2">
        <v>0</v>
      </c>
      <c r="T87" s="2">
        <f t="shared" si="12"/>
        <v>27381</v>
      </c>
    </row>
    <row r="88" spans="1:20">
      <c r="A88" s="458"/>
      <c r="B88" s="454"/>
      <c r="C88" s="2" t="s">
        <v>25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>
        <f t="shared" si="12"/>
        <v>0</v>
      </c>
    </row>
    <row r="89" spans="1:20">
      <c r="A89" s="458">
        <v>12</v>
      </c>
      <c r="B89" s="331" t="s">
        <v>316</v>
      </c>
      <c r="C89" s="2" t="s">
        <v>24</v>
      </c>
      <c r="D89" s="2">
        <v>3600</v>
      </c>
      <c r="E89" s="2">
        <v>3600</v>
      </c>
      <c r="F89" s="2">
        <v>3600</v>
      </c>
      <c r="G89" s="2">
        <v>2790</v>
      </c>
      <c r="H89" s="2">
        <v>800</v>
      </c>
      <c r="I89" s="2">
        <v>10</v>
      </c>
      <c r="J89" s="2">
        <v>0</v>
      </c>
      <c r="K89" s="2">
        <v>1885</v>
      </c>
      <c r="L89" s="2">
        <v>845</v>
      </c>
      <c r="M89" s="2">
        <v>1885</v>
      </c>
      <c r="N89" s="2">
        <v>1040</v>
      </c>
      <c r="O89" s="2">
        <v>825</v>
      </c>
      <c r="P89" s="2">
        <v>0</v>
      </c>
      <c r="Q89" s="2">
        <v>0</v>
      </c>
      <c r="R89" s="2">
        <v>0</v>
      </c>
      <c r="S89" s="2">
        <v>0</v>
      </c>
      <c r="T89" s="2">
        <f t="shared" si="12"/>
        <v>20880</v>
      </c>
    </row>
    <row r="90" spans="1:20">
      <c r="A90" s="458"/>
      <c r="B90" s="454"/>
      <c r="C90" s="2" t="s">
        <v>25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>
        <f t="shared" si="12"/>
        <v>0</v>
      </c>
    </row>
    <row r="91" spans="1:20">
      <c r="A91" s="458">
        <v>13</v>
      </c>
      <c r="B91" s="331" t="s">
        <v>317</v>
      </c>
      <c r="C91" s="2" t="s">
        <v>24</v>
      </c>
      <c r="D91" s="2">
        <v>1950</v>
      </c>
      <c r="E91" s="2">
        <v>1950</v>
      </c>
      <c r="F91" s="2">
        <v>1950</v>
      </c>
      <c r="G91" s="2">
        <v>1350</v>
      </c>
      <c r="H91" s="2">
        <v>600</v>
      </c>
      <c r="I91" s="2">
        <v>0</v>
      </c>
      <c r="J91" s="2">
        <v>0</v>
      </c>
      <c r="K91" s="2">
        <v>1056</v>
      </c>
      <c r="L91" s="2">
        <v>268</v>
      </c>
      <c r="M91" s="2">
        <v>1056</v>
      </c>
      <c r="N91" s="2">
        <v>788</v>
      </c>
      <c r="O91" s="2">
        <v>468</v>
      </c>
      <c r="P91" s="2">
        <v>0</v>
      </c>
      <c r="Q91" s="2">
        <v>0</v>
      </c>
      <c r="R91" s="2">
        <v>0</v>
      </c>
      <c r="S91" s="2">
        <v>0</v>
      </c>
      <c r="T91" s="2">
        <f t="shared" si="12"/>
        <v>11436</v>
      </c>
    </row>
    <row r="92" spans="1:20">
      <c r="A92" s="458"/>
      <c r="B92" s="454"/>
      <c r="C92" s="2" t="s">
        <v>25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>
        <f t="shared" si="12"/>
        <v>0</v>
      </c>
    </row>
    <row r="93" spans="1:20">
      <c r="A93" s="458">
        <v>14</v>
      </c>
      <c r="B93" s="331" t="s">
        <v>318</v>
      </c>
      <c r="C93" s="2" t="s">
        <v>24</v>
      </c>
      <c r="D93" s="2">
        <v>1200</v>
      </c>
      <c r="E93" s="2">
        <v>1200</v>
      </c>
      <c r="F93" s="2">
        <v>1200</v>
      </c>
      <c r="G93" s="2">
        <v>1050</v>
      </c>
      <c r="H93" s="2">
        <v>150</v>
      </c>
      <c r="I93" s="2">
        <v>0</v>
      </c>
      <c r="J93" s="2">
        <v>0</v>
      </c>
      <c r="K93" s="2">
        <v>810</v>
      </c>
      <c r="L93" s="2">
        <v>810</v>
      </c>
      <c r="M93" s="2">
        <v>810</v>
      </c>
      <c r="N93" s="2">
        <v>0</v>
      </c>
      <c r="O93" s="2">
        <v>90</v>
      </c>
      <c r="P93" s="2">
        <v>0</v>
      </c>
      <c r="Q93" s="2">
        <v>0</v>
      </c>
      <c r="R93" s="2">
        <v>0</v>
      </c>
      <c r="S93" s="2">
        <v>0</v>
      </c>
      <c r="T93" s="2">
        <f t="shared" si="12"/>
        <v>7320</v>
      </c>
    </row>
    <row r="94" spans="1:20">
      <c r="A94" s="458"/>
      <c r="B94" s="454"/>
      <c r="C94" s="2" t="s">
        <v>25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>
        <f t="shared" si="12"/>
        <v>0</v>
      </c>
    </row>
    <row r="95" spans="1:20">
      <c r="A95" s="458">
        <v>15</v>
      </c>
      <c r="B95" s="331" t="s">
        <v>319</v>
      </c>
      <c r="C95" s="2" t="s">
        <v>24</v>
      </c>
      <c r="D95" s="2">
        <v>2050</v>
      </c>
      <c r="E95" s="2">
        <v>2050</v>
      </c>
      <c r="F95" s="2">
        <v>2050</v>
      </c>
      <c r="G95" s="2">
        <v>1480</v>
      </c>
      <c r="H95" s="2">
        <v>550</v>
      </c>
      <c r="I95" s="2">
        <v>20</v>
      </c>
      <c r="J95" s="2">
        <v>0</v>
      </c>
      <c r="K95" s="2">
        <v>1130</v>
      </c>
      <c r="L95" s="2">
        <v>790</v>
      </c>
      <c r="M95" s="2">
        <v>1130</v>
      </c>
      <c r="N95" s="2">
        <v>340</v>
      </c>
      <c r="O95" s="2">
        <v>470</v>
      </c>
      <c r="P95" s="2">
        <v>0</v>
      </c>
      <c r="Q95" s="2">
        <v>0</v>
      </c>
      <c r="R95" s="2">
        <v>0</v>
      </c>
      <c r="S95" s="2">
        <v>0</v>
      </c>
      <c r="T95" s="2">
        <f t="shared" si="12"/>
        <v>12060</v>
      </c>
    </row>
    <row r="96" spans="1:20">
      <c r="A96" s="458"/>
      <c r="B96" s="454"/>
      <c r="C96" s="2" t="s">
        <v>25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>
        <f t="shared" si="12"/>
        <v>0</v>
      </c>
    </row>
    <row r="97" spans="1:20">
      <c r="A97" s="458">
        <v>16</v>
      </c>
      <c r="B97" s="331" t="s">
        <v>392</v>
      </c>
      <c r="C97" s="2" t="s">
        <v>24</v>
      </c>
      <c r="D97" s="2">
        <v>3900</v>
      </c>
      <c r="E97" s="2">
        <v>3900</v>
      </c>
      <c r="F97" s="2">
        <v>3900</v>
      </c>
      <c r="G97" s="2">
        <v>2920</v>
      </c>
      <c r="H97" s="2">
        <v>580</v>
      </c>
      <c r="I97" s="2">
        <v>2</v>
      </c>
      <c r="J97" s="2">
        <v>0</v>
      </c>
      <c r="K97" s="2">
        <v>2300</v>
      </c>
      <c r="L97" s="2">
        <v>2100</v>
      </c>
      <c r="M97" s="2">
        <v>2300</v>
      </c>
      <c r="N97" s="2">
        <v>200</v>
      </c>
      <c r="O97" s="2">
        <v>500</v>
      </c>
      <c r="P97" s="2">
        <v>0</v>
      </c>
      <c r="Q97" s="2">
        <v>0</v>
      </c>
      <c r="R97" s="2">
        <v>0</v>
      </c>
      <c r="S97" s="2">
        <v>0</v>
      </c>
      <c r="T97" s="2">
        <f t="shared" si="12"/>
        <v>22602</v>
      </c>
    </row>
    <row r="98" spans="1:20">
      <c r="A98" s="458"/>
      <c r="B98" s="332"/>
      <c r="C98" s="2" t="s">
        <v>25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>
        <f t="shared" si="12"/>
        <v>0</v>
      </c>
    </row>
    <row r="99" spans="1:20">
      <c r="A99" s="458">
        <v>17</v>
      </c>
      <c r="B99" s="331" t="s">
        <v>320</v>
      </c>
      <c r="C99" s="2" t="s">
        <v>24</v>
      </c>
      <c r="D99" s="2">
        <v>1400</v>
      </c>
      <c r="E99" s="2">
        <v>1400</v>
      </c>
      <c r="F99" s="2">
        <v>1400</v>
      </c>
      <c r="G99" s="2">
        <v>990</v>
      </c>
      <c r="H99" s="2">
        <v>340</v>
      </c>
      <c r="I99" s="2">
        <v>70</v>
      </c>
      <c r="J99" s="2">
        <v>0</v>
      </c>
      <c r="K99" s="2">
        <v>720</v>
      </c>
      <c r="L99" s="2">
        <v>320</v>
      </c>
      <c r="M99" s="2">
        <v>720</v>
      </c>
      <c r="N99" s="2">
        <v>400</v>
      </c>
      <c r="O99" s="2">
        <v>370</v>
      </c>
      <c r="P99" s="2">
        <v>0</v>
      </c>
      <c r="Q99" s="2">
        <v>0</v>
      </c>
      <c r="R99" s="2">
        <v>0</v>
      </c>
      <c r="S99" s="2">
        <v>0</v>
      </c>
      <c r="T99" s="2">
        <f t="shared" si="12"/>
        <v>8130</v>
      </c>
    </row>
    <row r="100" spans="1:20">
      <c r="A100" s="458"/>
      <c r="B100" s="332"/>
      <c r="C100" s="2" t="s">
        <v>25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>
        <f t="shared" si="12"/>
        <v>0</v>
      </c>
    </row>
    <row r="101" spans="1:20">
      <c r="A101" s="458">
        <v>18</v>
      </c>
      <c r="B101" s="331" t="s">
        <v>321</v>
      </c>
      <c r="C101" s="2" t="s">
        <v>24</v>
      </c>
      <c r="D101" s="2">
        <v>2000</v>
      </c>
      <c r="E101" s="2">
        <v>2000</v>
      </c>
      <c r="F101" s="2">
        <v>2000</v>
      </c>
      <c r="G101" s="2">
        <v>1400</v>
      </c>
      <c r="H101" s="2">
        <v>590</v>
      </c>
      <c r="I101" s="2">
        <v>10</v>
      </c>
      <c r="J101" s="2">
        <v>0</v>
      </c>
      <c r="K101" s="2">
        <v>1650</v>
      </c>
      <c r="L101" s="2">
        <v>1500</v>
      </c>
      <c r="M101" s="2">
        <v>1650</v>
      </c>
      <c r="N101" s="2">
        <v>200</v>
      </c>
      <c r="O101" s="2">
        <v>250</v>
      </c>
      <c r="P101" s="2">
        <v>0</v>
      </c>
      <c r="Q101" s="2">
        <v>0</v>
      </c>
      <c r="R101" s="2">
        <v>0</v>
      </c>
      <c r="S101" s="2">
        <v>0</v>
      </c>
      <c r="T101" s="2">
        <f t="shared" si="12"/>
        <v>13250</v>
      </c>
    </row>
    <row r="102" spans="1:20">
      <c r="A102" s="458"/>
      <c r="B102" s="332"/>
      <c r="C102" s="2" t="s">
        <v>25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>
        <f t="shared" si="12"/>
        <v>0</v>
      </c>
    </row>
    <row r="103" spans="1:20">
      <c r="A103" s="458">
        <v>19</v>
      </c>
      <c r="B103" s="331" t="s">
        <v>322</v>
      </c>
      <c r="C103" s="2" t="s">
        <v>24</v>
      </c>
      <c r="D103" s="2">
        <v>1075</v>
      </c>
      <c r="E103" s="2">
        <v>1075</v>
      </c>
      <c r="F103" s="2">
        <v>1075</v>
      </c>
      <c r="G103" s="2">
        <v>798</v>
      </c>
      <c r="H103" s="2">
        <v>277</v>
      </c>
      <c r="I103" s="2">
        <v>0</v>
      </c>
      <c r="J103" s="2">
        <v>0</v>
      </c>
      <c r="K103" s="2">
        <v>691</v>
      </c>
      <c r="L103" s="2">
        <v>197</v>
      </c>
      <c r="M103" s="2">
        <v>691</v>
      </c>
      <c r="N103" s="2">
        <v>494</v>
      </c>
      <c r="O103" s="2">
        <v>189</v>
      </c>
      <c r="P103" s="2">
        <v>0</v>
      </c>
      <c r="Q103" s="2">
        <v>0</v>
      </c>
      <c r="R103" s="2">
        <v>0</v>
      </c>
      <c r="S103" s="2">
        <v>0</v>
      </c>
      <c r="T103" s="2">
        <f t="shared" si="12"/>
        <v>6562</v>
      </c>
    </row>
    <row r="104" spans="1:20">
      <c r="A104" s="458"/>
      <c r="B104" s="332"/>
      <c r="C104" s="2" t="s">
        <v>25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>
        <f t="shared" si="12"/>
        <v>0</v>
      </c>
    </row>
    <row r="105" spans="1:20">
      <c r="A105" s="458">
        <v>20</v>
      </c>
      <c r="B105" s="331" t="s">
        <v>323</v>
      </c>
      <c r="C105" s="2" t="s">
        <v>24</v>
      </c>
      <c r="D105" s="2">
        <v>1800</v>
      </c>
      <c r="E105" s="2">
        <v>1800</v>
      </c>
      <c r="F105" s="2">
        <v>1800</v>
      </c>
      <c r="G105" s="2">
        <v>1050</v>
      </c>
      <c r="H105" s="2">
        <v>750</v>
      </c>
      <c r="I105" s="2">
        <v>0</v>
      </c>
      <c r="J105" s="2">
        <v>0</v>
      </c>
      <c r="K105" s="2">
        <v>1100</v>
      </c>
      <c r="L105" s="2">
        <v>500</v>
      </c>
      <c r="M105" s="2">
        <v>1100</v>
      </c>
      <c r="N105" s="2">
        <v>600</v>
      </c>
      <c r="O105" s="2">
        <v>250</v>
      </c>
      <c r="P105" s="2">
        <v>0</v>
      </c>
      <c r="Q105" s="2">
        <v>0</v>
      </c>
      <c r="R105" s="2">
        <v>0</v>
      </c>
      <c r="S105" s="2">
        <v>0</v>
      </c>
      <c r="T105" s="2">
        <f t="shared" si="12"/>
        <v>10750</v>
      </c>
    </row>
    <row r="106" spans="1:20">
      <c r="A106" s="458"/>
      <c r="B106" s="332"/>
      <c r="C106" s="2" t="s">
        <v>25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>
        <f t="shared" si="12"/>
        <v>0</v>
      </c>
    </row>
    <row r="107" spans="1:20">
      <c r="A107" s="442" t="s">
        <v>35</v>
      </c>
      <c r="B107" s="442"/>
      <c r="C107" s="442"/>
      <c r="D107" s="2">
        <f>D67+D69+D71+D73+D75+D77+D79+D81+D83+D85+D87+D89+D91+D93+D95+D97+D99+D101+D103+D105</f>
        <v>51473</v>
      </c>
      <c r="E107" s="2">
        <f t="shared" ref="E107:T107" si="13">E67+E69+E71+E73+E75+E77+E79+E81+E83+E85+E87+E89+E91+E93+E95+E97+E99+E101+E103+E105</f>
        <v>51473</v>
      </c>
      <c r="F107" s="2">
        <f t="shared" si="13"/>
        <v>51473</v>
      </c>
      <c r="G107" s="2">
        <f t="shared" si="13"/>
        <v>36618</v>
      </c>
      <c r="H107" s="2">
        <f t="shared" si="13"/>
        <v>13603</v>
      </c>
      <c r="I107" s="2">
        <f t="shared" si="13"/>
        <v>809</v>
      </c>
      <c r="J107" s="2">
        <f t="shared" si="13"/>
        <v>47</v>
      </c>
      <c r="K107" s="2">
        <f t="shared" si="13"/>
        <v>29523</v>
      </c>
      <c r="L107" s="2">
        <f t="shared" si="13"/>
        <v>19299</v>
      </c>
      <c r="M107" s="2">
        <f t="shared" si="13"/>
        <v>29448</v>
      </c>
      <c r="N107" s="2">
        <f t="shared" si="13"/>
        <v>11741</v>
      </c>
      <c r="O107" s="2">
        <f t="shared" si="13"/>
        <v>10753</v>
      </c>
      <c r="P107" s="2">
        <f>P67+P69+P71+P73+P75+P77+P79+P81+P83+P85+P87+P89+P91+P93+P95+P97+P99+P101+P103+P105</f>
        <v>0</v>
      </c>
      <c r="Q107" s="2">
        <f t="shared" si="13"/>
        <v>0</v>
      </c>
      <c r="R107" s="2">
        <f t="shared" si="13"/>
        <v>0</v>
      </c>
      <c r="S107" s="2">
        <f t="shared" si="13"/>
        <v>0</v>
      </c>
      <c r="T107" s="2">
        <f t="shared" si="13"/>
        <v>306260</v>
      </c>
    </row>
    <row r="108" spans="1:20">
      <c r="A108" s="442" t="s">
        <v>36</v>
      </c>
      <c r="B108" s="442"/>
      <c r="C108" s="442"/>
      <c r="D108" s="2">
        <f>D68+D70+D72+D74+D76+D78+D80+D82+D84+D86+D88+D90+D92+D94+D96+D98+D100+D102+D104+D106</f>
        <v>0</v>
      </c>
      <c r="E108" s="2">
        <f t="shared" ref="E108:T108" si="14">E68+E70+E72+E74+E76+E78+E80+E82+E84+E86+E88+E90+E92+E94+E96+E98+E100+E102+E104+E106</f>
        <v>0</v>
      </c>
      <c r="F108" s="2">
        <f t="shared" si="14"/>
        <v>0</v>
      </c>
      <c r="G108" s="2">
        <f t="shared" si="14"/>
        <v>0</v>
      </c>
      <c r="H108" s="2">
        <f t="shared" si="14"/>
        <v>0</v>
      </c>
      <c r="I108" s="2">
        <f t="shared" si="14"/>
        <v>0</v>
      </c>
      <c r="J108" s="2">
        <f t="shared" si="14"/>
        <v>0</v>
      </c>
      <c r="K108" s="2">
        <f t="shared" si="14"/>
        <v>0</v>
      </c>
      <c r="L108" s="2">
        <f t="shared" si="14"/>
        <v>0</v>
      </c>
      <c r="M108" s="2">
        <f t="shared" si="14"/>
        <v>0</v>
      </c>
      <c r="N108" s="2">
        <f t="shared" si="14"/>
        <v>0</v>
      </c>
      <c r="O108" s="2">
        <f t="shared" si="14"/>
        <v>0</v>
      </c>
      <c r="P108" s="2">
        <f t="shared" si="14"/>
        <v>0</v>
      </c>
      <c r="Q108" s="2">
        <f t="shared" si="14"/>
        <v>0</v>
      </c>
      <c r="R108" s="2">
        <f t="shared" si="14"/>
        <v>0</v>
      </c>
      <c r="S108" s="2">
        <f t="shared" si="14"/>
        <v>0</v>
      </c>
      <c r="T108" s="2">
        <f t="shared" si="14"/>
        <v>0</v>
      </c>
    </row>
    <row r="109" spans="1:20">
      <c r="A109" s="442" t="s">
        <v>37</v>
      </c>
      <c r="B109" s="442"/>
      <c r="C109" s="442"/>
      <c r="D109" s="2">
        <f>D107-D108</f>
        <v>51473</v>
      </c>
      <c r="E109" s="2">
        <f t="shared" ref="E109:T109" si="15">E107-E108</f>
        <v>51473</v>
      </c>
      <c r="F109" s="2">
        <f t="shared" si="15"/>
        <v>51473</v>
      </c>
      <c r="G109" s="2">
        <f t="shared" si="15"/>
        <v>36618</v>
      </c>
      <c r="H109" s="2">
        <f t="shared" si="15"/>
        <v>13603</v>
      </c>
      <c r="I109" s="2">
        <f t="shared" si="15"/>
        <v>809</v>
      </c>
      <c r="J109" s="2">
        <f t="shared" si="15"/>
        <v>47</v>
      </c>
      <c r="K109" s="2">
        <f t="shared" si="15"/>
        <v>29523</v>
      </c>
      <c r="L109" s="2">
        <f t="shared" si="15"/>
        <v>19299</v>
      </c>
      <c r="M109" s="2">
        <f t="shared" si="15"/>
        <v>29448</v>
      </c>
      <c r="N109" s="2">
        <f t="shared" si="15"/>
        <v>11741</v>
      </c>
      <c r="O109" s="2">
        <f t="shared" si="15"/>
        <v>10753</v>
      </c>
      <c r="P109" s="2">
        <f t="shared" si="15"/>
        <v>0</v>
      </c>
      <c r="Q109" s="2">
        <f t="shared" si="15"/>
        <v>0</v>
      </c>
      <c r="R109" s="2">
        <f t="shared" si="15"/>
        <v>0</v>
      </c>
      <c r="S109" s="2">
        <f t="shared" si="15"/>
        <v>0</v>
      </c>
      <c r="T109" s="2">
        <f t="shared" si="15"/>
        <v>306260</v>
      </c>
    </row>
    <row r="110" spans="1:20">
      <c r="D110" s="233">
        <v>1</v>
      </c>
      <c r="E110" s="233">
        <v>2</v>
      </c>
      <c r="F110" s="233">
        <v>3</v>
      </c>
      <c r="G110" s="233">
        <v>4</v>
      </c>
      <c r="H110" s="233">
        <v>5</v>
      </c>
      <c r="I110" s="233">
        <v>6</v>
      </c>
      <c r="J110" s="233">
        <v>7</v>
      </c>
      <c r="K110" s="233">
        <v>8</v>
      </c>
      <c r="L110" s="233">
        <v>9</v>
      </c>
      <c r="M110" s="233">
        <v>10</v>
      </c>
      <c r="N110" s="233">
        <v>11</v>
      </c>
      <c r="O110" s="233">
        <v>12</v>
      </c>
      <c r="P110" s="233">
        <v>13</v>
      </c>
      <c r="Q110" s="233">
        <v>14</v>
      </c>
      <c r="R110" s="233">
        <v>15</v>
      </c>
      <c r="S110" s="233">
        <v>16</v>
      </c>
    </row>
    <row r="112" spans="1:20"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</row>
  </sheetData>
  <mergeCells count="102">
    <mergeCell ref="A1:T1"/>
    <mergeCell ref="A3:A4"/>
    <mergeCell ref="B3:B4"/>
    <mergeCell ref="A17:A18"/>
    <mergeCell ref="B17:B18"/>
    <mergeCell ref="A5:A6"/>
    <mergeCell ref="B5:B6"/>
    <mergeCell ref="B13:B14"/>
    <mergeCell ref="A7:C7"/>
    <mergeCell ref="A8:C8"/>
    <mergeCell ref="A9:C9"/>
    <mergeCell ref="A13:A14"/>
    <mergeCell ref="A37:A38"/>
    <mergeCell ref="B37:B38"/>
    <mergeCell ref="A39:A40"/>
    <mergeCell ref="B39:B40"/>
    <mergeCell ref="A11:T11"/>
    <mergeCell ref="A31:C31"/>
    <mergeCell ref="A32:C32"/>
    <mergeCell ref="A33:C33"/>
    <mergeCell ref="A15:A16"/>
    <mergeCell ref="A27:A28"/>
    <mergeCell ref="A29:A30"/>
    <mergeCell ref="B15:B16"/>
    <mergeCell ref="B19:B20"/>
    <mergeCell ref="B27:B28"/>
    <mergeCell ref="B29:B30"/>
    <mergeCell ref="A19:A20"/>
    <mergeCell ref="B21:B22"/>
    <mergeCell ref="B25:B26"/>
    <mergeCell ref="A23:A24"/>
    <mergeCell ref="B23:B24"/>
    <mergeCell ref="A35:T35"/>
    <mergeCell ref="A21:A22"/>
    <mergeCell ref="A25:A26"/>
    <mergeCell ref="A62:C62"/>
    <mergeCell ref="A63:C63"/>
    <mergeCell ref="A55:A56"/>
    <mergeCell ref="B55:B56"/>
    <mergeCell ref="A57:A58"/>
    <mergeCell ref="B57:B58"/>
    <mergeCell ref="A59:A60"/>
    <mergeCell ref="B59:B60"/>
    <mergeCell ref="A41:A42"/>
    <mergeCell ref="B41:B42"/>
    <mergeCell ref="A43:A44"/>
    <mergeCell ref="B43:B44"/>
    <mergeCell ref="A45:A46"/>
    <mergeCell ref="B45:B46"/>
    <mergeCell ref="B47:B48"/>
    <mergeCell ref="B49:B50"/>
    <mergeCell ref="B51:B52"/>
    <mergeCell ref="B53:B54"/>
    <mergeCell ref="A47:A48"/>
    <mergeCell ref="A49:A50"/>
    <mergeCell ref="A51:A52"/>
    <mergeCell ref="A53:A54"/>
    <mergeCell ref="A61:C61"/>
    <mergeCell ref="A71:A72"/>
    <mergeCell ref="B71:B72"/>
    <mergeCell ref="A73:A74"/>
    <mergeCell ref="B73:B74"/>
    <mergeCell ref="A75:A76"/>
    <mergeCell ref="B75:B76"/>
    <mergeCell ref="A65:T65"/>
    <mergeCell ref="A67:A68"/>
    <mergeCell ref="B67:B68"/>
    <mergeCell ref="A69:A70"/>
    <mergeCell ref="B69:B70"/>
    <mergeCell ref="A107:C107"/>
    <mergeCell ref="A108:C108"/>
    <mergeCell ref="A109:C109"/>
    <mergeCell ref="A103:A104"/>
    <mergeCell ref="B103:B104"/>
    <mergeCell ref="A105:A106"/>
    <mergeCell ref="B105:B106"/>
    <mergeCell ref="A77:A78"/>
    <mergeCell ref="B77:B78"/>
    <mergeCell ref="A99:A100"/>
    <mergeCell ref="B99:B100"/>
    <mergeCell ref="A101:A102"/>
    <mergeCell ref="B101:B102"/>
    <mergeCell ref="A79:A80"/>
    <mergeCell ref="A81:A82"/>
    <mergeCell ref="A83:A84"/>
    <mergeCell ref="A85:A86"/>
    <mergeCell ref="A87:A88"/>
    <mergeCell ref="A89:A90"/>
    <mergeCell ref="A91:A92"/>
    <mergeCell ref="A93:A94"/>
    <mergeCell ref="A95:A96"/>
    <mergeCell ref="A97:A98"/>
    <mergeCell ref="B89:B90"/>
    <mergeCell ref="B91:B92"/>
    <mergeCell ref="B93:B94"/>
    <mergeCell ref="B95:B96"/>
    <mergeCell ref="B97:B98"/>
    <mergeCell ref="B79:B80"/>
    <mergeCell ref="B81:B82"/>
    <mergeCell ref="B83:B84"/>
    <mergeCell ref="B85:B86"/>
    <mergeCell ref="B87:B88"/>
  </mergeCells>
  <pageMargins left="0.7" right="0.7" top="0.75" bottom="0.75" header="0.3" footer="0.3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>
    <tabColor rgb="FF00B0F0"/>
  </sheetPr>
  <dimension ref="A1:V44"/>
  <sheetViews>
    <sheetView topLeftCell="A28" workbookViewId="0">
      <selection activeCell="I8" sqref="I8"/>
    </sheetView>
  </sheetViews>
  <sheetFormatPr defaultRowHeight="15.75"/>
  <cols>
    <col min="1" max="1" width="5.140625" style="1" bestFit="1" customWidth="1"/>
    <col min="2" max="2" width="11" style="1" bestFit="1" customWidth="1"/>
    <col min="3" max="3" width="7.28515625" style="1" bestFit="1" customWidth="1"/>
    <col min="4" max="7" width="6.7109375" style="1" bestFit="1" customWidth="1"/>
    <col min="8" max="8" width="6.28515625" style="1" customWidth="1"/>
    <col min="9" max="9" width="6.7109375" style="1" bestFit="1" customWidth="1"/>
    <col min="10" max="11" width="5.5703125" style="1" bestFit="1" customWidth="1"/>
    <col min="12" max="12" width="6" style="1" customWidth="1"/>
    <col min="13" max="16384" width="9.140625" style="1"/>
  </cols>
  <sheetData>
    <row r="1" spans="1:22">
      <c r="N1" s="4"/>
      <c r="O1" s="4"/>
      <c r="P1" s="4"/>
      <c r="Q1" s="4"/>
      <c r="R1" s="4"/>
      <c r="S1" s="4"/>
      <c r="T1" s="4"/>
      <c r="U1" s="4"/>
      <c r="V1" s="4"/>
    </row>
    <row r="2" spans="1:22">
      <c r="N2" s="4"/>
      <c r="O2" s="4"/>
      <c r="P2" s="4"/>
      <c r="Q2" s="4"/>
      <c r="R2" s="4"/>
      <c r="S2" s="4"/>
      <c r="T2" s="4"/>
      <c r="U2" s="4"/>
      <c r="V2" s="4"/>
    </row>
    <row r="3" spans="1:22" ht="19.5">
      <c r="A3" s="459" t="s">
        <v>446</v>
      </c>
      <c r="B3" s="459"/>
      <c r="C3" s="459"/>
      <c r="D3" s="459"/>
      <c r="E3" s="459"/>
      <c r="F3" s="459"/>
      <c r="G3" s="459"/>
      <c r="H3" s="459"/>
      <c r="I3" s="459"/>
      <c r="J3" s="459"/>
      <c r="K3" s="459"/>
      <c r="L3" s="459"/>
      <c r="M3" s="459"/>
      <c r="N3" s="8"/>
      <c r="O3" s="8"/>
      <c r="P3" s="8"/>
      <c r="Q3" s="8"/>
      <c r="R3" s="8"/>
      <c r="S3" s="8"/>
      <c r="T3" s="8"/>
      <c r="U3" s="8"/>
      <c r="V3" s="8"/>
    </row>
    <row r="4" spans="1:22" ht="30.75" customHeight="1">
      <c r="A4" s="540" t="s">
        <v>118</v>
      </c>
      <c r="B4" s="540" t="s">
        <v>16</v>
      </c>
      <c r="C4" s="540"/>
      <c r="D4" s="540" t="s">
        <v>32</v>
      </c>
      <c r="E4" s="540" t="s">
        <v>44</v>
      </c>
      <c r="F4" s="540" t="s">
        <v>92</v>
      </c>
      <c r="G4" s="540" t="s">
        <v>93</v>
      </c>
      <c r="H4" s="540" t="s">
        <v>119</v>
      </c>
      <c r="I4" s="540" t="s">
        <v>44</v>
      </c>
      <c r="J4" s="540" t="s">
        <v>92</v>
      </c>
      <c r="K4" s="540" t="s">
        <v>93</v>
      </c>
      <c r="L4" s="540" t="s">
        <v>119</v>
      </c>
      <c r="M4" s="540" t="s">
        <v>34</v>
      </c>
    </row>
    <row r="5" spans="1:22">
      <c r="A5" s="461">
        <v>1</v>
      </c>
      <c r="B5" s="461" t="s">
        <v>122</v>
      </c>
      <c r="C5" s="154" t="s">
        <v>24</v>
      </c>
      <c r="D5" s="154">
        <v>620</v>
      </c>
      <c r="E5" s="154">
        <v>2140</v>
      </c>
      <c r="F5" s="154">
        <v>1520</v>
      </c>
      <c r="G5" s="154">
        <v>1520</v>
      </c>
      <c r="H5" s="154">
        <v>1520</v>
      </c>
      <c r="I5" s="154">
        <v>810</v>
      </c>
      <c r="J5" s="154">
        <v>290</v>
      </c>
      <c r="K5" s="154">
        <v>290</v>
      </c>
      <c r="L5" s="154">
        <v>290</v>
      </c>
      <c r="M5" s="154">
        <f>SUM(D5:L5)</f>
        <v>9000</v>
      </c>
    </row>
    <row r="6" spans="1:22">
      <c r="A6" s="461"/>
      <c r="B6" s="461"/>
      <c r="C6" s="154" t="s">
        <v>25</v>
      </c>
      <c r="D6" s="154"/>
      <c r="E6" s="154"/>
      <c r="F6" s="154"/>
      <c r="G6" s="154"/>
      <c r="H6" s="154"/>
      <c r="I6" s="154"/>
      <c r="J6" s="154"/>
      <c r="K6" s="154"/>
      <c r="L6" s="154"/>
      <c r="M6" s="154">
        <f t="shared" ref="M6:M40" si="0">SUM(D6:L6)</f>
        <v>0</v>
      </c>
    </row>
    <row r="7" spans="1:22">
      <c r="A7" s="461">
        <v>2</v>
      </c>
      <c r="B7" s="461" t="s">
        <v>121</v>
      </c>
      <c r="C7" s="154" t="s">
        <v>24</v>
      </c>
      <c r="D7" s="154">
        <v>900</v>
      </c>
      <c r="E7" s="154">
        <v>4700</v>
      </c>
      <c r="F7" s="154">
        <v>3800</v>
      </c>
      <c r="G7" s="154">
        <v>3800</v>
      </c>
      <c r="H7" s="154">
        <v>3800</v>
      </c>
      <c r="I7" s="154">
        <v>800</v>
      </c>
      <c r="J7" s="154">
        <v>300</v>
      </c>
      <c r="K7" s="154">
        <v>300</v>
      </c>
      <c r="L7" s="154">
        <v>300</v>
      </c>
      <c r="M7" s="154">
        <f t="shared" si="0"/>
        <v>18700</v>
      </c>
    </row>
    <row r="8" spans="1:22">
      <c r="A8" s="461"/>
      <c r="B8" s="461"/>
      <c r="C8" s="154" t="s">
        <v>25</v>
      </c>
      <c r="D8" s="154"/>
      <c r="E8" s="154"/>
      <c r="F8" s="154"/>
      <c r="G8" s="154"/>
      <c r="H8" s="154"/>
      <c r="I8" s="154"/>
      <c r="J8" s="154"/>
      <c r="K8" s="154"/>
      <c r="L8" s="154"/>
      <c r="M8" s="154">
        <f t="shared" si="0"/>
        <v>0</v>
      </c>
    </row>
    <row r="9" spans="1:22">
      <c r="A9" s="461">
        <v>3</v>
      </c>
      <c r="B9" s="461" t="s">
        <v>447</v>
      </c>
      <c r="C9" s="154" t="s">
        <v>24</v>
      </c>
      <c r="D9" s="154">
        <v>1443</v>
      </c>
      <c r="E9" s="154">
        <v>4150</v>
      </c>
      <c r="F9" s="154">
        <v>2707</v>
      </c>
      <c r="G9" s="154">
        <v>2707</v>
      </c>
      <c r="H9" s="154">
        <v>2707</v>
      </c>
      <c r="I9" s="154">
        <v>1050</v>
      </c>
      <c r="J9" s="154">
        <v>385</v>
      </c>
      <c r="K9" s="154">
        <v>385</v>
      </c>
      <c r="L9" s="154">
        <v>385</v>
      </c>
      <c r="M9" s="154">
        <f t="shared" si="0"/>
        <v>15919</v>
      </c>
    </row>
    <row r="10" spans="1:22">
      <c r="A10" s="461"/>
      <c r="B10" s="461"/>
      <c r="C10" s="154" t="s">
        <v>25</v>
      </c>
      <c r="D10" s="154"/>
      <c r="E10" s="154"/>
      <c r="F10" s="154"/>
      <c r="G10" s="154"/>
      <c r="H10" s="154"/>
      <c r="I10" s="154"/>
      <c r="J10" s="154"/>
      <c r="K10" s="154"/>
      <c r="L10" s="154"/>
      <c r="M10" s="154">
        <f t="shared" si="0"/>
        <v>0</v>
      </c>
    </row>
    <row r="11" spans="1:22">
      <c r="A11" s="461">
        <v>4</v>
      </c>
      <c r="B11" s="461" t="s">
        <v>448</v>
      </c>
      <c r="C11" s="154" t="s">
        <v>24</v>
      </c>
      <c r="D11" s="154">
        <v>4050</v>
      </c>
      <c r="E11" s="154">
        <v>11850</v>
      </c>
      <c r="F11" s="154">
        <v>8300</v>
      </c>
      <c r="G11" s="154">
        <v>8300</v>
      </c>
      <c r="H11" s="154">
        <v>8300</v>
      </c>
      <c r="I11" s="154">
        <v>2300</v>
      </c>
      <c r="J11" s="154">
        <v>800</v>
      </c>
      <c r="K11" s="154">
        <v>800</v>
      </c>
      <c r="L11" s="154">
        <v>800</v>
      </c>
      <c r="M11" s="154">
        <f t="shared" si="0"/>
        <v>45500</v>
      </c>
    </row>
    <row r="12" spans="1:22">
      <c r="A12" s="461"/>
      <c r="B12" s="461"/>
      <c r="C12" s="154" t="s">
        <v>25</v>
      </c>
      <c r="D12" s="154"/>
      <c r="E12" s="154"/>
      <c r="F12" s="154"/>
      <c r="G12" s="154"/>
      <c r="H12" s="154"/>
      <c r="I12" s="154"/>
      <c r="J12" s="154"/>
      <c r="K12" s="154"/>
      <c r="L12" s="154"/>
      <c r="M12" s="154">
        <f t="shared" si="0"/>
        <v>0</v>
      </c>
    </row>
    <row r="13" spans="1:22">
      <c r="A13" s="461">
        <v>5</v>
      </c>
      <c r="B13" s="461" t="s">
        <v>449</v>
      </c>
      <c r="C13" s="154" t="s">
        <v>24</v>
      </c>
      <c r="D13" s="154">
        <v>1900</v>
      </c>
      <c r="E13" s="154">
        <v>3700</v>
      </c>
      <c r="F13" s="154">
        <v>1800</v>
      </c>
      <c r="G13" s="154">
        <v>1800</v>
      </c>
      <c r="H13" s="154">
        <v>1800</v>
      </c>
      <c r="I13" s="154">
        <v>1000</v>
      </c>
      <c r="J13" s="154">
        <v>90</v>
      </c>
      <c r="K13" s="154">
        <v>90</v>
      </c>
      <c r="L13" s="154">
        <v>90</v>
      </c>
      <c r="M13" s="154">
        <f t="shared" si="0"/>
        <v>12270</v>
      </c>
    </row>
    <row r="14" spans="1:22">
      <c r="A14" s="461"/>
      <c r="B14" s="461"/>
      <c r="C14" s="154" t="s">
        <v>25</v>
      </c>
      <c r="D14" s="154"/>
      <c r="E14" s="154"/>
      <c r="F14" s="154"/>
      <c r="G14" s="154"/>
      <c r="H14" s="154"/>
      <c r="I14" s="154"/>
      <c r="J14" s="154"/>
      <c r="K14" s="154"/>
      <c r="L14" s="154"/>
      <c r="M14" s="154">
        <f t="shared" si="0"/>
        <v>0</v>
      </c>
    </row>
    <row r="15" spans="1:22">
      <c r="A15" s="461">
        <v>6</v>
      </c>
      <c r="B15" s="461" t="s">
        <v>126</v>
      </c>
      <c r="C15" s="154" t="s">
        <v>24</v>
      </c>
      <c r="D15" s="154">
        <v>2953</v>
      </c>
      <c r="E15" s="154">
        <v>9127</v>
      </c>
      <c r="F15" s="154">
        <v>6174</v>
      </c>
      <c r="G15" s="154">
        <v>6174</v>
      </c>
      <c r="H15" s="154">
        <v>6174</v>
      </c>
      <c r="I15" s="154">
        <v>2632</v>
      </c>
      <c r="J15" s="154">
        <v>1100</v>
      </c>
      <c r="K15" s="154">
        <v>1100</v>
      </c>
      <c r="L15" s="154">
        <v>1100</v>
      </c>
      <c r="M15" s="154">
        <f t="shared" si="0"/>
        <v>36534</v>
      </c>
    </row>
    <row r="16" spans="1:22">
      <c r="A16" s="461"/>
      <c r="B16" s="461"/>
      <c r="C16" s="154" t="s">
        <v>25</v>
      </c>
      <c r="D16" s="154"/>
      <c r="E16" s="154"/>
      <c r="F16" s="154"/>
      <c r="G16" s="154"/>
      <c r="H16" s="154"/>
      <c r="I16" s="154"/>
      <c r="J16" s="154"/>
      <c r="K16" s="154"/>
      <c r="L16" s="154"/>
      <c r="M16" s="154">
        <f t="shared" si="0"/>
        <v>0</v>
      </c>
    </row>
    <row r="17" spans="1:13">
      <c r="A17" s="461">
        <v>7</v>
      </c>
      <c r="B17" s="461" t="s">
        <v>125</v>
      </c>
      <c r="C17" s="154" t="s">
        <v>24</v>
      </c>
      <c r="D17" s="154">
        <v>1900</v>
      </c>
      <c r="E17" s="154">
        <v>4000</v>
      </c>
      <c r="F17" s="154">
        <v>2100</v>
      </c>
      <c r="G17" s="154">
        <v>2100</v>
      </c>
      <c r="H17" s="154">
        <v>2100</v>
      </c>
      <c r="I17" s="154">
        <v>1400</v>
      </c>
      <c r="J17" s="154">
        <v>500</v>
      </c>
      <c r="K17" s="154">
        <v>500</v>
      </c>
      <c r="L17" s="154">
        <v>500</v>
      </c>
      <c r="M17" s="154">
        <f t="shared" si="0"/>
        <v>15100</v>
      </c>
    </row>
    <row r="18" spans="1:13">
      <c r="A18" s="461"/>
      <c r="B18" s="461"/>
      <c r="C18" s="154" t="s">
        <v>25</v>
      </c>
      <c r="D18" s="154"/>
      <c r="E18" s="154"/>
      <c r="F18" s="154"/>
      <c r="G18" s="154"/>
      <c r="H18" s="154"/>
      <c r="I18" s="154"/>
      <c r="J18" s="154"/>
      <c r="K18" s="154"/>
      <c r="L18" s="154"/>
      <c r="M18" s="154">
        <f t="shared" si="0"/>
        <v>0</v>
      </c>
    </row>
    <row r="19" spans="1:13">
      <c r="A19" s="461">
        <v>8</v>
      </c>
      <c r="B19" s="461" t="s">
        <v>124</v>
      </c>
      <c r="C19" s="154" t="s">
        <v>24</v>
      </c>
      <c r="D19" s="154">
        <v>2000</v>
      </c>
      <c r="E19" s="154">
        <v>4105</v>
      </c>
      <c r="F19" s="154">
        <v>1960</v>
      </c>
      <c r="G19" s="154">
        <v>1960</v>
      </c>
      <c r="H19" s="154">
        <v>1960</v>
      </c>
      <c r="I19" s="154">
        <v>1485</v>
      </c>
      <c r="J19" s="154">
        <v>300</v>
      </c>
      <c r="K19" s="154">
        <v>300</v>
      </c>
      <c r="L19" s="154">
        <v>300</v>
      </c>
      <c r="M19" s="154">
        <f t="shared" si="0"/>
        <v>14370</v>
      </c>
    </row>
    <row r="20" spans="1:13">
      <c r="A20" s="461"/>
      <c r="B20" s="461"/>
      <c r="C20" s="154" t="s">
        <v>25</v>
      </c>
      <c r="D20" s="154"/>
      <c r="E20" s="154"/>
      <c r="F20" s="154"/>
      <c r="G20" s="154"/>
      <c r="H20" s="154"/>
      <c r="I20" s="154"/>
      <c r="J20" s="154"/>
      <c r="K20" s="154"/>
      <c r="L20" s="154"/>
      <c r="M20" s="154">
        <f t="shared" si="0"/>
        <v>0</v>
      </c>
    </row>
    <row r="21" spans="1:13">
      <c r="A21" s="461">
        <v>9</v>
      </c>
      <c r="B21" s="461" t="s">
        <v>123</v>
      </c>
      <c r="C21" s="154" t="s">
        <v>24</v>
      </c>
      <c r="D21" s="154">
        <v>2800</v>
      </c>
      <c r="E21" s="154">
        <v>4500</v>
      </c>
      <c r="F21" s="154">
        <v>1625</v>
      </c>
      <c r="G21" s="154">
        <v>1625</v>
      </c>
      <c r="H21" s="154">
        <v>1625</v>
      </c>
      <c r="I21" s="154">
        <v>1575</v>
      </c>
      <c r="J21" s="154">
        <v>150</v>
      </c>
      <c r="K21" s="154">
        <v>150</v>
      </c>
      <c r="L21" s="154">
        <v>150</v>
      </c>
      <c r="M21" s="154">
        <f t="shared" si="0"/>
        <v>14200</v>
      </c>
    </row>
    <row r="22" spans="1:13">
      <c r="A22" s="461"/>
      <c r="B22" s="461"/>
      <c r="C22" s="154" t="s">
        <v>25</v>
      </c>
      <c r="D22" s="154"/>
      <c r="E22" s="154"/>
      <c r="F22" s="154"/>
      <c r="G22" s="154"/>
      <c r="H22" s="154"/>
      <c r="I22" s="154"/>
      <c r="J22" s="154"/>
      <c r="K22" s="154"/>
      <c r="L22" s="154"/>
      <c r="M22" s="154">
        <f t="shared" si="0"/>
        <v>0</v>
      </c>
    </row>
    <row r="23" spans="1:13">
      <c r="A23" s="461">
        <v>10</v>
      </c>
      <c r="B23" s="461" t="s">
        <v>130</v>
      </c>
      <c r="C23" s="154" t="s">
        <v>24</v>
      </c>
      <c r="D23" s="154">
        <v>1800</v>
      </c>
      <c r="E23" s="154">
        <v>3200</v>
      </c>
      <c r="F23" s="154">
        <v>1500</v>
      </c>
      <c r="G23" s="154">
        <v>1500</v>
      </c>
      <c r="H23" s="154">
        <v>1500</v>
      </c>
      <c r="I23" s="154">
        <v>1100</v>
      </c>
      <c r="J23" s="154">
        <v>500</v>
      </c>
      <c r="K23" s="154">
        <v>500</v>
      </c>
      <c r="L23" s="154">
        <v>500</v>
      </c>
      <c r="M23" s="154">
        <f t="shared" si="0"/>
        <v>12100</v>
      </c>
    </row>
    <row r="24" spans="1:13">
      <c r="A24" s="461"/>
      <c r="B24" s="461"/>
      <c r="C24" s="154" t="s">
        <v>25</v>
      </c>
      <c r="D24" s="154"/>
      <c r="E24" s="154"/>
      <c r="F24" s="154"/>
      <c r="G24" s="154"/>
      <c r="H24" s="154"/>
      <c r="I24" s="154"/>
      <c r="J24" s="154"/>
      <c r="K24" s="154"/>
      <c r="L24" s="154"/>
      <c r="M24" s="154">
        <f t="shared" si="0"/>
        <v>0</v>
      </c>
    </row>
    <row r="25" spans="1:13">
      <c r="A25" s="461">
        <v>11</v>
      </c>
      <c r="B25" s="461" t="s">
        <v>128</v>
      </c>
      <c r="C25" s="154" t="s">
        <v>24</v>
      </c>
      <c r="D25" s="154">
        <v>2290</v>
      </c>
      <c r="E25" s="154">
        <v>3034</v>
      </c>
      <c r="F25" s="154">
        <v>1144</v>
      </c>
      <c r="G25" s="154">
        <v>1144</v>
      </c>
      <c r="H25" s="154">
        <v>1144</v>
      </c>
      <c r="I25" s="154">
        <v>800</v>
      </c>
      <c r="J25" s="154">
        <v>50</v>
      </c>
      <c r="K25" s="154">
        <v>50</v>
      </c>
      <c r="L25" s="154">
        <v>50</v>
      </c>
      <c r="M25" s="154">
        <f t="shared" si="0"/>
        <v>9706</v>
      </c>
    </row>
    <row r="26" spans="1:13">
      <c r="A26" s="461"/>
      <c r="B26" s="461"/>
      <c r="C26" s="154" t="s">
        <v>25</v>
      </c>
      <c r="D26" s="154"/>
      <c r="E26" s="154"/>
      <c r="F26" s="154"/>
      <c r="G26" s="154"/>
      <c r="H26" s="154"/>
      <c r="I26" s="154"/>
      <c r="J26" s="154"/>
      <c r="K26" s="154"/>
      <c r="L26" s="154"/>
      <c r="M26" s="154">
        <f t="shared" si="0"/>
        <v>0</v>
      </c>
    </row>
    <row r="27" spans="1:13">
      <c r="A27" s="461">
        <v>12</v>
      </c>
      <c r="B27" s="461" t="s">
        <v>129</v>
      </c>
      <c r="C27" s="154" t="s">
        <v>24</v>
      </c>
      <c r="D27" s="154">
        <v>1300</v>
      </c>
      <c r="E27" s="154">
        <v>2700</v>
      </c>
      <c r="F27" s="154">
        <v>1300</v>
      </c>
      <c r="G27" s="154">
        <v>1300</v>
      </c>
      <c r="H27" s="154">
        <v>1300</v>
      </c>
      <c r="I27" s="154">
        <v>1600</v>
      </c>
      <c r="J27" s="154">
        <v>400</v>
      </c>
      <c r="K27" s="154">
        <v>400</v>
      </c>
      <c r="L27" s="154">
        <v>400</v>
      </c>
      <c r="M27" s="154">
        <f t="shared" si="0"/>
        <v>10700</v>
      </c>
    </row>
    <row r="28" spans="1:13">
      <c r="A28" s="461"/>
      <c r="B28" s="461"/>
      <c r="C28" s="154" t="s">
        <v>25</v>
      </c>
      <c r="D28" s="154"/>
      <c r="E28" s="154"/>
      <c r="F28" s="154"/>
      <c r="G28" s="154"/>
      <c r="H28" s="154"/>
      <c r="I28" s="154"/>
      <c r="J28" s="154"/>
      <c r="K28" s="154"/>
      <c r="L28" s="154"/>
      <c r="M28" s="154">
        <f t="shared" si="0"/>
        <v>0</v>
      </c>
    </row>
    <row r="29" spans="1:13">
      <c r="A29" s="461">
        <v>13</v>
      </c>
      <c r="B29" s="461" t="s">
        <v>450</v>
      </c>
      <c r="C29" s="154" t="s">
        <v>24</v>
      </c>
      <c r="D29" s="154">
        <v>1800</v>
      </c>
      <c r="E29" s="154">
        <v>3000</v>
      </c>
      <c r="F29" s="154">
        <v>1200</v>
      </c>
      <c r="G29" s="154">
        <v>1200</v>
      </c>
      <c r="H29" s="154">
        <v>1200</v>
      </c>
      <c r="I29" s="154">
        <v>900</v>
      </c>
      <c r="J29" s="154">
        <v>500</v>
      </c>
      <c r="K29" s="154">
        <v>500</v>
      </c>
      <c r="L29" s="154">
        <v>500</v>
      </c>
      <c r="M29" s="154">
        <f t="shared" si="0"/>
        <v>10800</v>
      </c>
    </row>
    <row r="30" spans="1:13">
      <c r="A30" s="461"/>
      <c r="B30" s="461"/>
      <c r="C30" s="154" t="s">
        <v>25</v>
      </c>
      <c r="D30" s="154"/>
      <c r="E30" s="154"/>
      <c r="F30" s="154"/>
      <c r="G30" s="154"/>
      <c r="H30" s="154"/>
      <c r="I30" s="154"/>
      <c r="J30" s="154"/>
      <c r="K30" s="154"/>
      <c r="L30" s="154"/>
      <c r="M30" s="154">
        <f t="shared" si="0"/>
        <v>0</v>
      </c>
    </row>
    <row r="31" spans="1:13">
      <c r="A31" s="461">
        <v>14</v>
      </c>
      <c r="B31" s="461" t="s">
        <v>131</v>
      </c>
      <c r="C31" s="154" t="s">
        <v>24</v>
      </c>
      <c r="D31" s="154">
        <v>2300</v>
      </c>
      <c r="E31" s="154">
        <v>4500</v>
      </c>
      <c r="F31" s="154">
        <v>2000</v>
      </c>
      <c r="G31" s="154">
        <v>2000</v>
      </c>
      <c r="H31" s="154">
        <v>2000</v>
      </c>
      <c r="I31" s="154">
        <v>2300</v>
      </c>
      <c r="J31" s="154">
        <v>700</v>
      </c>
      <c r="K31" s="154">
        <v>700</v>
      </c>
      <c r="L31" s="154">
        <v>700</v>
      </c>
      <c r="M31" s="154">
        <f t="shared" si="0"/>
        <v>17200</v>
      </c>
    </row>
    <row r="32" spans="1:13">
      <c r="A32" s="461"/>
      <c r="B32" s="461"/>
      <c r="C32" s="154" t="s">
        <v>25</v>
      </c>
      <c r="D32" s="154"/>
      <c r="E32" s="154"/>
      <c r="F32" s="154"/>
      <c r="G32" s="154"/>
      <c r="H32" s="154"/>
      <c r="I32" s="154"/>
      <c r="J32" s="154"/>
      <c r="K32" s="154"/>
      <c r="L32" s="154"/>
      <c r="M32" s="154">
        <f t="shared" si="0"/>
        <v>0</v>
      </c>
    </row>
    <row r="33" spans="1:13">
      <c r="A33" s="461">
        <v>15</v>
      </c>
      <c r="B33" s="461" t="s">
        <v>133</v>
      </c>
      <c r="C33" s="154" t="s">
        <v>24</v>
      </c>
      <c r="D33" s="154">
        <v>900</v>
      </c>
      <c r="E33" s="154">
        <v>1900</v>
      </c>
      <c r="F33" s="154">
        <v>1000</v>
      </c>
      <c r="G33" s="154">
        <v>1000</v>
      </c>
      <c r="H33" s="154">
        <v>1000</v>
      </c>
      <c r="I33" s="154">
        <v>1100</v>
      </c>
      <c r="J33" s="154">
        <v>600</v>
      </c>
      <c r="K33" s="154">
        <v>600</v>
      </c>
      <c r="L33" s="154">
        <v>600</v>
      </c>
      <c r="M33" s="154">
        <f t="shared" si="0"/>
        <v>8700</v>
      </c>
    </row>
    <row r="34" spans="1:13">
      <c r="A34" s="461"/>
      <c r="B34" s="461"/>
      <c r="C34" s="154" t="s">
        <v>25</v>
      </c>
      <c r="D34" s="154"/>
      <c r="E34" s="154"/>
      <c r="F34" s="154"/>
      <c r="G34" s="154"/>
      <c r="H34" s="154"/>
      <c r="I34" s="154"/>
      <c r="J34" s="154"/>
      <c r="K34" s="154"/>
      <c r="L34" s="154"/>
      <c r="M34" s="154">
        <f t="shared" si="0"/>
        <v>0</v>
      </c>
    </row>
    <row r="35" spans="1:13">
      <c r="A35" s="461">
        <v>16</v>
      </c>
      <c r="B35" s="461" t="s">
        <v>315</v>
      </c>
      <c r="C35" s="154" t="s">
        <v>24</v>
      </c>
      <c r="D35" s="154">
        <v>530</v>
      </c>
      <c r="E35" s="154">
        <v>845</v>
      </c>
      <c r="F35" s="154">
        <v>315</v>
      </c>
      <c r="G35" s="154">
        <v>315</v>
      </c>
      <c r="H35" s="154">
        <v>315</v>
      </c>
      <c r="I35" s="154">
        <v>350</v>
      </c>
      <c r="J35" s="154">
        <v>50</v>
      </c>
      <c r="K35" s="154">
        <v>50</v>
      </c>
      <c r="L35" s="154">
        <v>50</v>
      </c>
      <c r="M35" s="154">
        <f t="shared" si="0"/>
        <v>2820</v>
      </c>
    </row>
    <row r="36" spans="1:13">
      <c r="A36" s="461"/>
      <c r="B36" s="461"/>
      <c r="C36" s="154" t="s">
        <v>25</v>
      </c>
      <c r="D36" s="154"/>
      <c r="E36" s="154"/>
      <c r="F36" s="154"/>
      <c r="G36" s="154"/>
      <c r="H36" s="154"/>
      <c r="I36" s="154"/>
      <c r="J36" s="154"/>
      <c r="K36" s="154"/>
      <c r="L36" s="154"/>
      <c r="M36" s="154">
        <f t="shared" si="0"/>
        <v>0</v>
      </c>
    </row>
    <row r="37" spans="1:13">
      <c r="A37" s="461">
        <v>17</v>
      </c>
      <c r="B37" s="461" t="s">
        <v>127</v>
      </c>
      <c r="C37" s="154" t="s">
        <v>24</v>
      </c>
      <c r="D37" s="154">
        <v>3000</v>
      </c>
      <c r="E37" s="154">
        <v>5500</v>
      </c>
      <c r="F37" s="154">
        <v>2500</v>
      </c>
      <c r="G37" s="154">
        <v>2500</v>
      </c>
      <c r="H37" s="154">
        <v>2500</v>
      </c>
      <c r="I37" s="154">
        <v>4000</v>
      </c>
      <c r="J37" s="154">
        <v>1700</v>
      </c>
      <c r="K37" s="154">
        <v>1700</v>
      </c>
      <c r="L37" s="154">
        <v>1700</v>
      </c>
      <c r="M37" s="154">
        <f t="shared" si="0"/>
        <v>25100</v>
      </c>
    </row>
    <row r="38" spans="1:13">
      <c r="A38" s="461"/>
      <c r="B38" s="461"/>
      <c r="C38" s="154" t="s">
        <v>25</v>
      </c>
      <c r="D38" s="154"/>
      <c r="E38" s="154"/>
      <c r="F38" s="154"/>
      <c r="G38" s="154"/>
      <c r="H38" s="154"/>
      <c r="I38" s="154"/>
      <c r="J38" s="154"/>
      <c r="K38" s="154"/>
      <c r="L38" s="154"/>
      <c r="M38" s="154">
        <f t="shared" si="0"/>
        <v>0</v>
      </c>
    </row>
    <row r="39" spans="1:13">
      <c r="A39" s="461">
        <v>18</v>
      </c>
      <c r="B39" s="461" t="s">
        <v>132</v>
      </c>
      <c r="C39" s="154" t="s">
        <v>24</v>
      </c>
      <c r="D39" s="154">
        <v>2225</v>
      </c>
      <c r="E39" s="154">
        <v>4200</v>
      </c>
      <c r="F39" s="154">
        <v>2060</v>
      </c>
      <c r="G39" s="154">
        <v>2060</v>
      </c>
      <c r="H39" s="154">
        <v>2060</v>
      </c>
      <c r="I39" s="154">
        <v>1400</v>
      </c>
      <c r="J39" s="154">
        <v>850</v>
      </c>
      <c r="K39" s="154">
        <v>850</v>
      </c>
      <c r="L39" s="154">
        <v>850</v>
      </c>
      <c r="M39" s="154">
        <f t="shared" si="0"/>
        <v>16555</v>
      </c>
    </row>
    <row r="40" spans="1:13">
      <c r="A40" s="461"/>
      <c r="B40" s="461"/>
      <c r="C40" s="154" t="s">
        <v>25</v>
      </c>
      <c r="D40" s="154"/>
      <c r="E40" s="154"/>
      <c r="F40" s="154"/>
      <c r="G40" s="154"/>
      <c r="H40" s="154"/>
      <c r="I40" s="154"/>
      <c r="J40" s="154"/>
      <c r="K40" s="154"/>
      <c r="L40" s="154"/>
      <c r="M40" s="154">
        <f t="shared" si="0"/>
        <v>0</v>
      </c>
    </row>
    <row r="41" spans="1:13">
      <c r="A41" s="442" t="s">
        <v>35</v>
      </c>
      <c r="B41" s="442"/>
      <c r="C41" s="442"/>
      <c r="D41" s="2">
        <f>D5+D7+D9+D11+D13+D15+D17+D19+D21+D23+D25+D27+D29+D31+D33+D35+D37+D39</f>
        <v>34711</v>
      </c>
      <c r="E41" s="2">
        <f t="shared" ref="E41:M41" si="1">E5+E7+E9+E11+E13+E15+E17+E19+E21+E23+E25+E27+E29+E31+E33+E35+E37+E39</f>
        <v>77151</v>
      </c>
      <c r="F41" s="2">
        <f t="shared" si="1"/>
        <v>43005</v>
      </c>
      <c r="G41" s="2">
        <f t="shared" si="1"/>
        <v>43005</v>
      </c>
      <c r="H41" s="2">
        <f t="shared" si="1"/>
        <v>43005</v>
      </c>
      <c r="I41" s="2">
        <f t="shared" si="1"/>
        <v>26602</v>
      </c>
      <c r="J41" s="2">
        <f t="shared" si="1"/>
        <v>9265</v>
      </c>
      <c r="K41" s="2">
        <f t="shared" si="1"/>
        <v>9265</v>
      </c>
      <c r="L41" s="2">
        <f t="shared" si="1"/>
        <v>9265</v>
      </c>
      <c r="M41" s="2">
        <f t="shared" si="1"/>
        <v>295274</v>
      </c>
    </row>
    <row r="42" spans="1:13">
      <c r="A42" s="442" t="s">
        <v>36</v>
      </c>
      <c r="B42" s="442"/>
      <c r="C42" s="442"/>
      <c r="D42" s="2">
        <f>D6+D8+D10+D12+D14+D16+D18+D20+D22+D24+D26+D28+D30+D32+D34+D36+D38+D40</f>
        <v>0</v>
      </c>
      <c r="E42" s="2">
        <f t="shared" ref="E42:M42" si="2">E6+E8+E10+E12+E14+E16+E18+E20+E22+E24+E26+E28+E30+E32+E34+E36+E38+E40</f>
        <v>0</v>
      </c>
      <c r="F42" s="2">
        <f t="shared" si="2"/>
        <v>0</v>
      </c>
      <c r="G42" s="2">
        <f t="shared" si="2"/>
        <v>0</v>
      </c>
      <c r="H42" s="2">
        <f t="shared" si="2"/>
        <v>0</v>
      </c>
      <c r="I42" s="2">
        <f t="shared" si="2"/>
        <v>0</v>
      </c>
      <c r="J42" s="2">
        <f t="shared" si="2"/>
        <v>0</v>
      </c>
      <c r="K42" s="2">
        <f t="shared" si="2"/>
        <v>0</v>
      </c>
      <c r="L42" s="2">
        <f t="shared" si="2"/>
        <v>0</v>
      </c>
      <c r="M42" s="2">
        <f t="shared" si="2"/>
        <v>0</v>
      </c>
    </row>
    <row r="43" spans="1:13">
      <c r="A43" s="442" t="s">
        <v>120</v>
      </c>
      <c r="B43" s="442"/>
      <c r="C43" s="442"/>
      <c r="D43" s="2">
        <f>D41-D42</f>
        <v>34711</v>
      </c>
      <c r="E43" s="2">
        <f t="shared" ref="E43:M43" si="3">E41-E42</f>
        <v>77151</v>
      </c>
      <c r="F43" s="2">
        <f t="shared" si="3"/>
        <v>43005</v>
      </c>
      <c r="G43" s="2">
        <f t="shared" si="3"/>
        <v>43005</v>
      </c>
      <c r="H43" s="2">
        <f t="shared" si="3"/>
        <v>43005</v>
      </c>
      <c r="I43" s="2">
        <f t="shared" si="3"/>
        <v>26602</v>
      </c>
      <c r="J43" s="2">
        <f t="shared" si="3"/>
        <v>9265</v>
      </c>
      <c r="K43" s="2">
        <f t="shared" si="3"/>
        <v>9265</v>
      </c>
      <c r="L43" s="2">
        <f t="shared" si="3"/>
        <v>9265</v>
      </c>
      <c r="M43" s="2">
        <f t="shared" si="3"/>
        <v>295274</v>
      </c>
    </row>
    <row r="44" spans="1:13">
      <c r="D44" s="233"/>
      <c r="E44" s="233"/>
      <c r="F44" s="233"/>
      <c r="G44" s="233"/>
      <c r="H44" s="233"/>
      <c r="I44" s="233"/>
      <c r="J44" s="233"/>
      <c r="K44" s="233"/>
      <c r="L44" s="233"/>
      <c r="M44" s="233"/>
    </row>
  </sheetData>
  <mergeCells count="40">
    <mergeCell ref="A3:M3"/>
    <mergeCell ref="A43:C43"/>
    <mergeCell ref="A41:C41"/>
    <mergeCell ref="A42:C42"/>
    <mergeCell ref="A15:A16"/>
    <mergeCell ref="A37:A38"/>
    <mergeCell ref="A39:A40"/>
    <mergeCell ref="B37:B38"/>
    <mergeCell ref="B39:B40"/>
    <mergeCell ref="B15:B16"/>
    <mergeCell ref="B5:B6"/>
    <mergeCell ref="B7:B8"/>
    <mergeCell ref="B9:B10"/>
    <mergeCell ref="B11:B12"/>
    <mergeCell ref="B13:B14"/>
    <mergeCell ref="A27:A28"/>
    <mergeCell ref="A29:A30"/>
    <mergeCell ref="A5:A6"/>
    <mergeCell ref="A7:A8"/>
    <mergeCell ref="A9:A10"/>
    <mergeCell ref="A11:A12"/>
    <mergeCell ref="A13:A14"/>
    <mergeCell ref="A17:A18"/>
    <mergeCell ref="A19:A20"/>
    <mergeCell ref="A31:A32"/>
    <mergeCell ref="A33:A34"/>
    <mergeCell ref="A35:A3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A21:A22"/>
    <mergeCell ref="A23:A24"/>
    <mergeCell ref="A25:A26"/>
  </mergeCells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00B0F0"/>
  </sheetPr>
  <dimension ref="A1:V52"/>
  <sheetViews>
    <sheetView tabSelected="1" topLeftCell="A16" workbookViewId="0">
      <selection activeCell="O15" sqref="O15"/>
    </sheetView>
  </sheetViews>
  <sheetFormatPr defaultRowHeight="15.75"/>
  <cols>
    <col min="1" max="1" width="3.28515625" style="1" bestFit="1" customWidth="1"/>
    <col min="2" max="2" width="11.42578125" style="1" bestFit="1" customWidth="1"/>
    <col min="3" max="3" width="7.28515625" style="1" bestFit="1" customWidth="1"/>
    <col min="4" max="4" width="7" style="1" bestFit="1" customWidth="1"/>
    <col min="5" max="5" width="6.7109375" style="1" bestFit="1" customWidth="1"/>
    <col min="6" max="6" width="7.140625" style="1" bestFit="1" customWidth="1"/>
    <col min="7" max="7" width="6.7109375" style="1" bestFit="1" customWidth="1"/>
    <col min="8" max="8" width="8.42578125" style="1" bestFit="1" customWidth="1"/>
    <col min="9" max="13" width="6.7109375" style="1" bestFit="1" customWidth="1"/>
    <col min="14" max="14" width="7.85546875" style="1" bestFit="1" customWidth="1"/>
    <col min="15" max="15" width="8.140625" style="1" customWidth="1"/>
    <col min="16" max="16" width="6.85546875" style="1" bestFit="1" customWidth="1"/>
    <col min="17" max="17" width="6.7109375" style="1" bestFit="1" customWidth="1"/>
    <col min="18" max="18" width="4.85546875" style="1" bestFit="1" customWidth="1"/>
    <col min="19" max="19" width="6.7109375" style="1" bestFit="1" customWidth="1"/>
    <col min="20" max="20" width="7.28515625" style="1" bestFit="1" customWidth="1"/>
    <col min="21" max="21" width="7.5703125" style="1" customWidth="1"/>
    <col min="22" max="16384" width="9.140625" style="1"/>
  </cols>
  <sheetData>
    <row r="1" spans="1:22" ht="24.75">
      <c r="A1" s="541" t="s">
        <v>432</v>
      </c>
      <c r="B1" s="541"/>
      <c r="C1" s="541"/>
      <c r="D1" s="541"/>
      <c r="E1" s="541"/>
      <c r="F1" s="541"/>
      <c r="G1" s="541"/>
      <c r="H1" s="541"/>
      <c r="I1" s="541"/>
      <c r="J1" s="541"/>
      <c r="K1" s="541"/>
    </row>
    <row r="2" spans="1:22">
      <c r="A2" s="137" t="s">
        <v>15</v>
      </c>
      <c r="B2" s="137" t="s">
        <v>16</v>
      </c>
      <c r="C2" s="137"/>
      <c r="D2" s="137" t="s">
        <v>28</v>
      </c>
      <c r="E2" s="137" t="s">
        <v>182</v>
      </c>
      <c r="F2" s="137" t="s">
        <v>200</v>
      </c>
      <c r="G2" s="137" t="s">
        <v>444</v>
      </c>
      <c r="H2" s="137" t="s">
        <v>201</v>
      </c>
      <c r="I2" s="137" t="s">
        <v>26</v>
      </c>
      <c r="J2" s="137" t="s">
        <v>27</v>
      </c>
      <c r="K2" s="137" t="s">
        <v>31</v>
      </c>
      <c r="L2" s="137" t="s">
        <v>56</v>
      </c>
      <c r="M2" s="137" t="s">
        <v>175</v>
      </c>
      <c r="N2" s="137" t="s">
        <v>202</v>
      </c>
      <c r="O2" s="542" t="s">
        <v>445</v>
      </c>
      <c r="P2" s="137" t="s">
        <v>91</v>
      </c>
      <c r="Q2" s="137" t="s">
        <v>43</v>
      </c>
      <c r="R2" s="137" t="s">
        <v>226</v>
      </c>
      <c r="S2" s="137" t="s">
        <v>47</v>
      </c>
      <c r="T2" s="137" t="s">
        <v>109</v>
      </c>
      <c r="U2" s="542" t="s">
        <v>102</v>
      </c>
      <c r="V2" s="137" t="s">
        <v>34</v>
      </c>
    </row>
    <row r="3" spans="1:22">
      <c r="A3" s="458">
        <v>1</v>
      </c>
      <c r="B3" s="460" t="s">
        <v>310</v>
      </c>
      <c r="C3" s="2" t="s">
        <v>24</v>
      </c>
      <c r="D3" s="2">
        <v>530</v>
      </c>
      <c r="E3" s="2">
        <v>530</v>
      </c>
      <c r="F3" s="2">
        <v>530</v>
      </c>
      <c r="G3" s="2">
        <v>530</v>
      </c>
      <c r="H3" s="2">
        <v>530</v>
      </c>
      <c r="I3" s="2">
        <v>530</v>
      </c>
      <c r="J3" s="2">
        <v>530</v>
      </c>
      <c r="K3" s="2">
        <v>530</v>
      </c>
      <c r="L3" s="2">
        <v>530</v>
      </c>
      <c r="M3" s="2">
        <v>530</v>
      </c>
      <c r="N3" s="2">
        <v>530</v>
      </c>
      <c r="O3" s="2">
        <v>530</v>
      </c>
      <c r="P3" s="2">
        <v>530</v>
      </c>
      <c r="Q3" s="2">
        <v>530</v>
      </c>
      <c r="R3" s="2">
        <v>0</v>
      </c>
      <c r="S3" s="2">
        <v>500</v>
      </c>
      <c r="T3" s="2">
        <v>500</v>
      </c>
      <c r="U3" s="2">
        <v>30</v>
      </c>
      <c r="V3" s="2">
        <f>SUM(D3:U3)</f>
        <v>8450</v>
      </c>
    </row>
    <row r="4" spans="1:22">
      <c r="A4" s="458"/>
      <c r="B4" s="460"/>
      <c r="C4" s="2" t="s">
        <v>25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>
        <f t="shared" ref="V4:V48" si="0">SUM(D4:U4)</f>
        <v>0</v>
      </c>
    </row>
    <row r="5" spans="1:22">
      <c r="A5" s="458">
        <v>2</v>
      </c>
      <c r="B5" s="460" t="s">
        <v>433</v>
      </c>
      <c r="C5" s="2" t="s">
        <v>24</v>
      </c>
      <c r="D5" s="2">
        <v>520</v>
      </c>
      <c r="E5" s="2">
        <v>520</v>
      </c>
      <c r="F5" s="2">
        <v>520</v>
      </c>
      <c r="G5" s="2">
        <v>520</v>
      </c>
      <c r="H5" s="2">
        <v>520</v>
      </c>
      <c r="I5" s="2">
        <v>520</v>
      </c>
      <c r="J5" s="2">
        <v>520</v>
      </c>
      <c r="K5" s="2">
        <v>520</v>
      </c>
      <c r="L5" s="2">
        <v>520</v>
      </c>
      <c r="M5" s="2">
        <v>520</v>
      </c>
      <c r="N5" s="2">
        <v>10</v>
      </c>
      <c r="O5" s="2">
        <v>520</v>
      </c>
      <c r="P5" s="2">
        <v>520</v>
      </c>
      <c r="Q5" s="2">
        <v>520</v>
      </c>
      <c r="R5" s="2">
        <v>0</v>
      </c>
      <c r="S5" s="2">
        <v>520</v>
      </c>
      <c r="T5" s="2">
        <v>0</v>
      </c>
      <c r="U5" s="2">
        <v>10</v>
      </c>
      <c r="V5" s="2">
        <f t="shared" si="0"/>
        <v>7300</v>
      </c>
    </row>
    <row r="6" spans="1:22">
      <c r="A6" s="458"/>
      <c r="B6" s="460"/>
      <c r="C6" s="2" t="s">
        <v>25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>
        <f t="shared" si="0"/>
        <v>0</v>
      </c>
    </row>
    <row r="7" spans="1:22">
      <c r="A7" s="458">
        <v>3</v>
      </c>
      <c r="B7" s="460" t="s">
        <v>434</v>
      </c>
      <c r="C7" s="2" t="s">
        <v>24</v>
      </c>
      <c r="D7" s="2">
        <v>1650</v>
      </c>
      <c r="E7" s="2">
        <v>1650</v>
      </c>
      <c r="F7" s="2">
        <v>1650</v>
      </c>
      <c r="G7" s="2">
        <v>1650</v>
      </c>
      <c r="H7" s="2">
        <v>1650</v>
      </c>
      <c r="I7" s="2">
        <v>1650</v>
      </c>
      <c r="J7" s="2">
        <v>1650</v>
      </c>
      <c r="K7" s="2">
        <v>1650</v>
      </c>
      <c r="L7" s="2">
        <v>1650</v>
      </c>
      <c r="M7" s="2">
        <v>1650</v>
      </c>
      <c r="N7" s="2">
        <v>550</v>
      </c>
      <c r="O7" s="2">
        <v>1650</v>
      </c>
      <c r="P7" s="2">
        <v>1650</v>
      </c>
      <c r="Q7" s="2">
        <v>1650</v>
      </c>
      <c r="R7" s="2">
        <v>0</v>
      </c>
      <c r="S7" s="2">
        <v>1650</v>
      </c>
      <c r="T7" s="2">
        <v>335</v>
      </c>
      <c r="U7" s="2">
        <v>210</v>
      </c>
      <c r="V7" s="2">
        <f t="shared" si="0"/>
        <v>24195</v>
      </c>
    </row>
    <row r="8" spans="1:22">
      <c r="A8" s="458"/>
      <c r="B8" s="460"/>
      <c r="C8" s="2" t="s">
        <v>25</v>
      </c>
      <c r="D8" s="2"/>
      <c r="E8" s="2"/>
      <c r="F8" s="2"/>
      <c r="G8" s="2"/>
      <c r="H8" s="2"/>
      <c r="I8" s="2"/>
      <c r="J8" s="2"/>
      <c r="K8" s="543"/>
      <c r="L8" s="2"/>
      <c r="M8" s="2"/>
      <c r="N8" s="2"/>
      <c r="O8" s="2"/>
      <c r="P8" s="2"/>
      <c r="Q8" s="2"/>
      <c r="R8" s="2"/>
      <c r="S8" s="2"/>
      <c r="T8" s="2"/>
      <c r="U8" s="2"/>
      <c r="V8" s="2">
        <f t="shared" si="0"/>
        <v>0</v>
      </c>
    </row>
    <row r="9" spans="1:22">
      <c r="A9" s="458">
        <v>4</v>
      </c>
      <c r="B9" s="460" t="s">
        <v>435</v>
      </c>
      <c r="C9" s="2" t="s">
        <v>24</v>
      </c>
      <c r="D9" s="2">
        <v>595</v>
      </c>
      <c r="E9" s="2">
        <v>595</v>
      </c>
      <c r="F9" s="2">
        <v>595</v>
      </c>
      <c r="G9" s="2">
        <v>595</v>
      </c>
      <c r="H9" s="2">
        <v>595</v>
      </c>
      <c r="I9" s="2">
        <v>595</v>
      </c>
      <c r="J9" s="2">
        <v>595</v>
      </c>
      <c r="K9" s="2">
        <v>595</v>
      </c>
      <c r="L9" s="2">
        <v>595</v>
      </c>
      <c r="M9" s="2">
        <v>595</v>
      </c>
      <c r="N9" s="2">
        <v>595</v>
      </c>
      <c r="O9" s="2">
        <v>595</v>
      </c>
      <c r="P9" s="2">
        <v>595</v>
      </c>
      <c r="Q9" s="2">
        <v>595</v>
      </c>
      <c r="R9" s="2">
        <v>0</v>
      </c>
      <c r="S9" s="2">
        <v>595</v>
      </c>
      <c r="T9" s="2">
        <v>595</v>
      </c>
      <c r="U9" s="2">
        <v>0</v>
      </c>
      <c r="V9" s="2">
        <f t="shared" si="0"/>
        <v>9520</v>
      </c>
    </row>
    <row r="10" spans="1:22">
      <c r="A10" s="458"/>
      <c r="B10" s="460"/>
      <c r="C10" s="2" t="s">
        <v>25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f t="shared" si="0"/>
        <v>0</v>
      </c>
    </row>
    <row r="11" spans="1:22">
      <c r="A11" s="458">
        <v>5</v>
      </c>
      <c r="B11" s="460" t="s">
        <v>312</v>
      </c>
      <c r="C11" s="2" t="s">
        <v>24</v>
      </c>
      <c r="D11" s="2">
        <v>450</v>
      </c>
      <c r="E11" s="2">
        <v>450</v>
      </c>
      <c r="F11" s="2">
        <v>450</v>
      </c>
      <c r="G11" s="2">
        <v>450</v>
      </c>
      <c r="H11" s="2">
        <v>450</v>
      </c>
      <c r="I11" s="2">
        <v>450</v>
      </c>
      <c r="J11" s="2">
        <v>450</v>
      </c>
      <c r="K11" s="2">
        <v>450</v>
      </c>
      <c r="L11" s="2">
        <v>450</v>
      </c>
      <c r="M11" s="2">
        <v>450</v>
      </c>
      <c r="N11" s="2">
        <v>450</v>
      </c>
      <c r="O11" s="2">
        <v>450</v>
      </c>
      <c r="P11" s="2">
        <v>450</v>
      </c>
      <c r="Q11" s="2">
        <v>450</v>
      </c>
      <c r="R11" s="2">
        <v>0</v>
      </c>
      <c r="S11" s="2">
        <v>450</v>
      </c>
      <c r="T11" s="2">
        <v>450</v>
      </c>
      <c r="U11" s="2">
        <v>0</v>
      </c>
      <c r="V11" s="2">
        <f t="shared" si="0"/>
        <v>7200</v>
      </c>
    </row>
    <row r="12" spans="1:22">
      <c r="A12" s="458"/>
      <c r="B12" s="460"/>
      <c r="C12" s="2" t="s">
        <v>25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>
        <f t="shared" si="0"/>
        <v>0</v>
      </c>
    </row>
    <row r="13" spans="1:22">
      <c r="A13" s="458">
        <v>6</v>
      </c>
      <c r="B13" s="460" t="s">
        <v>436</v>
      </c>
      <c r="C13" s="2" t="s">
        <v>24</v>
      </c>
      <c r="D13" s="2">
        <v>300</v>
      </c>
      <c r="E13" s="2">
        <v>300</v>
      </c>
      <c r="F13" s="2">
        <v>300</v>
      </c>
      <c r="G13" s="2">
        <v>300</v>
      </c>
      <c r="H13" s="2">
        <v>300</v>
      </c>
      <c r="I13" s="2">
        <v>300</v>
      </c>
      <c r="J13" s="2">
        <v>300</v>
      </c>
      <c r="K13" s="2">
        <v>300</v>
      </c>
      <c r="L13" s="2">
        <v>300</v>
      </c>
      <c r="M13" s="2">
        <v>300</v>
      </c>
      <c r="N13" s="2">
        <v>300</v>
      </c>
      <c r="O13" s="2">
        <v>300</v>
      </c>
      <c r="P13" s="2">
        <v>300</v>
      </c>
      <c r="Q13" s="2">
        <v>300</v>
      </c>
      <c r="R13" s="2">
        <v>0</v>
      </c>
      <c r="S13" s="2">
        <v>300</v>
      </c>
      <c r="T13" s="2">
        <v>300</v>
      </c>
      <c r="U13" s="2">
        <v>0</v>
      </c>
      <c r="V13" s="2">
        <f t="shared" si="0"/>
        <v>4800</v>
      </c>
    </row>
    <row r="14" spans="1:22">
      <c r="A14" s="458"/>
      <c r="B14" s="460"/>
      <c r="C14" s="2" t="s">
        <v>25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>
        <f t="shared" si="0"/>
        <v>0</v>
      </c>
    </row>
    <row r="15" spans="1:22">
      <c r="A15" s="458">
        <v>7</v>
      </c>
      <c r="B15" s="460" t="s">
        <v>437</v>
      </c>
      <c r="C15" s="2" t="s">
        <v>24</v>
      </c>
      <c r="D15" s="2">
        <v>2000</v>
      </c>
      <c r="E15" s="2">
        <v>2000</v>
      </c>
      <c r="F15" s="2">
        <v>2000</v>
      </c>
      <c r="G15" s="2">
        <v>2000</v>
      </c>
      <c r="H15" s="2">
        <v>2000</v>
      </c>
      <c r="I15" s="2">
        <v>2000</v>
      </c>
      <c r="J15" s="2">
        <v>2000</v>
      </c>
      <c r="K15" s="2">
        <v>2000</v>
      </c>
      <c r="L15" s="2">
        <v>2000</v>
      </c>
      <c r="M15" s="2">
        <v>2000</v>
      </c>
      <c r="N15" s="2">
        <v>800</v>
      </c>
      <c r="O15" s="2">
        <v>1600</v>
      </c>
      <c r="P15" s="2">
        <v>1600</v>
      </c>
      <c r="Q15" s="2">
        <v>1600</v>
      </c>
      <c r="R15" s="2">
        <v>300</v>
      </c>
      <c r="S15" s="2">
        <v>1300</v>
      </c>
      <c r="T15" s="2">
        <v>400</v>
      </c>
      <c r="U15" s="2">
        <v>400</v>
      </c>
      <c r="V15" s="2">
        <f t="shared" si="0"/>
        <v>28000</v>
      </c>
    </row>
    <row r="16" spans="1:22">
      <c r="A16" s="458"/>
      <c r="B16" s="460"/>
      <c r="C16" s="2" t="s">
        <v>25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>
        <f t="shared" si="0"/>
        <v>0</v>
      </c>
    </row>
    <row r="17" spans="1:22">
      <c r="A17" s="458">
        <v>8</v>
      </c>
      <c r="B17" s="460" t="s">
        <v>314</v>
      </c>
      <c r="C17" s="2" t="s">
        <v>24</v>
      </c>
      <c r="D17" s="2">
        <v>1600</v>
      </c>
      <c r="E17" s="2">
        <v>1600</v>
      </c>
      <c r="F17" s="2">
        <v>1600</v>
      </c>
      <c r="G17" s="2">
        <v>1600</v>
      </c>
      <c r="H17" s="2">
        <v>1600</v>
      </c>
      <c r="I17" s="2">
        <v>1600</v>
      </c>
      <c r="J17" s="2">
        <v>1600</v>
      </c>
      <c r="K17" s="2">
        <v>1600</v>
      </c>
      <c r="L17" s="2">
        <v>1600</v>
      </c>
      <c r="M17" s="2">
        <v>1600</v>
      </c>
      <c r="N17" s="2">
        <v>200</v>
      </c>
      <c r="O17" s="2">
        <v>1400</v>
      </c>
      <c r="P17" s="2">
        <v>1600</v>
      </c>
      <c r="Q17" s="2">
        <v>0</v>
      </c>
      <c r="R17" s="2">
        <v>0</v>
      </c>
      <c r="S17" s="2">
        <v>1600</v>
      </c>
      <c r="T17" s="2">
        <v>0</v>
      </c>
      <c r="U17" s="2">
        <v>200</v>
      </c>
      <c r="V17" s="2">
        <f t="shared" si="0"/>
        <v>21000</v>
      </c>
    </row>
    <row r="18" spans="1:22">
      <c r="A18" s="458"/>
      <c r="B18" s="460"/>
      <c r="C18" s="2" t="s">
        <v>25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>
        <f t="shared" si="0"/>
        <v>0</v>
      </c>
    </row>
    <row r="19" spans="1:22">
      <c r="A19" s="458">
        <v>9</v>
      </c>
      <c r="B19" s="460" t="s">
        <v>313</v>
      </c>
      <c r="C19" s="2" t="s">
        <v>24</v>
      </c>
      <c r="D19" s="2">
        <v>1320</v>
      </c>
      <c r="E19" s="2">
        <v>1320</v>
      </c>
      <c r="F19" s="2">
        <v>1320</v>
      </c>
      <c r="G19" s="2">
        <v>1320</v>
      </c>
      <c r="H19" s="2">
        <v>1320</v>
      </c>
      <c r="I19" s="2">
        <v>1320</v>
      </c>
      <c r="J19" s="2">
        <v>1320</v>
      </c>
      <c r="K19" s="2">
        <v>1320</v>
      </c>
      <c r="L19" s="2">
        <v>1320</v>
      </c>
      <c r="M19" s="2">
        <v>1320</v>
      </c>
      <c r="N19" s="2">
        <v>520</v>
      </c>
      <c r="O19" s="2">
        <v>1320</v>
      </c>
      <c r="P19" s="2">
        <v>1320</v>
      </c>
      <c r="Q19" s="2">
        <v>1320</v>
      </c>
      <c r="R19" s="2">
        <v>0</v>
      </c>
      <c r="S19" s="2">
        <v>1320</v>
      </c>
      <c r="T19" s="2">
        <v>495</v>
      </c>
      <c r="U19" s="2">
        <v>75</v>
      </c>
      <c r="V19" s="2">
        <f t="shared" si="0"/>
        <v>19570</v>
      </c>
    </row>
    <row r="20" spans="1:22">
      <c r="A20" s="458"/>
      <c r="B20" s="460"/>
      <c r="C20" s="2" t="s">
        <v>25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>
        <f t="shared" si="0"/>
        <v>0</v>
      </c>
    </row>
    <row r="21" spans="1:22">
      <c r="A21" s="458">
        <v>10</v>
      </c>
      <c r="B21" s="460" t="s">
        <v>439</v>
      </c>
      <c r="C21" s="2" t="s">
        <v>24</v>
      </c>
      <c r="D21" s="2">
        <v>810</v>
      </c>
      <c r="E21" s="2">
        <v>810</v>
      </c>
      <c r="F21" s="2">
        <v>810</v>
      </c>
      <c r="G21" s="2">
        <v>810</v>
      </c>
      <c r="H21" s="2">
        <v>810</v>
      </c>
      <c r="I21" s="2">
        <v>810</v>
      </c>
      <c r="J21" s="2">
        <v>810</v>
      </c>
      <c r="K21" s="2">
        <v>810</v>
      </c>
      <c r="L21" s="2">
        <v>810</v>
      </c>
      <c r="M21" s="2">
        <v>810</v>
      </c>
      <c r="N21" s="2">
        <v>810</v>
      </c>
      <c r="O21" s="2">
        <v>810</v>
      </c>
      <c r="P21" s="2">
        <v>810</v>
      </c>
      <c r="Q21" s="2">
        <v>810</v>
      </c>
      <c r="R21" s="2">
        <v>0</v>
      </c>
      <c r="S21" s="2">
        <v>810</v>
      </c>
      <c r="T21" s="2">
        <v>810</v>
      </c>
      <c r="U21" s="2">
        <v>0</v>
      </c>
      <c r="V21" s="2">
        <f t="shared" si="0"/>
        <v>12960</v>
      </c>
    </row>
    <row r="22" spans="1:22">
      <c r="A22" s="458"/>
      <c r="B22" s="460"/>
      <c r="C22" s="2" t="s">
        <v>25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f t="shared" si="0"/>
        <v>0</v>
      </c>
    </row>
    <row r="23" spans="1:22">
      <c r="A23" s="458">
        <v>11</v>
      </c>
      <c r="B23" s="460" t="s">
        <v>438</v>
      </c>
      <c r="C23" s="2" t="s">
        <v>24</v>
      </c>
      <c r="D23" s="2">
        <v>1300</v>
      </c>
      <c r="E23" s="2">
        <v>1300</v>
      </c>
      <c r="F23" s="2">
        <v>1300</v>
      </c>
      <c r="G23" s="2">
        <v>1300</v>
      </c>
      <c r="H23" s="2">
        <v>1300</v>
      </c>
      <c r="I23" s="2">
        <v>1300</v>
      </c>
      <c r="J23" s="2">
        <v>1300</v>
      </c>
      <c r="K23" s="2">
        <v>1300</v>
      </c>
      <c r="L23" s="2">
        <v>1300</v>
      </c>
      <c r="M23" s="2">
        <v>1300</v>
      </c>
      <c r="N23" s="2">
        <v>1300</v>
      </c>
      <c r="O23" s="2">
        <v>1300</v>
      </c>
      <c r="P23" s="2">
        <v>1300</v>
      </c>
      <c r="Q23" s="2">
        <v>1300</v>
      </c>
      <c r="R23" s="2">
        <v>0</v>
      </c>
      <c r="S23" s="2">
        <v>1300</v>
      </c>
      <c r="T23" s="2">
        <v>1300</v>
      </c>
      <c r="U23" s="2">
        <v>10</v>
      </c>
      <c r="V23" s="2">
        <f t="shared" si="0"/>
        <v>20810</v>
      </c>
    </row>
    <row r="24" spans="1:22">
      <c r="A24" s="458"/>
      <c r="B24" s="460"/>
      <c r="C24" s="2" t="s">
        <v>25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>
        <f t="shared" si="0"/>
        <v>0</v>
      </c>
    </row>
    <row r="25" spans="1:22">
      <c r="A25" s="458">
        <v>12</v>
      </c>
      <c r="B25" s="460" t="s">
        <v>311</v>
      </c>
      <c r="C25" s="2" t="s">
        <v>24</v>
      </c>
      <c r="D25" s="2">
        <v>750</v>
      </c>
      <c r="E25" s="2">
        <v>750</v>
      </c>
      <c r="F25" s="2">
        <v>750</v>
      </c>
      <c r="G25" s="2">
        <v>750</v>
      </c>
      <c r="H25" s="2">
        <v>750</v>
      </c>
      <c r="I25" s="2">
        <v>750</v>
      </c>
      <c r="J25" s="2">
        <v>750</v>
      </c>
      <c r="K25" s="2">
        <v>750</v>
      </c>
      <c r="L25" s="2">
        <v>750</v>
      </c>
      <c r="M25" s="2">
        <v>750</v>
      </c>
      <c r="N25" s="2">
        <v>710</v>
      </c>
      <c r="O25" s="2">
        <v>710</v>
      </c>
      <c r="P25" s="2">
        <v>750</v>
      </c>
      <c r="Q25" s="2">
        <v>750</v>
      </c>
      <c r="R25" s="2">
        <v>0</v>
      </c>
      <c r="S25" s="2">
        <v>730</v>
      </c>
      <c r="T25" s="2">
        <v>0</v>
      </c>
      <c r="U25" s="2">
        <v>20</v>
      </c>
      <c r="V25" s="2">
        <f t="shared" si="0"/>
        <v>11170</v>
      </c>
    </row>
    <row r="26" spans="1:22">
      <c r="A26" s="458"/>
      <c r="B26" s="460"/>
      <c r="C26" s="2" t="s">
        <v>25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f t="shared" si="0"/>
        <v>0</v>
      </c>
    </row>
    <row r="27" spans="1:22">
      <c r="A27" s="458">
        <v>13</v>
      </c>
      <c r="B27" s="460" t="s">
        <v>309</v>
      </c>
      <c r="C27" s="2" t="s">
        <v>24</v>
      </c>
      <c r="D27" s="2">
        <v>530</v>
      </c>
      <c r="E27" s="2">
        <v>530</v>
      </c>
      <c r="F27" s="2">
        <v>530</v>
      </c>
      <c r="G27" s="2">
        <v>530</v>
      </c>
      <c r="H27" s="2">
        <v>530</v>
      </c>
      <c r="I27" s="2">
        <v>530</v>
      </c>
      <c r="J27" s="2">
        <v>530</v>
      </c>
      <c r="K27" s="2">
        <v>530</v>
      </c>
      <c r="L27" s="2">
        <v>530</v>
      </c>
      <c r="M27" s="2">
        <v>530</v>
      </c>
      <c r="N27" s="2">
        <v>530</v>
      </c>
      <c r="O27" s="2">
        <v>495</v>
      </c>
      <c r="P27" s="2">
        <v>530</v>
      </c>
      <c r="Q27" s="2">
        <v>495</v>
      </c>
      <c r="R27" s="2">
        <v>0</v>
      </c>
      <c r="S27" s="2">
        <v>495</v>
      </c>
      <c r="T27" s="2">
        <v>495</v>
      </c>
      <c r="U27" s="2">
        <v>35</v>
      </c>
      <c r="V27" s="2">
        <f t="shared" si="0"/>
        <v>8375</v>
      </c>
    </row>
    <row r="28" spans="1:22">
      <c r="A28" s="458"/>
      <c r="B28" s="460"/>
      <c r="C28" s="2" t="s">
        <v>25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>
        <f t="shared" si="0"/>
        <v>0</v>
      </c>
    </row>
    <row r="29" spans="1:22">
      <c r="A29" s="458">
        <v>14</v>
      </c>
      <c r="B29" s="460" t="s">
        <v>440</v>
      </c>
      <c r="C29" s="2" t="s">
        <v>24</v>
      </c>
      <c r="D29" s="2">
        <v>1400</v>
      </c>
      <c r="E29" s="2">
        <v>1400</v>
      </c>
      <c r="F29" s="2">
        <v>1400</v>
      </c>
      <c r="G29" s="2">
        <v>1400</v>
      </c>
      <c r="H29" s="2">
        <v>1400</v>
      </c>
      <c r="I29" s="2">
        <v>1400</v>
      </c>
      <c r="J29" s="2">
        <v>1400</v>
      </c>
      <c r="K29" s="2">
        <v>1400</v>
      </c>
      <c r="L29" s="2">
        <v>1400</v>
      </c>
      <c r="M29" s="2">
        <v>1400</v>
      </c>
      <c r="N29" s="2">
        <v>1400</v>
      </c>
      <c r="O29" s="2">
        <v>1200</v>
      </c>
      <c r="P29" s="2">
        <v>1400</v>
      </c>
      <c r="Q29" s="2">
        <v>1400</v>
      </c>
      <c r="R29" s="2">
        <v>0</v>
      </c>
      <c r="S29" s="2">
        <v>1300</v>
      </c>
      <c r="T29" s="2">
        <v>1200</v>
      </c>
      <c r="U29" s="2">
        <v>100</v>
      </c>
      <c r="V29" s="2">
        <f t="shared" si="0"/>
        <v>22000</v>
      </c>
    </row>
    <row r="30" spans="1:22">
      <c r="A30" s="458"/>
      <c r="B30" s="460"/>
      <c r="C30" s="2" t="s">
        <v>25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>
        <f t="shared" si="0"/>
        <v>0</v>
      </c>
    </row>
    <row r="31" spans="1:22">
      <c r="A31" s="458">
        <v>15</v>
      </c>
      <c r="B31" s="460" t="s">
        <v>293</v>
      </c>
      <c r="C31" s="2" t="s">
        <v>24</v>
      </c>
      <c r="D31" s="2">
        <v>1350</v>
      </c>
      <c r="E31" s="2">
        <v>1350</v>
      </c>
      <c r="F31" s="2">
        <v>1350</v>
      </c>
      <c r="G31" s="2">
        <v>1350</v>
      </c>
      <c r="H31" s="2">
        <v>1350</v>
      </c>
      <c r="I31" s="2">
        <v>1350</v>
      </c>
      <c r="J31" s="2">
        <v>1350</v>
      </c>
      <c r="K31" s="2">
        <v>1350</v>
      </c>
      <c r="L31" s="2">
        <v>1350</v>
      </c>
      <c r="M31" s="2">
        <v>1350</v>
      </c>
      <c r="N31" s="2">
        <v>1330</v>
      </c>
      <c r="O31" s="2">
        <v>1330</v>
      </c>
      <c r="P31" s="2">
        <v>1350</v>
      </c>
      <c r="Q31" s="2">
        <v>1350</v>
      </c>
      <c r="R31" s="2">
        <v>0</v>
      </c>
      <c r="S31" s="2">
        <v>1330</v>
      </c>
      <c r="T31" s="2">
        <v>1330</v>
      </c>
      <c r="U31" s="2">
        <v>20</v>
      </c>
      <c r="V31" s="2">
        <f t="shared" si="0"/>
        <v>21540</v>
      </c>
    </row>
    <row r="32" spans="1:22">
      <c r="A32" s="458"/>
      <c r="B32" s="460"/>
      <c r="C32" s="2" t="s">
        <v>25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>
        <f t="shared" si="0"/>
        <v>0</v>
      </c>
    </row>
    <row r="33" spans="1:22">
      <c r="A33" s="458">
        <v>16</v>
      </c>
      <c r="B33" s="460" t="s">
        <v>295</v>
      </c>
      <c r="C33" s="2" t="s">
        <v>24</v>
      </c>
      <c r="D33" s="2">
        <v>900</v>
      </c>
      <c r="E33" s="2">
        <v>900</v>
      </c>
      <c r="F33" s="2">
        <v>900</v>
      </c>
      <c r="G33" s="2">
        <v>900</v>
      </c>
      <c r="H33" s="2">
        <v>900</v>
      </c>
      <c r="I33" s="2">
        <v>900</v>
      </c>
      <c r="J33" s="2">
        <v>900</v>
      </c>
      <c r="K33" s="2">
        <v>900</v>
      </c>
      <c r="L33" s="2">
        <v>900</v>
      </c>
      <c r="M33" s="2">
        <v>900</v>
      </c>
      <c r="N33" s="2">
        <v>10</v>
      </c>
      <c r="O33" s="2">
        <v>860</v>
      </c>
      <c r="P33" s="2">
        <v>860</v>
      </c>
      <c r="Q33" s="2">
        <v>900</v>
      </c>
      <c r="R33" s="2">
        <v>10</v>
      </c>
      <c r="S33" s="2">
        <v>860</v>
      </c>
      <c r="T33" s="2">
        <v>10</v>
      </c>
      <c r="U33" s="2">
        <v>30</v>
      </c>
      <c r="V33" s="2">
        <f t="shared" si="0"/>
        <v>12540</v>
      </c>
    </row>
    <row r="34" spans="1:22">
      <c r="A34" s="458"/>
      <c r="B34" s="460"/>
      <c r="C34" s="2" t="s">
        <v>25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>
        <f t="shared" si="0"/>
        <v>0</v>
      </c>
    </row>
    <row r="35" spans="1:22">
      <c r="A35" s="458">
        <v>17</v>
      </c>
      <c r="B35" s="460" t="s">
        <v>291</v>
      </c>
      <c r="C35" s="2" t="s">
        <v>24</v>
      </c>
      <c r="D35" s="2">
        <v>220</v>
      </c>
      <c r="E35" s="2">
        <v>220</v>
      </c>
      <c r="F35" s="2">
        <v>220</v>
      </c>
      <c r="G35" s="2">
        <v>220</v>
      </c>
      <c r="H35" s="2">
        <v>220</v>
      </c>
      <c r="I35" s="2">
        <v>220</v>
      </c>
      <c r="J35" s="2">
        <v>220</v>
      </c>
      <c r="K35" s="2">
        <v>220</v>
      </c>
      <c r="L35" s="2">
        <v>220</v>
      </c>
      <c r="M35" s="2">
        <v>220</v>
      </c>
      <c r="N35" s="2">
        <v>220</v>
      </c>
      <c r="O35" s="2">
        <v>200</v>
      </c>
      <c r="P35" s="2">
        <v>220</v>
      </c>
      <c r="Q35" s="2">
        <v>220</v>
      </c>
      <c r="R35" s="2">
        <v>0</v>
      </c>
      <c r="S35" s="2">
        <v>210</v>
      </c>
      <c r="T35" s="2">
        <v>200</v>
      </c>
      <c r="U35" s="2">
        <v>10</v>
      </c>
      <c r="V35" s="2">
        <f t="shared" si="0"/>
        <v>3480</v>
      </c>
    </row>
    <row r="36" spans="1:22">
      <c r="A36" s="458"/>
      <c r="B36" s="460"/>
      <c r="C36" s="2" t="s">
        <v>25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>
        <f t="shared" si="0"/>
        <v>0</v>
      </c>
    </row>
    <row r="37" spans="1:22">
      <c r="A37" s="458">
        <v>18</v>
      </c>
      <c r="B37" s="460" t="s">
        <v>292</v>
      </c>
      <c r="C37" s="2" t="s">
        <v>24</v>
      </c>
      <c r="D37" s="2">
        <v>600</v>
      </c>
      <c r="E37" s="2">
        <v>600</v>
      </c>
      <c r="F37" s="2">
        <v>600</v>
      </c>
      <c r="G37" s="2">
        <v>600</v>
      </c>
      <c r="H37" s="2">
        <v>600</v>
      </c>
      <c r="I37" s="2">
        <v>600</v>
      </c>
      <c r="J37" s="2">
        <v>600</v>
      </c>
      <c r="K37" s="2">
        <v>600</v>
      </c>
      <c r="L37" s="2">
        <v>600</v>
      </c>
      <c r="M37" s="2">
        <v>600</v>
      </c>
      <c r="N37" s="2">
        <v>20</v>
      </c>
      <c r="O37" s="2">
        <v>580</v>
      </c>
      <c r="P37" s="2">
        <v>600</v>
      </c>
      <c r="Q37" s="2">
        <v>580</v>
      </c>
      <c r="R37" s="2">
        <v>0</v>
      </c>
      <c r="S37" s="2">
        <v>580</v>
      </c>
      <c r="T37" s="2">
        <v>580</v>
      </c>
      <c r="U37" s="2">
        <v>20</v>
      </c>
      <c r="V37" s="2">
        <f t="shared" si="0"/>
        <v>8960</v>
      </c>
    </row>
    <row r="38" spans="1:22">
      <c r="A38" s="458"/>
      <c r="B38" s="460"/>
      <c r="C38" s="2" t="s">
        <v>25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>
        <f t="shared" si="0"/>
        <v>0</v>
      </c>
    </row>
    <row r="39" spans="1:22">
      <c r="A39" s="458">
        <v>19</v>
      </c>
      <c r="B39" s="460" t="s">
        <v>297</v>
      </c>
      <c r="C39" s="2" t="s">
        <v>24</v>
      </c>
      <c r="D39" s="2">
        <v>650</v>
      </c>
      <c r="E39" s="2">
        <v>650</v>
      </c>
      <c r="F39" s="2">
        <v>650</v>
      </c>
      <c r="G39" s="2">
        <v>650</v>
      </c>
      <c r="H39" s="2">
        <v>650</v>
      </c>
      <c r="I39" s="2">
        <v>650</v>
      </c>
      <c r="J39" s="2">
        <v>650</v>
      </c>
      <c r="K39" s="2">
        <v>650</v>
      </c>
      <c r="L39" s="2">
        <v>650</v>
      </c>
      <c r="M39" s="2">
        <v>650</v>
      </c>
      <c r="N39" s="2">
        <v>650</v>
      </c>
      <c r="O39" s="2">
        <v>650</v>
      </c>
      <c r="P39" s="2">
        <v>650</v>
      </c>
      <c r="Q39" s="2">
        <v>650</v>
      </c>
      <c r="R39" s="2">
        <v>0</v>
      </c>
      <c r="S39" s="2">
        <v>650</v>
      </c>
      <c r="T39" s="2">
        <v>650</v>
      </c>
      <c r="U39" s="2">
        <v>0</v>
      </c>
      <c r="V39" s="2">
        <f t="shared" si="0"/>
        <v>10400</v>
      </c>
    </row>
    <row r="40" spans="1:22">
      <c r="A40" s="458"/>
      <c r="B40" s="460"/>
      <c r="C40" s="2" t="s">
        <v>25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>
        <f t="shared" si="0"/>
        <v>0</v>
      </c>
    </row>
    <row r="41" spans="1:22">
      <c r="A41" s="458">
        <v>20</v>
      </c>
      <c r="B41" s="460" t="s">
        <v>441</v>
      </c>
      <c r="C41" s="2" t="s">
        <v>24</v>
      </c>
      <c r="D41" s="2">
        <v>400</v>
      </c>
      <c r="E41" s="2">
        <v>400</v>
      </c>
      <c r="F41" s="2">
        <v>400</v>
      </c>
      <c r="G41" s="2">
        <v>400</v>
      </c>
      <c r="H41" s="2">
        <v>400</v>
      </c>
      <c r="I41" s="2">
        <v>400</v>
      </c>
      <c r="J41" s="2">
        <v>400</v>
      </c>
      <c r="K41" s="2">
        <v>400</v>
      </c>
      <c r="L41" s="2">
        <v>400</v>
      </c>
      <c r="M41" s="2">
        <v>400</v>
      </c>
      <c r="N41" s="2">
        <v>10</v>
      </c>
      <c r="O41" s="2">
        <v>390</v>
      </c>
      <c r="P41" s="2">
        <v>400</v>
      </c>
      <c r="Q41" s="2">
        <v>400</v>
      </c>
      <c r="R41" s="2">
        <v>0</v>
      </c>
      <c r="S41" s="2">
        <v>390</v>
      </c>
      <c r="T41" s="2">
        <v>390</v>
      </c>
      <c r="U41" s="2">
        <v>10</v>
      </c>
      <c r="V41" s="2">
        <f t="shared" si="0"/>
        <v>5990</v>
      </c>
    </row>
    <row r="42" spans="1:22">
      <c r="A42" s="458"/>
      <c r="B42" s="460"/>
      <c r="C42" s="2" t="s">
        <v>25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>
        <f t="shared" si="0"/>
        <v>0</v>
      </c>
    </row>
    <row r="43" spans="1:22">
      <c r="A43" s="458">
        <v>21</v>
      </c>
      <c r="B43" s="460" t="s">
        <v>442</v>
      </c>
      <c r="C43" s="2" t="s">
        <v>24</v>
      </c>
      <c r="D43" s="2">
        <v>250</v>
      </c>
      <c r="E43" s="2">
        <v>250</v>
      </c>
      <c r="F43" s="2">
        <v>250</v>
      </c>
      <c r="G43" s="2">
        <v>250</v>
      </c>
      <c r="H43" s="2">
        <v>250</v>
      </c>
      <c r="I43" s="2">
        <v>250</v>
      </c>
      <c r="J43" s="2">
        <v>250</v>
      </c>
      <c r="K43" s="2">
        <v>250</v>
      </c>
      <c r="L43" s="2">
        <v>250</v>
      </c>
      <c r="M43" s="2">
        <v>250</v>
      </c>
      <c r="N43" s="2">
        <v>250</v>
      </c>
      <c r="O43" s="2">
        <v>250</v>
      </c>
      <c r="P43" s="2">
        <v>250</v>
      </c>
      <c r="Q43" s="2">
        <v>250</v>
      </c>
      <c r="R43" s="2">
        <v>0</v>
      </c>
      <c r="S43" s="2">
        <v>250</v>
      </c>
      <c r="T43" s="2">
        <v>250</v>
      </c>
      <c r="U43" s="2">
        <v>0</v>
      </c>
      <c r="V43" s="2">
        <f t="shared" si="0"/>
        <v>4000</v>
      </c>
    </row>
    <row r="44" spans="1:22">
      <c r="A44" s="458"/>
      <c r="B44" s="460"/>
      <c r="C44" s="2" t="s">
        <v>25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>
        <f t="shared" si="0"/>
        <v>0</v>
      </c>
    </row>
    <row r="45" spans="1:22">
      <c r="A45" s="458">
        <v>22</v>
      </c>
      <c r="B45" s="460" t="s">
        <v>296</v>
      </c>
      <c r="C45" s="2" t="s">
        <v>24</v>
      </c>
      <c r="D45" s="2">
        <v>750</v>
      </c>
      <c r="E45" s="2">
        <v>750</v>
      </c>
      <c r="F45" s="2">
        <v>750</v>
      </c>
      <c r="G45" s="2">
        <v>750</v>
      </c>
      <c r="H45" s="2">
        <v>750</v>
      </c>
      <c r="I45" s="2">
        <v>750</v>
      </c>
      <c r="J45" s="2">
        <v>750</v>
      </c>
      <c r="K45" s="2">
        <v>750</v>
      </c>
      <c r="L45" s="2">
        <v>750</v>
      </c>
      <c r="M45" s="2">
        <v>750</v>
      </c>
      <c r="N45" s="2">
        <v>750</v>
      </c>
      <c r="O45" s="2">
        <v>750</v>
      </c>
      <c r="P45" s="2">
        <v>750</v>
      </c>
      <c r="Q45" s="2">
        <v>750</v>
      </c>
      <c r="R45" s="2">
        <v>0</v>
      </c>
      <c r="S45" s="2">
        <v>750</v>
      </c>
      <c r="T45" s="2">
        <v>750</v>
      </c>
      <c r="U45" s="2">
        <v>0</v>
      </c>
      <c r="V45" s="2">
        <f t="shared" si="0"/>
        <v>12000</v>
      </c>
    </row>
    <row r="46" spans="1:22">
      <c r="A46" s="458"/>
      <c r="B46" s="460"/>
      <c r="C46" s="2" t="s">
        <v>25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>
        <f t="shared" si="0"/>
        <v>0</v>
      </c>
    </row>
    <row r="47" spans="1:22">
      <c r="A47" s="458">
        <v>23</v>
      </c>
      <c r="B47" s="460" t="s">
        <v>443</v>
      </c>
      <c r="C47" s="2" t="s">
        <v>24</v>
      </c>
      <c r="D47" s="2">
        <v>200</v>
      </c>
      <c r="E47" s="2">
        <v>200</v>
      </c>
      <c r="F47" s="2">
        <v>200</v>
      </c>
      <c r="G47" s="2">
        <v>200</v>
      </c>
      <c r="H47" s="2">
        <v>200</v>
      </c>
      <c r="I47" s="2">
        <v>200</v>
      </c>
      <c r="J47" s="2">
        <v>200</v>
      </c>
      <c r="K47" s="2">
        <v>200</v>
      </c>
      <c r="L47" s="2">
        <v>200</v>
      </c>
      <c r="M47" s="2">
        <v>200</v>
      </c>
      <c r="N47" s="2">
        <v>200</v>
      </c>
      <c r="O47" s="2">
        <v>200</v>
      </c>
      <c r="P47" s="2">
        <v>200</v>
      </c>
      <c r="Q47" s="2">
        <v>200</v>
      </c>
      <c r="R47" s="2">
        <v>0</v>
      </c>
      <c r="S47" s="2">
        <v>200</v>
      </c>
      <c r="T47" s="2">
        <v>200</v>
      </c>
      <c r="U47" s="2">
        <v>0</v>
      </c>
      <c r="V47" s="2">
        <f t="shared" si="0"/>
        <v>3200</v>
      </c>
    </row>
    <row r="48" spans="1:22">
      <c r="A48" s="458"/>
      <c r="B48" s="460"/>
      <c r="C48" s="2" t="s">
        <v>25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>
        <f t="shared" si="0"/>
        <v>0</v>
      </c>
    </row>
    <row r="49" spans="1:22">
      <c r="A49" s="442" t="s">
        <v>35</v>
      </c>
      <c r="B49" s="442"/>
      <c r="C49" s="442"/>
      <c r="D49" s="2">
        <f>D3+D5+D7+D9+D11+D13+D15+D17+D19+D21+D23+D25+D27+D29+D31+D33+D35+D37+D39+D41+D43+D45+D47</f>
        <v>19075</v>
      </c>
      <c r="E49" s="2">
        <f t="shared" ref="E49:V49" si="1">E3+E5+E7+E9+E11+E13+E15+E17+E19+E21+E23+E25+E27+E29+E31+E33+E35+E37+E39+E41+E43+E45+E47</f>
        <v>19075</v>
      </c>
      <c r="F49" s="2">
        <f t="shared" si="1"/>
        <v>19075</v>
      </c>
      <c r="G49" s="2">
        <f t="shared" si="1"/>
        <v>19075</v>
      </c>
      <c r="H49" s="2">
        <f t="shared" si="1"/>
        <v>19075</v>
      </c>
      <c r="I49" s="2">
        <f t="shared" si="1"/>
        <v>19075</v>
      </c>
      <c r="J49" s="2">
        <f t="shared" si="1"/>
        <v>19075</v>
      </c>
      <c r="K49" s="2">
        <f t="shared" si="1"/>
        <v>19075</v>
      </c>
      <c r="L49" s="2">
        <f t="shared" si="1"/>
        <v>19075</v>
      </c>
      <c r="M49" s="2">
        <f t="shared" si="1"/>
        <v>19075</v>
      </c>
      <c r="N49" s="2">
        <f t="shared" si="1"/>
        <v>12145</v>
      </c>
      <c r="O49" s="2">
        <f t="shared" si="1"/>
        <v>18090</v>
      </c>
      <c r="P49" s="2">
        <f t="shared" si="1"/>
        <v>18635</v>
      </c>
      <c r="Q49" s="2">
        <f t="shared" si="1"/>
        <v>17020</v>
      </c>
      <c r="R49" s="2">
        <f t="shared" si="1"/>
        <v>310</v>
      </c>
      <c r="S49" s="2">
        <f t="shared" si="1"/>
        <v>18090</v>
      </c>
      <c r="T49" s="2">
        <f t="shared" si="1"/>
        <v>11240</v>
      </c>
      <c r="U49" s="2">
        <f t="shared" si="1"/>
        <v>1180</v>
      </c>
      <c r="V49" s="2">
        <f t="shared" si="1"/>
        <v>287460</v>
      </c>
    </row>
    <row r="50" spans="1:22">
      <c r="A50" s="442" t="s">
        <v>36</v>
      </c>
      <c r="B50" s="442"/>
      <c r="C50" s="442"/>
      <c r="D50" s="2">
        <f>D4+D6+D8+D10+D12+D14+D16+D18+D20+D22+D24+D26+D28+D30+D32+D34+D36+D38+D40+D42+D44+D46+D48</f>
        <v>0</v>
      </c>
      <c r="E50" s="2">
        <f t="shared" ref="E50:V50" si="2">E4+E6+E8+E10+E12+E14+E16+E18+E20+E22+E24+E26+E28+E30+E32+E34+E36+E38+E40+E42+E44+E46+E48</f>
        <v>0</v>
      </c>
      <c r="F50" s="2">
        <f t="shared" si="2"/>
        <v>0</v>
      </c>
      <c r="G50" s="2">
        <f t="shared" si="2"/>
        <v>0</v>
      </c>
      <c r="H50" s="2">
        <f t="shared" si="2"/>
        <v>0</v>
      </c>
      <c r="I50" s="2">
        <f t="shared" si="2"/>
        <v>0</v>
      </c>
      <c r="J50" s="2">
        <f t="shared" si="2"/>
        <v>0</v>
      </c>
      <c r="K50" s="2">
        <f t="shared" si="2"/>
        <v>0</v>
      </c>
      <c r="L50" s="2">
        <f t="shared" si="2"/>
        <v>0</v>
      </c>
      <c r="M50" s="2">
        <f t="shared" si="2"/>
        <v>0</v>
      </c>
      <c r="N50" s="2">
        <f t="shared" si="2"/>
        <v>0</v>
      </c>
      <c r="O50" s="2">
        <f t="shared" si="2"/>
        <v>0</v>
      </c>
      <c r="P50" s="2">
        <f t="shared" si="2"/>
        <v>0</v>
      </c>
      <c r="Q50" s="2">
        <f t="shared" si="2"/>
        <v>0</v>
      </c>
      <c r="R50" s="2">
        <f t="shared" si="2"/>
        <v>0</v>
      </c>
      <c r="S50" s="2">
        <f t="shared" si="2"/>
        <v>0</v>
      </c>
      <c r="T50" s="2">
        <f t="shared" si="2"/>
        <v>0</v>
      </c>
      <c r="U50" s="2">
        <f t="shared" si="2"/>
        <v>0</v>
      </c>
      <c r="V50" s="2">
        <f t="shared" si="2"/>
        <v>0</v>
      </c>
    </row>
    <row r="51" spans="1:22">
      <c r="A51" s="442" t="s">
        <v>37</v>
      </c>
      <c r="B51" s="442"/>
      <c r="C51" s="442"/>
      <c r="D51" s="2">
        <f>D49-D50</f>
        <v>19075</v>
      </c>
      <c r="E51" s="2">
        <f t="shared" ref="E51:V51" si="3">E49-E50</f>
        <v>19075</v>
      </c>
      <c r="F51" s="2">
        <f t="shared" si="3"/>
        <v>19075</v>
      </c>
      <c r="G51" s="2">
        <f t="shared" si="3"/>
        <v>19075</v>
      </c>
      <c r="H51" s="2">
        <f t="shared" si="3"/>
        <v>19075</v>
      </c>
      <c r="I51" s="2">
        <f t="shared" si="3"/>
        <v>19075</v>
      </c>
      <c r="J51" s="2">
        <f t="shared" si="3"/>
        <v>19075</v>
      </c>
      <c r="K51" s="2">
        <f t="shared" si="3"/>
        <v>19075</v>
      </c>
      <c r="L51" s="2">
        <f t="shared" si="3"/>
        <v>19075</v>
      </c>
      <c r="M51" s="2"/>
      <c r="N51" s="2"/>
      <c r="O51" s="2">
        <f t="shared" si="3"/>
        <v>18090</v>
      </c>
      <c r="P51" s="2">
        <f t="shared" si="3"/>
        <v>18635</v>
      </c>
      <c r="Q51" s="2">
        <f t="shared" si="3"/>
        <v>17020</v>
      </c>
      <c r="R51" s="2">
        <f t="shared" si="3"/>
        <v>310</v>
      </c>
      <c r="S51" s="2">
        <f t="shared" si="3"/>
        <v>18090</v>
      </c>
      <c r="T51" s="2">
        <f t="shared" si="3"/>
        <v>11240</v>
      </c>
      <c r="U51" s="2"/>
      <c r="V51" s="2">
        <f t="shared" si="3"/>
        <v>287460</v>
      </c>
    </row>
    <row r="52" spans="1:22">
      <c r="D52" s="233">
        <v>1</v>
      </c>
      <c r="E52" s="233">
        <v>2</v>
      </c>
      <c r="F52" s="233">
        <v>3</v>
      </c>
      <c r="G52" s="233">
        <v>4</v>
      </c>
      <c r="H52" s="233">
        <v>5</v>
      </c>
      <c r="I52" s="233">
        <v>6</v>
      </c>
      <c r="J52" s="233">
        <v>7</v>
      </c>
      <c r="K52" s="233">
        <v>8</v>
      </c>
      <c r="L52" s="233">
        <v>9</v>
      </c>
      <c r="M52" s="233">
        <v>10</v>
      </c>
      <c r="N52" s="233">
        <v>11</v>
      </c>
      <c r="O52" s="233">
        <v>12</v>
      </c>
      <c r="P52" s="233">
        <v>13</v>
      </c>
      <c r="Q52" s="233">
        <v>14</v>
      </c>
      <c r="R52" s="233">
        <v>15</v>
      </c>
      <c r="S52" s="233">
        <v>16</v>
      </c>
      <c r="T52" s="233">
        <v>17</v>
      </c>
      <c r="U52" s="233">
        <v>18</v>
      </c>
    </row>
  </sheetData>
  <mergeCells count="50">
    <mergeCell ref="A1:K1"/>
    <mergeCell ref="A3:A4"/>
    <mergeCell ref="B3:B4"/>
    <mergeCell ref="A5:A6"/>
    <mergeCell ref="B5:B6"/>
    <mergeCell ref="A7:A8"/>
    <mergeCell ref="B7:B8"/>
    <mergeCell ref="A9:A10"/>
    <mergeCell ref="B9:B10"/>
    <mergeCell ref="A11:A12"/>
    <mergeCell ref="B11:B12"/>
    <mergeCell ref="A13:A14"/>
    <mergeCell ref="B13:B14"/>
    <mergeCell ref="A15:A16"/>
    <mergeCell ref="B15:B16"/>
    <mergeCell ref="A17:A18"/>
    <mergeCell ref="B17:B18"/>
    <mergeCell ref="A19:A20"/>
    <mergeCell ref="B19:B20"/>
    <mergeCell ref="A21:A22"/>
    <mergeCell ref="B21:B22"/>
    <mergeCell ref="A23:A24"/>
    <mergeCell ref="B23:B24"/>
    <mergeCell ref="A25:A26"/>
    <mergeCell ref="B25:B26"/>
    <mergeCell ref="A27:A28"/>
    <mergeCell ref="B27:B28"/>
    <mergeCell ref="A29:A30"/>
    <mergeCell ref="B29:B30"/>
    <mergeCell ref="A31:A32"/>
    <mergeCell ref="B31:B32"/>
    <mergeCell ref="A33:A34"/>
    <mergeCell ref="B33:B34"/>
    <mergeCell ref="A35:A36"/>
    <mergeCell ref="B35:B36"/>
    <mergeCell ref="A37:A38"/>
    <mergeCell ref="B37:B38"/>
    <mergeCell ref="A39:A40"/>
    <mergeCell ref="B39:B40"/>
    <mergeCell ref="A41:A42"/>
    <mergeCell ref="B41:B42"/>
    <mergeCell ref="A43:A44"/>
    <mergeCell ref="B43:B44"/>
    <mergeCell ref="A51:C51"/>
    <mergeCell ref="A45:A46"/>
    <mergeCell ref="B45:B46"/>
    <mergeCell ref="A47:A48"/>
    <mergeCell ref="B47:B48"/>
    <mergeCell ref="A49:C49"/>
    <mergeCell ref="A50:C50"/>
  </mergeCells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FFFF00"/>
  </sheetPr>
  <dimension ref="A1:AC180"/>
  <sheetViews>
    <sheetView topLeftCell="A128" workbookViewId="0">
      <selection activeCell="X159" sqref="X159"/>
    </sheetView>
  </sheetViews>
  <sheetFormatPr defaultRowHeight="15"/>
  <cols>
    <col min="1" max="1" width="3.42578125" style="24" customWidth="1"/>
    <col min="2" max="2" width="7.5703125" style="29" customWidth="1"/>
    <col min="3" max="3" width="4.28515625" style="24" customWidth="1"/>
    <col min="4" max="4" width="4.7109375" style="31" customWidth="1"/>
    <col min="5" max="5" width="0.140625" style="31" customWidth="1"/>
    <col min="6" max="6" width="6.7109375" style="31" customWidth="1"/>
    <col min="7" max="7" width="7" style="31" customWidth="1"/>
    <col min="8" max="9" width="6.85546875" style="31" customWidth="1"/>
    <col min="10" max="10" width="6.7109375" style="31" customWidth="1"/>
    <col min="11" max="11" width="7" style="31" customWidth="1"/>
    <col min="12" max="12" width="8" style="24" customWidth="1"/>
    <col min="13" max="13" width="11" style="24" hidden="1" customWidth="1"/>
    <col min="14" max="14" width="9.140625" style="24" customWidth="1"/>
    <col min="15" max="15" width="10" style="24" customWidth="1"/>
    <col min="16" max="16" width="8.7109375" style="24" customWidth="1"/>
    <col min="17" max="17" width="7.7109375" style="24" customWidth="1"/>
    <col min="18" max="18" width="8.28515625" style="24" customWidth="1"/>
    <col min="19" max="19" width="7" style="24" customWidth="1"/>
    <col min="20" max="20" width="8.140625" style="24" customWidth="1"/>
    <col min="21" max="21" width="7.140625" style="24" customWidth="1"/>
    <col min="22" max="22" width="7.85546875" style="24" customWidth="1"/>
    <col min="23" max="24" width="5.7109375" style="24" customWidth="1"/>
    <col min="25" max="25" width="8.140625" style="24" customWidth="1"/>
    <col min="26" max="26" width="6.28515625" style="24" customWidth="1"/>
    <col min="27" max="28" width="5.5703125" style="24" customWidth="1"/>
    <col min="29" max="29" width="5.28515625" style="24" customWidth="1"/>
  </cols>
  <sheetData>
    <row r="1" spans="1:29" s="1" customFormat="1" ht="24" customHeight="1">
      <c r="A1" s="388" t="s">
        <v>342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  <c r="W1" s="388"/>
      <c r="X1" s="388"/>
      <c r="Y1" s="388"/>
      <c r="Z1" s="388"/>
      <c r="AA1" s="388"/>
      <c r="AB1" s="388"/>
      <c r="AC1" s="388"/>
    </row>
    <row r="2" spans="1:29" s="1" customFormat="1" ht="17.25" customHeight="1">
      <c r="A2" s="379" t="s">
        <v>343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  <c r="W2" s="379"/>
      <c r="X2" s="379"/>
      <c r="Y2" s="379"/>
      <c r="Z2" s="379"/>
      <c r="AA2" s="379"/>
      <c r="AB2" s="379"/>
      <c r="AC2" s="379"/>
    </row>
    <row r="3" spans="1:29" s="1" customFormat="1" ht="15.75" customHeight="1">
      <c r="A3" s="313" t="s">
        <v>274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  <c r="W3" s="313"/>
      <c r="X3" s="313"/>
      <c r="Y3" s="313"/>
      <c r="Z3" s="313"/>
      <c r="AA3" s="313"/>
      <c r="AB3" s="313"/>
      <c r="AC3" s="313"/>
    </row>
    <row r="4" spans="1:29" s="1" customFormat="1" ht="20.25">
      <c r="A4" s="400" t="s">
        <v>326</v>
      </c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00"/>
      <c r="Q4" s="400"/>
      <c r="R4" s="400"/>
      <c r="S4" s="400"/>
      <c r="T4" s="400"/>
      <c r="U4" s="400"/>
      <c r="V4" s="489"/>
      <c r="W4" s="489"/>
      <c r="X4" s="489"/>
      <c r="Y4" s="253"/>
      <c r="Z4" s="490" t="s">
        <v>255</v>
      </c>
      <c r="AA4" s="490"/>
      <c r="AB4" s="490"/>
      <c r="AC4" s="490"/>
    </row>
    <row r="5" spans="1:29" s="43" customFormat="1">
      <c r="A5" s="486" t="s">
        <v>0</v>
      </c>
      <c r="B5" s="486" t="s">
        <v>10</v>
      </c>
      <c r="C5" s="486" t="s">
        <v>1</v>
      </c>
      <c r="D5" s="491" t="s">
        <v>11</v>
      </c>
      <c r="E5" s="89"/>
      <c r="F5" s="493" t="s">
        <v>327</v>
      </c>
      <c r="G5" s="493"/>
      <c r="H5" s="493"/>
      <c r="I5" s="493"/>
      <c r="J5" s="493"/>
      <c r="K5" s="493"/>
      <c r="L5" s="486" t="s">
        <v>2</v>
      </c>
      <c r="M5" s="90" t="s">
        <v>11</v>
      </c>
      <c r="N5" s="486" t="s">
        <v>114</v>
      </c>
      <c r="O5" s="494" t="s">
        <v>197</v>
      </c>
      <c r="P5" s="495"/>
      <c r="Q5" s="496" t="s">
        <v>115</v>
      </c>
      <c r="R5" s="497"/>
      <c r="S5" s="494" t="s">
        <v>83</v>
      </c>
      <c r="T5" s="495"/>
      <c r="U5" s="494" t="s">
        <v>3</v>
      </c>
      <c r="V5" s="495"/>
      <c r="W5" s="488" t="s">
        <v>89</v>
      </c>
      <c r="X5" s="500" t="s">
        <v>558</v>
      </c>
      <c r="Y5" s="498" t="s">
        <v>559</v>
      </c>
      <c r="Z5" s="501" t="s">
        <v>134</v>
      </c>
      <c r="AA5" s="502"/>
      <c r="AB5" s="502"/>
      <c r="AC5" s="503"/>
    </row>
    <row r="6" spans="1:29" ht="27" customHeight="1">
      <c r="A6" s="487"/>
      <c r="B6" s="487"/>
      <c r="C6" s="487"/>
      <c r="D6" s="492"/>
      <c r="E6" s="91"/>
      <c r="F6" s="92" t="s">
        <v>328</v>
      </c>
      <c r="G6" s="92" t="s">
        <v>329</v>
      </c>
      <c r="H6" s="92"/>
      <c r="I6" s="92"/>
      <c r="J6" s="92"/>
      <c r="K6" s="92"/>
      <c r="L6" s="487"/>
      <c r="M6" s="93"/>
      <c r="N6" s="487"/>
      <c r="O6" s="22" t="s">
        <v>82</v>
      </c>
      <c r="P6" s="22" t="s">
        <v>38</v>
      </c>
      <c r="Q6" s="94" t="s">
        <v>82</v>
      </c>
      <c r="R6" s="94" t="s">
        <v>38</v>
      </c>
      <c r="S6" s="22" t="s">
        <v>83</v>
      </c>
      <c r="T6" s="22" t="s">
        <v>38</v>
      </c>
      <c r="U6" s="22" t="s">
        <v>3</v>
      </c>
      <c r="V6" s="22" t="s">
        <v>38</v>
      </c>
      <c r="W6" s="488"/>
      <c r="X6" s="500"/>
      <c r="Y6" s="499"/>
      <c r="Z6" s="95" t="s">
        <v>90</v>
      </c>
      <c r="AA6" s="95" t="s">
        <v>154</v>
      </c>
      <c r="AB6" s="95" t="s">
        <v>135</v>
      </c>
      <c r="AC6" s="95" t="s">
        <v>38</v>
      </c>
    </row>
    <row r="7" spans="1:29">
      <c r="A7" s="96">
        <v>1</v>
      </c>
      <c r="B7" s="97" t="s">
        <v>4</v>
      </c>
      <c r="C7" s="483" t="s">
        <v>12</v>
      </c>
      <c r="D7" s="98">
        <v>11</v>
      </c>
      <c r="E7" s="98"/>
      <c r="F7" s="98">
        <v>34387</v>
      </c>
      <c r="G7" s="98">
        <v>26626</v>
      </c>
      <c r="H7" s="98"/>
      <c r="I7" s="98"/>
      <c r="J7" s="98"/>
      <c r="K7" s="98"/>
      <c r="L7" s="99">
        <f>SUM(F7:K7)</f>
        <v>61013</v>
      </c>
      <c r="M7" s="100">
        <v>2</v>
      </c>
      <c r="N7" s="100">
        <f>D7/M7*L7</f>
        <v>335571.5</v>
      </c>
      <c r="O7" s="124">
        <f>'MSPL-3(Lot)'!I7+'MSPL-3(Lot)'!I43</f>
        <v>0</v>
      </c>
      <c r="P7" s="124">
        <f>N7-O7</f>
        <v>335571.5</v>
      </c>
      <c r="Q7" s="96">
        <f>O7/D7*M7</f>
        <v>0</v>
      </c>
      <c r="R7" s="96">
        <f>L7-Q7</f>
        <v>61013</v>
      </c>
      <c r="S7" s="125">
        <f>'MSPL-3(Lot)'!M7+'MSPL-3(Lot)'!M43</f>
        <v>0</v>
      </c>
      <c r="T7" s="125">
        <f>L7-S7</f>
        <v>61013</v>
      </c>
      <c r="U7" s="96">
        <f>'MSPL-3(Lot)'!O7+'MSPL-3(Lot)'!O43</f>
        <v>0</v>
      </c>
      <c r="V7" s="96">
        <f>L7-U7</f>
        <v>61013</v>
      </c>
      <c r="W7" s="125">
        <f>S7-U7</f>
        <v>0</v>
      </c>
      <c r="X7" s="96">
        <f>D7*S7/1000</f>
        <v>0</v>
      </c>
      <c r="Y7" s="96">
        <f>Q7-S7</f>
        <v>0</v>
      </c>
      <c r="Z7" s="96">
        <f>D7*L7/1000</f>
        <v>671.14300000000003</v>
      </c>
      <c r="AA7" s="96">
        <f>Z7/65</f>
        <v>10.325276923076924</v>
      </c>
      <c r="AB7" s="96">
        <f>D7*Q7/1000/65</f>
        <v>0</v>
      </c>
      <c r="AC7" s="96">
        <f>AA7-AB7</f>
        <v>10.325276923076924</v>
      </c>
    </row>
    <row r="8" spans="1:29">
      <c r="A8" s="96">
        <v>2</v>
      </c>
      <c r="B8" s="97" t="s">
        <v>5</v>
      </c>
      <c r="C8" s="484"/>
      <c r="D8" s="98">
        <v>12</v>
      </c>
      <c r="E8" s="98"/>
      <c r="F8" s="98">
        <v>34387</v>
      </c>
      <c r="G8" s="98">
        <v>26626</v>
      </c>
      <c r="H8" s="98"/>
      <c r="I8" s="98"/>
      <c r="J8" s="98"/>
      <c r="K8" s="98"/>
      <c r="L8" s="99">
        <f t="shared" ref="L8:L33" si="0">SUM(F8:K8)</f>
        <v>61013</v>
      </c>
      <c r="M8" s="100">
        <v>2</v>
      </c>
      <c r="N8" s="100">
        <f t="shared" ref="N8:N33" si="1">D8/M8*L8</f>
        <v>366078</v>
      </c>
      <c r="O8" s="124">
        <f>'MSPL-3(Lot)'!I8+'MSPL-3(Lot)'!I44</f>
        <v>0</v>
      </c>
      <c r="P8" s="124">
        <f t="shared" ref="P8:P33" si="2">N8-O8</f>
        <v>366078</v>
      </c>
      <c r="Q8" s="96">
        <f t="shared" ref="Q8:Q33" si="3">O8/D8*M8</f>
        <v>0</v>
      </c>
      <c r="R8" s="96">
        <f t="shared" ref="R8:R33" si="4">L8-Q8</f>
        <v>61013</v>
      </c>
      <c r="S8" s="125">
        <f>'MSPL-3(Lot)'!M8+'MSPL-3(Lot)'!M44</f>
        <v>0</v>
      </c>
      <c r="T8" s="125">
        <f t="shared" ref="T8:T33" si="5">L8-S8</f>
        <v>61013</v>
      </c>
      <c r="U8" s="96">
        <f>'MSPL-3(Lot)'!O8+'MSPL-3(Lot)'!O44</f>
        <v>0</v>
      </c>
      <c r="V8" s="96">
        <f t="shared" ref="V8:V33" si="6">L8-U8</f>
        <v>61013</v>
      </c>
      <c r="W8" s="125">
        <f t="shared" ref="W8:W33" si="7">S8-U8</f>
        <v>0</v>
      </c>
      <c r="X8" s="96">
        <f t="shared" ref="X8:X33" si="8">D8*S8/1000</f>
        <v>0</v>
      </c>
      <c r="Y8" s="96">
        <f t="shared" ref="Y8:Y33" si="9">Q8-S8</f>
        <v>0</v>
      </c>
      <c r="Z8" s="96">
        <f t="shared" ref="Z8:Z33" si="10">D8*L8/1000</f>
        <v>732.15599999999995</v>
      </c>
      <c r="AA8" s="96">
        <f t="shared" ref="AA8:AA33" si="11">Z8/65</f>
        <v>11.26393846153846</v>
      </c>
      <c r="AB8" s="96">
        <f t="shared" ref="AB8:AB33" si="12">D8*Q8/1000/65</f>
        <v>0</v>
      </c>
      <c r="AC8" s="96">
        <f t="shared" ref="AC8:AC33" si="13">AA8-AB8</f>
        <v>11.26393846153846</v>
      </c>
    </row>
    <row r="9" spans="1:29">
      <c r="A9" s="96">
        <v>3</v>
      </c>
      <c r="B9" s="97" t="s">
        <v>6</v>
      </c>
      <c r="C9" s="485"/>
      <c r="D9" s="98">
        <v>15</v>
      </c>
      <c r="E9" s="98"/>
      <c r="F9" s="98">
        <v>34387</v>
      </c>
      <c r="G9" s="98">
        <v>26626</v>
      </c>
      <c r="H9" s="98"/>
      <c r="I9" s="98"/>
      <c r="J9" s="98"/>
      <c r="K9" s="98"/>
      <c r="L9" s="99">
        <f t="shared" si="0"/>
        <v>61013</v>
      </c>
      <c r="M9" s="100">
        <v>2</v>
      </c>
      <c r="N9" s="100">
        <f t="shared" si="1"/>
        <v>457597.5</v>
      </c>
      <c r="O9" s="124">
        <f>'MSPL-3(Lot)'!I9+'MSPL-3(Lot)'!I45</f>
        <v>0</v>
      </c>
      <c r="P9" s="124">
        <f t="shared" si="2"/>
        <v>457597.5</v>
      </c>
      <c r="Q9" s="96">
        <f t="shared" si="3"/>
        <v>0</v>
      </c>
      <c r="R9" s="96">
        <f t="shared" si="4"/>
        <v>61013</v>
      </c>
      <c r="S9" s="125">
        <f>'MSPL-3(Lot)'!M9+'MSPL-3(Lot)'!M45</f>
        <v>0</v>
      </c>
      <c r="T9" s="125">
        <f t="shared" si="5"/>
        <v>61013</v>
      </c>
      <c r="U9" s="96">
        <f>'MSPL-3(Lot)'!O9+'MSPL-3(Lot)'!O45</f>
        <v>0</v>
      </c>
      <c r="V9" s="96">
        <f t="shared" si="6"/>
        <v>61013</v>
      </c>
      <c r="W9" s="125">
        <f t="shared" si="7"/>
        <v>0</v>
      </c>
      <c r="X9" s="96">
        <f t="shared" si="8"/>
        <v>0</v>
      </c>
      <c r="Y9" s="96">
        <f t="shared" si="9"/>
        <v>0</v>
      </c>
      <c r="Z9" s="96">
        <f t="shared" si="10"/>
        <v>915.19500000000005</v>
      </c>
      <c r="AA9" s="96">
        <f t="shared" si="11"/>
        <v>14.079923076923079</v>
      </c>
      <c r="AB9" s="96">
        <f t="shared" si="12"/>
        <v>0</v>
      </c>
      <c r="AC9" s="96">
        <f t="shared" si="13"/>
        <v>14.079923076923079</v>
      </c>
    </row>
    <row r="10" spans="1:29">
      <c r="A10" s="96">
        <v>4</v>
      </c>
      <c r="B10" s="97" t="s">
        <v>4</v>
      </c>
      <c r="C10" s="483" t="s">
        <v>13</v>
      </c>
      <c r="D10" s="98">
        <v>9</v>
      </c>
      <c r="E10" s="98"/>
      <c r="F10" s="98">
        <v>34457</v>
      </c>
      <c r="G10" s="98">
        <v>26054</v>
      </c>
      <c r="H10" s="98"/>
      <c r="I10" s="98"/>
      <c r="J10" s="98"/>
      <c r="K10" s="98"/>
      <c r="L10" s="99">
        <f t="shared" si="0"/>
        <v>60511</v>
      </c>
      <c r="M10" s="100">
        <v>2</v>
      </c>
      <c r="N10" s="100">
        <f t="shared" si="1"/>
        <v>272299.5</v>
      </c>
      <c r="O10" s="124">
        <f>'MSPL-3(Lot)'!I10+'MSPL-3(Lot)'!I46</f>
        <v>0</v>
      </c>
      <c r="P10" s="124">
        <f t="shared" si="2"/>
        <v>272299.5</v>
      </c>
      <c r="Q10" s="96">
        <f t="shared" si="3"/>
        <v>0</v>
      </c>
      <c r="R10" s="96">
        <f t="shared" si="4"/>
        <v>60511</v>
      </c>
      <c r="S10" s="125">
        <f>'MSPL-3(Lot)'!M10+'MSPL-3(Lot)'!M46</f>
        <v>0</v>
      </c>
      <c r="T10" s="125">
        <f t="shared" si="5"/>
        <v>60511</v>
      </c>
      <c r="U10" s="96">
        <f>'MSPL-3(Lot)'!O10+'MSPL-3(Lot)'!O46</f>
        <v>0</v>
      </c>
      <c r="V10" s="96">
        <f t="shared" si="6"/>
        <v>60511</v>
      </c>
      <c r="W10" s="125">
        <f t="shared" si="7"/>
        <v>0</v>
      </c>
      <c r="X10" s="96">
        <f t="shared" si="8"/>
        <v>0</v>
      </c>
      <c r="Y10" s="96">
        <f t="shared" si="9"/>
        <v>0</v>
      </c>
      <c r="Z10" s="96">
        <f t="shared" si="10"/>
        <v>544.59900000000005</v>
      </c>
      <c r="AA10" s="96">
        <f t="shared" si="11"/>
        <v>8.3784461538461539</v>
      </c>
      <c r="AB10" s="96">
        <f t="shared" si="12"/>
        <v>0</v>
      </c>
      <c r="AC10" s="96">
        <f t="shared" si="13"/>
        <v>8.3784461538461539</v>
      </c>
    </row>
    <row r="11" spans="1:29">
      <c r="A11" s="96">
        <v>5</v>
      </c>
      <c r="B11" s="97" t="s">
        <v>5</v>
      </c>
      <c r="C11" s="484"/>
      <c r="D11" s="98">
        <v>13</v>
      </c>
      <c r="E11" s="98"/>
      <c r="F11" s="98">
        <v>34457</v>
      </c>
      <c r="G11" s="98">
        <v>26054</v>
      </c>
      <c r="H11" s="98"/>
      <c r="I11" s="98"/>
      <c r="J11" s="98"/>
      <c r="K11" s="98"/>
      <c r="L11" s="99">
        <f t="shared" si="0"/>
        <v>60511</v>
      </c>
      <c r="M11" s="100">
        <v>2</v>
      </c>
      <c r="N11" s="100">
        <f t="shared" si="1"/>
        <v>393321.5</v>
      </c>
      <c r="O11" s="124">
        <f>'MSPL-3(Lot)'!I11+'MSPL-3(Lot)'!I47</f>
        <v>0</v>
      </c>
      <c r="P11" s="124">
        <f t="shared" si="2"/>
        <v>393321.5</v>
      </c>
      <c r="Q11" s="96">
        <f t="shared" si="3"/>
        <v>0</v>
      </c>
      <c r="R11" s="96">
        <f t="shared" si="4"/>
        <v>60511</v>
      </c>
      <c r="S11" s="125">
        <f>'MSPL-3(Lot)'!M11+'MSPL-3(Lot)'!M47</f>
        <v>0</v>
      </c>
      <c r="T11" s="125">
        <f t="shared" si="5"/>
        <v>60511</v>
      </c>
      <c r="U11" s="96">
        <f>'MSPL-3(Lot)'!O11+'MSPL-3(Lot)'!O47</f>
        <v>0</v>
      </c>
      <c r="V11" s="96">
        <f t="shared" si="6"/>
        <v>60511</v>
      </c>
      <c r="W11" s="125">
        <f t="shared" si="7"/>
        <v>0</v>
      </c>
      <c r="X11" s="96">
        <f t="shared" si="8"/>
        <v>0</v>
      </c>
      <c r="Y11" s="96">
        <f t="shared" si="9"/>
        <v>0</v>
      </c>
      <c r="Z11" s="96">
        <f t="shared" si="10"/>
        <v>786.64300000000003</v>
      </c>
      <c r="AA11" s="96">
        <f t="shared" si="11"/>
        <v>12.1022</v>
      </c>
      <c r="AB11" s="96">
        <f t="shared" si="12"/>
        <v>0</v>
      </c>
      <c r="AC11" s="96">
        <f t="shared" si="13"/>
        <v>12.1022</v>
      </c>
    </row>
    <row r="12" spans="1:29">
      <c r="A12" s="96">
        <v>6</v>
      </c>
      <c r="B12" s="97" t="s">
        <v>6</v>
      </c>
      <c r="C12" s="485"/>
      <c r="D12" s="98">
        <v>17</v>
      </c>
      <c r="E12" s="98"/>
      <c r="F12" s="98">
        <v>34457</v>
      </c>
      <c r="G12" s="98">
        <v>26054</v>
      </c>
      <c r="H12" s="98"/>
      <c r="I12" s="98"/>
      <c r="J12" s="98"/>
      <c r="K12" s="98"/>
      <c r="L12" s="99">
        <f t="shared" si="0"/>
        <v>60511</v>
      </c>
      <c r="M12" s="100">
        <v>2</v>
      </c>
      <c r="N12" s="100">
        <f t="shared" si="1"/>
        <v>514343.5</v>
      </c>
      <c r="O12" s="124">
        <f>'MSPL-3(Lot)'!I12+'MSPL-3(Lot)'!I48</f>
        <v>0</v>
      </c>
      <c r="P12" s="124">
        <f t="shared" si="2"/>
        <v>514343.5</v>
      </c>
      <c r="Q12" s="96">
        <f t="shared" si="3"/>
        <v>0</v>
      </c>
      <c r="R12" s="96">
        <f t="shared" si="4"/>
        <v>60511</v>
      </c>
      <c r="S12" s="125">
        <f>'MSPL-3(Lot)'!M12+'MSPL-3(Lot)'!M48</f>
        <v>0</v>
      </c>
      <c r="T12" s="125">
        <f t="shared" si="5"/>
        <v>60511</v>
      </c>
      <c r="U12" s="96">
        <f>'MSPL-3(Lot)'!O12+'MSPL-3(Lot)'!O48</f>
        <v>0</v>
      </c>
      <c r="V12" s="96">
        <f t="shared" si="6"/>
        <v>60511</v>
      </c>
      <c r="W12" s="125">
        <f t="shared" si="7"/>
        <v>0</v>
      </c>
      <c r="X12" s="96">
        <f t="shared" si="8"/>
        <v>0</v>
      </c>
      <c r="Y12" s="96">
        <f t="shared" si="9"/>
        <v>0</v>
      </c>
      <c r="Z12" s="96">
        <f t="shared" si="10"/>
        <v>1028.6869999999999</v>
      </c>
      <c r="AA12" s="96">
        <f t="shared" si="11"/>
        <v>15.825953846153844</v>
      </c>
      <c r="AB12" s="96">
        <f t="shared" si="12"/>
        <v>0</v>
      </c>
      <c r="AC12" s="96">
        <f t="shared" si="13"/>
        <v>15.825953846153844</v>
      </c>
    </row>
    <row r="13" spans="1:29">
      <c r="A13" s="96">
        <v>7</v>
      </c>
      <c r="B13" s="97" t="s">
        <v>4</v>
      </c>
      <c r="C13" s="483" t="s">
        <v>14</v>
      </c>
      <c r="D13" s="98">
        <v>13</v>
      </c>
      <c r="E13" s="98"/>
      <c r="F13" s="98">
        <v>34042</v>
      </c>
      <c r="G13" s="98">
        <v>25695</v>
      </c>
      <c r="H13" s="98"/>
      <c r="I13" s="98"/>
      <c r="J13" s="98"/>
      <c r="K13" s="98"/>
      <c r="L13" s="99">
        <f t="shared" si="0"/>
        <v>59737</v>
      </c>
      <c r="M13" s="100">
        <v>2</v>
      </c>
      <c r="N13" s="100">
        <f t="shared" si="1"/>
        <v>388290.5</v>
      </c>
      <c r="O13" s="124">
        <f>'MSPL-3(Lot)'!I13+'MSPL-3(Lot)'!I49</f>
        <v>0</v>
      </c>
      <c r="P13" s="124">
        <f t="shared" si="2"/>
        <v>388290.5</v>
      </c>
      <c r="Q13" s="96">
        <f t="shared" si="3"/>
        <v>0</v>
      </c>
      <c r="R13" s="96">
        <f t="shared" si="4"/>
        <v>59737</v>
      </c>
      <c r="S13" s="125">
        <f>'MSPL-3(Lot)'!M13+'MSPL-3(Lot)'!M49</f>
        <v>0</v>
      </c>
      <c r="T13" s="125">
        <f t="shared" si="5"/>
        <v>59737</v>
      </c>
      <c r="U13" s="96">
        <f>'MSPL-3(Lot)'!O13+'MSPL-3(Lot)'!O49</f>
        <v>0</v>
      </c>
      <c r="V13" s="96">
        <f t="shared" si="6"/>
        <v>59737</v>
      </c>
      <c r="W13" s="125">
        <f t="shared" si="7"/>
        <v>0</v>
      </c>
      <c r="X13" s="96">
        <f t="shared" si="8"/>
        <v>0</v>
      </c>
      <c r="Y13" s="96">
        <f>Q13-S13</f>
        <v>0</v>
      </c>
      <c r="Z13" s="96">
        <f t="shared" si="10"/>
        <v>776.58100000000002</v>
      </c>
      <c r="AA13" s="96">
        <f t="shared" si="11"/>
        <v>11.9474</v>
      </c>
      <c r="AB13" s="96">
        <f t="shared" si="12"/>
        <v>0</v>
      </c>
      <c r="AC13" s="96">
        <f t="shared" si="13"/>
        <v>11.9474</v>
      </c>
    </row>
    <row r="14" spans="1:29">
      <c r="A14" s="96">
        <v>8</v>
      </c>
      <c r="B14" s="97" t="s">
        <v>5</v>
      </c>
      <c r="C14" s="484"/>
      <c r="D14" s="98">
        <v>16</v>
      </c>
      <c r="E14" s="98"/>
      <c r="F14" s="98">
        <v>34042</v>
      </c>
      <c r="G14" s="98">
        <v>25695</v>
      </c>
      <c r="H14" s="98"/>
      <c r="I14" s="98"/>
      <c r="J14" s="98"/>
      <c r="K14" s="98"/>
      <c r="L14" s="99">
        <f t="shared" si="0"/>
        <v>59737</v>
      </c>
      <c r="M14" s="100">
        <v>2</v>
      </c>
      <c r="N14" s="100">
        <f t="shared" si="1"/>
        <v>477896</v>
      </c>
      <c r="O14" s="124">
        <f>'MSPL-3(Lot)'!I14+'MSPL-3(Lot)'!I50</f>
        <v>0</v>
      </c>
      <c r="P14" s="124">
        <f t="shared" si="2"/>
        <v>477896</v>
      </c>
      <c r="Q14" s="96">
        <f t="shared" si="3"/>
        <v>0</v>
      </c>
      <c r="R14" s="96">
        <f t="shared" si="4"/>
        <v>59737</v>
      </c>
      <c r="S14" s="125">
        <f>'MSPL-3(Lot)'!M14+'MSPL-3(Lot)'!M50</f>
        <v>0</v>
      </c>
      <c r="T14" s="125">
        <f t="shared" si="5"/>
        <v>59737</v>
      </c>
      <c r="U14" s="96">
        <f>'MSPL-3(Lot)'!O14+'MSPL-3(Lot)'!O50</f>
        <v>0</v>
      </c>
      <c r="V14" s="96">
        <f t="shared" si="6"/>
        <v>59737</v>
      </c>
      <c r="W14" s="125">
        <f t="shared" si="7"/>
        <v>0</v>
      </c>
      <c r="X14" s="96">
        <f t="shared" si="8"/>
        <v>0</v>
      </c>
      <c r="Y14" s="96">
        <f t="shared" si="9"/>
        <v>0</v>
      </c>
      <c r="Z14" s="96">
        <f t="shared" si="10"/>
        <v>955.79200000000003</v>
      </c>
      <c r="AA14" s="96">
        <f t="shared" si="11"/>
        <v>14.704492307692307</v>
      </c>
      <c r="AB14" s="96">
        <f t="shared" si="12"/>
        <v>0</v>
      </c>
      <c r="AC14" s="96">
        <f t="shared" si="13"/>
        <v>14.704492307692307</v>
      </c>
    </row>
    <row r="15" spans="1:29">
      <c r="A15" s="96">
        <v>9</v>
      </c>
      <c r="B15" s="97" t="s">
        <v>6</v>
      </c>
      <c r="C15" s="484"/>
      <c r="D15" s="98">
        <v>20</v>
      </c>
      <c r="E15" s="98"/>
      <c r="F15" s="98">
        <v>34042</v>
      </c>
      <c r="G15" s="98">
        <v>25695</v>
      </c>
      <c r="H15" s="98"/>
      <c r="I15" s="98"/>
      <c r="J15" s="98"/>
      <c r="K15" s="98"/>
      <c r="L15" s="99">
        <f t="shared" si="0"/>
        <v>59737</v>
      </c>
      <c r="M15" s="100">
        <v>2</v>
      </c>
      <c r="N15" s="100">
        <f t="shared" si="1"/>
        <v>597370</v>
      </c>
      <c r="O15" s="124">
        <f>'MSPL-3(Lot)'!I15+'MSPL-3(Lot)'!I51</f>
        <v>0</v>
      </c>
      <c r="P15" s="124">
        <f t="shared" si="2"/>
        <v>597370</v>
      </c>
      <c r="Q15" s="96">
        <f t="shared" si="3"/>
        <v>0</v>
      </c>
      <c r="R15" s="96">
        <f t="shared" si="4"/>
        <v>59737</v>
      </c>
      <c r="S15" s="125">
        <f>'MSPL-3(Lot)'!M15+'MSPL-3(Lot)'!M51</f>
        <v>0</v>
      </c>
      <c r="T15" s="125">
        <f t="shared" si="5"/>
        <v>59737</v>
      </c>
      <c r="U15" s="96">
        <f>'MSPL-3(Lot)'!O15+'MSPL-3(Lot)'!O51</f>
        <v>0</v>
      </c>
      <c r="V15" s="96">
        <f t="shared" si="6"/>
        <v>59737</v>
      </c>
      <c r="W15" s="125">
        <f t="shared" si="7"/>
        <v>0</v>
      </c>
      <c r="X15" s="96">
        <f t="shared" si="8"/>
        <v>0</v>
      </c>
      <c r="Y15" s="96">
        <f t="shared" si="9"/>
        <v>0</v>
      </c>
      <c r="Z15" s="96">
        <f t="shared" si="10"/>
        <v>1194.74</v>
      </c>
      <c r="AA15" s="96">
        <f t="shared" si="11"/>
        <v>18.380615384615385</v>
      </c>
      <c r="AB15" s="96">
        <f t="shared" si="12"/>
        <v>0</v>
      </c>
      <c r="AC15" s="96">
        <f t="shared" si="13"/>
        <v>18.380615384615385</v>
      </c>
    </row>
    <row r="16" spans="1:29">
      <c r="A16" s="96">
        <v>10</v>
      </c>
      <c r="B16" s="97" t="s">
        <v>204</v>
      </c>
      <c r="C16" s="484"/>
      <c r="D16" s="98">
        <v>14</v>
      </c>
      <c r="E16" s="98"/>
      <c r="F16" s="98">
        <v>34042</v>
      </c>
      <c r="G16" s="98">
        <v>25695</v>
      </c>
      <c r="H16" s="98"/>
      <c r="I16" s="98"/>
      <c r="J16" s="98"/>
      <c r="K16" s="98"/>
      <c r="L16" s="99">
        <f t="shared" si="0"/>
        <v>59737</v>
      </c>
      <c r="M16" s="100">
        <v>2</v>
      </c>
      <c r="N16" s="100">
        <f t="shared" si="1"/>
        <v>418159</v>
      </c>
      <c r="O16" s="124">
        <f>'MSPL-3(Lot)'!I16+'MSPL-3(Lot)'!I52</f>
        <v>0</v>
      </c>
      <c r="P16" s="124">
        <f t="shared" si="2"/>
        <v>418159</v>
      </c>
      <c r="Q16" s="96">
        <f t="shared" si="3"/>
        <v>0</v>
      </c>
      <c r="R16" s="96">
        <f t="shared" si="4"/>
        <v>59737</v>
      </c>
      <c r="S16" s="125">
        <f>'MSPL-3(Lot)'!M16+'MSPL-3(Lot)'!M52</f>
        <v>0</v>
      </c>
      <c r="T16" s="125">
        <f t="shared" si="5"/>
        <v>59737</v>
      </c>
      <c r="U16" s="96">
        <f>'MSPL-3(Lot)'!O16+'MSPL-3(Lot)'!O52</f>
        <v>0</v>
      </c>
      <c r="V16" s="96">
        <f t="shared" si="6"/>
        <v>59737</v>
      </c>
      <c r="W16" s="125">
        <f t="shared" si="7"/>
        <v>0</v>
      </c>
      <c r="X16" s="96">
        <f t="shared" si="8"/>
        <v>0</v>
      </c>
      <c r="Y16" s="96">
        <f t="shared" si="9"/>
        <v>0</v>
      </c>
      <c r="Z16" s="96">
        <f t="shared" si="10"/>
        <v>836.31799999999998</v>
      </c>
      <c r="AA16" s="96">
        <f t="shared" si="11"/>
        <v>12.866430769230769</v>
      </c>
      <c r="AB16" s="96">
        <f t="shared" si="12"/>
        <v>0</v>
      </c>
      <c r="AC16" s="96">
        <f t="shared" si="13"/>
        <v>12.866430769230769</v>
      </c>
    </row>
    <row r="17" spans="1:29">
      <c r="A17" s="96">
        <v>11</v>
      </c>
      <c r="B17" s="97" t="s">
        <v>7</v>
      </c>
      <c r="C17" s="484"/>
      <c r="D17" s="98">
        <v>19</v>
      </c>
      <c r="E17" s="98"/>
      <c r="F17" s="98">
        <v>34042</v>
      </c>
      <c r="G17" s="98">
        <v>25695</v>
      </c>
      <c r="H17" s="98"/>
      <c r="I17" s="98"/>
      <c r="J17" s="98"/>
      <c r="K17" s="98"/>
      <c r="L17" s="99">
        <f t="shared" si="0"/>
        <v>59737</v>
      </c>
      <c r="M17" s="100">
        <v>2</v>
      </c>
      <c r="N17" s="100">
        <f t="shared" si="1"/>
        <v>567501.5</v>
      </c>
      <c r="O17" s="124">
        <f>'MSPL-3(Lot)'!I17+'MSPL-3(Lot)'!I53</f>
        <v>0</v>
      </c>
      <c r="P17" s="124">
        <f t="shared" si="2"/>
        <v>567501.5</v>
      </c>
      <c r="Q17" s="96">
        <f t="shared" si="3"/>
        <v>0</v>
      </c>
      <c r="R17" s="96">
        <f t="shared" si="4"/>
        <v>59737</v>
      </c>
      <c r="S17" s="125">
        <f>'MSPL-3(Lot)'!M17+'MSPL-3(Lot)'!M53</f>
        <v>0</v>
      </c>
      <c r="T17" s="125">
        <f t="shared" si="5"/>
        <v>59737</v>
      </c>
      <c r="U17" s="96">
        <f>'MSPL-3(Lot)'!O17+'MSPL-3(Lot)'!O53</f>
        <v>0</v>
      </c>
      <c r="V17" s="96">
        <f t="shared" si="6"/>
        <v>59737</v>
      </c>
      <c r="W17" s="125">
        <f t="shared" si="7"/>
        <v>0</v>
      </c>
      <c r="X17" s="96">
        <f t="shared" si="8"/>
        <v>0</v>
      </c>
      <c r="Y17" s="96">
        <f t="shared" si="9"/>
        <v>0</v>
      </c>
      <c r="Z17" s="96">
        <f t="shared" si="10"/>
        <v>1135.0029999999999</v>
      </c>
      <c r="AA17" s="96">
        <f t="shared" si="11"/>
        <v>17.461584615384613</v>
      </c>
      <c r="AB17" s="96">
        <f t="shared" si="12"/>
        <v>0</v>
      </c>
      <c r="AC17" s="96">
        <f t="shared" si="13"/>
        <v>17.461584615384613</v>
      </c>
    </row>
    <row r="18" spans="1:29">
      <c r="A18" s="96">
        <v>12</v>
      </c>
      <c r="B18" s="97" t="s">
        <v>8</v>
      </c>
      <c r="C18" s="484"/>
      <c r="D18" s="98">
        <v>9</v>
      </c>
      <c r="E18" s="98"/>
      <c r="F18" s="98">
        <v>32196</v>
      </c>
      <c r="G18" s="98">
        <v>23776</v>
      </c>
      <c r="H18" s="98"/>
      <c r="I18" s="98"/>
      <c r="J18" s="98"/>
      <c r="K18" s="98"/>
      <c r="L18" s="99">
        <f t="shared" si="0"/>
        <v>55972</v>
      </c>
      <c r="M18" s="100">
        <v>2</v>
      </c>
      <c r="N18" s="100">
        <f t="shared" si="1"/>
        <v>251874</v>
      </c>
      <c r="O18" s="124">
        <f>'MSPL-3(Lot)'!I18+'MSPL-3(Lot)'!I54</f>
        <v>0</v>
      </c>
      <c r="P18" s="124">
        <f t="shared" si="2"/>
        <v>251874</v>
      </c>
      <c r="Q18" s="96">
        <f t="shared" si="3"/>
        <v>0</v>
      </c>
      <c r="R18" s="96">
        <f t="shared" si="4"/>
        <v>55972</v>
      </c>
      <c r="S18" s="125">
        <f>'MSPL-3(Lot)'!M18+'MSPL-3(Lot)'!M54</f>
        <v>0</v>
      </c>
      <c r="T18" s="125">
        <f t="shared" si="5"/>
        <v>55972</v>
      </c>
      <c r="U18" s="96">
        <f>'MSPL-3(Lot)'!O18+'MSPL-3(Lot)'!O54</f>
        <v>0</v>
      </c>
      <c r="V18" s="96">
        <f t="shared" si="6"/>
        <v>55972</v>
      </c>
      <c r="W18" s="125">
        <f t="shared" si="7"/>
        <v>0</v>
      </c>
      <c r="X18" s="96">
        <f t="shared" si="8"/>
        <v>0</v>
      </c>
      <c r="Y18" s="96">
        <f t="shared" si="9"/>
        <v>0</v>
      </c>
      <c r="Z18" s="96">
        <f t="shared" si="10"/>
        <v>503.74799999999999</v>
      </c>
      <c r="AA18" s="96">
        <f t="shared" si="11"/>
        <v>7.7499692307692305</v>
      </c>
      <c r="AB18" s="96">
        <f t="shared" si="12"/>
        <v>0</v>
      </c>
      <c r="AC18" s="96">
        <f t="shared" si="13"/>
        <v>7.7499692307692305</v>
      </c>
    </row>
    <row r="19" spans="1:29">
      <c r="A19" s="96">
        <v>13</v>
      </c>
      <c r="B19" s="97" t="s">
        <v>9</v>
      </c>
      <c r="C19" s="485"/>
      <c r="D19" s="98">
        <v>11.5</v>
      </c>
      <c r="E19" s="98"/>
      <c r="F19" s="98">
        <v>1820</v>
      </c>
      <c r="G19" s="98">
        <v>1405</v>
      </c>
      <c r="H19" s="98"/>
      <c r="I19" s="98"/>
      <c r="J19" s="98"/>
      <c r="K19" s="98"/>
      <c r="L19" s="99">
        <f t="shared" si="0"/>
        <v>3225</v>
      </c>
      <c r="M19" s="100">
        <v>2</v>
      </c>
      <c r="N19" s="100">
        <f t="shared" si="1"/>
        <v>18543.75</v>
      </c>
      <c r="O19" s="124">
        <f>'MSPL-3(Lot)'!I19+'MSPL-3(Lot)'!I55</f>
        <v>0</v>
      </c>
      <c r="P19" s="124">
        <f t="shared" si="2"/>
        <v>18543.75</v>
      </c>
      <c r="Q19" s="96">
        <f t="shared" si="3"/>
        <v>0</v>
      </c>
      <c r="R19" s="96">
        <f t="shared" si="4"/>
        <v>3225</v>
      </c>
      <c r="S19" s="125">
        <f>'MSPL-3(Lot)'!M19+'MSPL-3(Lot)'!M55</f>
        <v>0</v>
      </c>
      <c r="T19" s="125">
        <f t="shared" si="5"/>
        <v>3225</v>
      </c>
      <c r="U19" s="96">
        <f>'MSPL-3(Lot)'!O19+'MSPL-3(Lot)'!O55</f>
        <v>0</v>
      </c>
      <c r="V19" s="96">
        <f t="shared" si="6"/>
        <v>3225</v>
      </c>
      <c r="W19" s="125">
        <f t="shared" si="7"/>
        <v>0</v>
      </c>
      <c r="X19" s="96">
        <f t="shared" si="8"/>
        <v>0</v>
      </c>
      <c r="Y19" s="96">
        <f t="shared" si="9"/>
        <v>0</v>
      </c>
      <c r="Z19" s="96">
        <f t="shared" si="10"/>
        <v>37.087499999999999</v>
      </c>
      <c r="AA19" s="96">
        <f t="shared" si="11"/>
        <v>0.57057692307692309</v>
      </c>
      <c r="AB19" s="96">
        <f t="shared" si="12"/>
        <v>0</v>
      </c>
      <c r="AC19" s="96">
        <f t="shared" si="13"/>
        <v>0.57057692307692309</v>
      </c>
    </row>
    <row r="20" spans="1:29" s="43" customFormat="1">
      <c r="A20" s="96">
        <v>14</v>
      </c>
      <c r="B20" s="97" t="s">
        <v>4</v>
      </c>
      <c r="C20" s="483" t="s">
        <v>52</v>
      </c>
      <c r="D20" s="98">
        <v>16.5</v>
      </c>
      <c r="E20" s="98"/>
      <c r="F20" s="98">
        <v>33275</v>
      </c>
      <c r="G20" s="98">
        <v>24235</v>
      </c>
      <c r="H20" s="98"/>
      <c r="I20" s="98"/>
      <c r="J20" s="98"/>
      <c r="K20" s="98"/>
      <c r="L20" s="99">
        <f t="shared" si="0"/>
        <v>57510</v>
      </c>
      <c r="M20" s="100">
        <v>2</v>
      </c>
      <c r="N20" s="100">
        <f t="shared" si="1"/>
        <v>474457.5</v>
      </c>
      <c r="O20" s="124">
        <f>'MSPL-3(Lot)'!I20+'MSPL-3(Lot)'!I56</f>
        <v>0</v>
      </c>
      <c r="P20" s="124">
        <f t="shared" si="2"/>
        <v>474457.5</v>
      </c>
      <c r="Q20" s="96">
        <f t="shared" si="3"/>
        <v>0</v>
      </c>
      <c r="R20" s="96">
        <f t="shared" si="4"/>
        <v>57510</v>
      </c>
      <c r="S20" s="125">
        <f>'MSPL-3(Lot)'!M20+'MSPL-3(Lot)'!M56</f>
        <v>0</v>
      </c>
      <c r="T20" s="125">
        <f t="shared" si="5"/>
        <v>57510</v>
      </c>
      <c r="U20" s="96">
        <f>'MSPL-3(Lot)'!O20+'MSPL-3(Lot)'!O56</f>
        <v>0</v>
      </c>
      <c r="V20" s="96">
        <f t="shared" si="6"/>
        <v>57510</v>
      </c>
      <c r="W20" s="125">
        <f t="shared" si="7"/>
        <v>0</v>
      </c>
      <c r="X20" s="96">
        <f t="shared" si="8"/>
        <v>0</v>
      </c>
      <c r="Y20" s="96">
        <f t="shared" si="9"/>
        <v>0</v>
      </c>
      <c r="Z20" s="96">
        <f t="shared" si="10"/>
        <v>948.91499999999996</v>
      </c>
      <c r="AA20" s="96">
        <f t="shared" si="11"/>
        <v>14.598692307692307</v>
      </c>
      <c r="AB20" s="96">
        <f t="shared" si="12"/>
        <v>0</v>
      </c>
      <c r="AC20" s="96">
        <f t="shared" si="13"/>
        <v>14.598692307692307</v>
      </c>
    </row>
    <row r="21" spans="1:29" s="43" customFormat="1">
      <c r="A21" s="96">
        <v>15</v>
      </c>
      <c r="B21" s="97" t="s">
        <v>5</v>
      </c>
      <c r="C21" s="484"/>
      <c r="D21" s="98">
        <v>12</v>
      </c>
      <c r="E21" s="98"/>
      <c r="F21" s="98">
        <v>33275</v>
      </c>
      <c r="G21" s="98">
        <v>24235</v>
      </c>
      <c r="H21" s="98"/>
      <c r="I21" s="98"/>
      <c r="J21" s="98"/>
      <c r="K21" s="98"/>
      <c r="L21" s="99">
        <f t="shared" si="0"/>
        <v>57510</v>
      </c>
      <c r="M21" s="100">
        <v>2</v>
      </c>
      <c r="N21" s="100">
        <f t="shared" si="1"/>
        <v>345060</v>
      </c>
      <c r="O21" s="124">
        <f>'MSPL-3(Lot)'!I21+'MSPL-3(Lot)'!I57</f>
        <v>0</v>
      </c>
      <c r="P21" s="124">
        <f t="shared" si="2"/>
        <v>345060</v>
      </c>
      <c r="Q21" s="96">
        <f t="shared" si="3"/>
        <v>0</v>
      </c>
      <c r="R21" s="96">
        <f t="shared" si="4"/>
        <v>57510</v>
      </c>
      <c r="S21" s="125">
        <f>'MSPL-3(Lot)'!M21+'MSPL-3(Lot)'!M57</f>
        <v>0</v>
      </c>
      <c r="T21" s="125">
        <f t="shared" si="5"/>
        <v>57510</v>
      </c>
      <c r="U21" s="96">
        <f>'MSPL-3(Lot)'!O21+'MSPL-3(Lot)'!O57</f>
        <v>0</v>
      </c>
      <c r="V21" s="96">
        <f t="shared" si="6"/>
        <v>57510</v>
      </c>
      <c r="W21" s="125">
        <f t="shared" si="7"/>
        <v>0</v>
      </c>
      <c r="X21" s="96">
        <f t="shared" si="8"/>
        <v>0</v>
      </c>
      <c r="Y21" s="96">
        <f t="shared" si="9"/>
        <v>0</v>
      </c>
      <c r="Z21" s="96">
        <f t="shared" si="10"/>
        <v>690.12</v>
      </c>
      <c r="AA21" s="96">
        <f t="shared" si="11"/>
        <v>10.617230769230769</v>
      </c>
      <c r="AB21" s="96">
        <f t="shared" si="12"/>
        <v>0</v>
      </c>
      <c r="AC21" s="96">
        <f t="shared" si="13"/>
        <v>10.617230769230769</v>
      </c>
    </row>
    <row r="22" spans="1:29" s="43" customFormat="1">
      <c r="A22" s="96">
        <v>16</v>
      </c>
      <c r="B22" s="97" t="s">
        <v>6</v>
      </c>
      <c r="C22" s="484"/>
      <c r="D22" s="98">
        <v>22.5</v>
      </c>
      <c r="E22" s="98"/>
      <c r="F22" s="98">
        <v>33275</v>
      </c>
      <c r="G22" s="98">
        <v>24235</v>
      </c>
      <c r="H22" s="98"/>
      <c r="I22" s="98"/>
      <c r="J22" s="98"/>
      <c r="K22" s="98"/>
      <c r="L22" s="99">
        <f t="shared" si="0"/>
        <v>57510</v>
      </c>
      <c r="M22" s="100">
        <v>2</v>
      </c>
      <c r="N22" s="100">
        <f t="shared" si="1"/>
        <v>646987.5</v>
      </c>
      <c r="O22" s="124">
        <f>'MSPL-3(Lot)'!I22+'MSPL-3(Lot)'!I58</f>
        <v>0</v>
      </c>
      <c r="P22" s="124">
        <f t="shared" si="2"/>
        <v>646987.5</v>
      </c>
      <c r="Q22" s="96">
        <f t="shared" si="3"/>
        <v>0</v>
      </c>
      <c r="R22" s="96">
        <f t="shared" si="4"/>
        <v>57510</v>
      </c>
      <c r="S22" s="125">
        <f>'MSPL-3(Lot)'!M22+'MSPL-3(Lot)'!M58</f>
        <v>0</v>
      </c>
      <c r="T22" s="125">
        <f t="shared" si="5"/>
        <v>57510</v>
      </c>
      <c r="U22" s="96">
        <f>'MSPL-3(Lot)'!O22+'MSPL-3(Lot)'!O58</f>
        <v>0</v>
      </c>
      <c r="V22" s="96">
        <f t="shared" si="6"/>
        <v>57510</v>
      </c>
      <c r="W22" s="125">
        <f t="shared" si="7"/>
        <v>0</v>
      </c>
      <c r="X22" s="96">
        <f t="shared" si="8"/>
        <v>0</v>
      </c>
      <c r="Y22" s="96">
        <f t="shared" si="9"/>
        <v>0</v>
      </c>
      <c r="Z22" s="96">
        <f t="shared" si="10"/>
        <v>1293.9749999999999</v>
      </c>
      <c r="AA22" s="96">
        <f t="shared" si="11"/>
        <v>19.90730769230769</v>
      </c>
      <c r="AB22" s="96">
        <f t="shared" si="12"/>
        <v>0</v>
      </c>
      <c r="AC22" s="96">
        <f t="shared" si="13"/>
        <v>19.90730769230769</v>
      </c>
    </row>
    <row r="23" spans="1:29" s="43" customFormat="1">
      <c r="A23" s="96">
        <v>17</v>
      </c>
      <c r="B23" s="97" t="s">
        <v>204</v>
      </c>
      <c r="C23" s="484"/>
      <c r="D23" s="98">
        <v>15</v>
      </c>
      <c r="E23" s="98"/>
      <c r="F23" s="98">
        <v>33275</v>
      </c>
      <c r="G23" s="98">
        <v>24235</v>
      </c>
      <c r="H23" s="98"/>
      <c r="I23" s="98"/>
      <c r="J23" s="98"/>
      <c r="K23" s="98"/>
      <c r="L23" s="99">
        <f t="shared" si="0"/>
        <v>57510</v>
      </c>
      <c r="M23" s="100">
        <v>2</v>
      </c>
      <c r="N23" s="100">
        <f t="shared" si="1"/>
        <v>431325</v>
      </c>
      <c r="O23" s="124">
        <f>'MSPL-3(Lot)'!I23+'MSPL-3(Lot)'!I59</f>
        <v>0</v>
      </c>
      <c r="P23" s="124">
        <f t="shared" si="2"/>
        <v>431325</v>
      </c>
      <c r="Q23" s="96">
        <f t="shared" si="3"/>
        <v>0</v>
      </c>
      <c r="R23" s="96">
        <f t="shared" si="4"/>
        <v>57510</v>
      </c>
      <c r="S23" s="125">
        <f>'MSPL-3(Lot)'!M23+'MSPL-3(Lot)'!M59</f>
        <v>0</v>
      </c>
      <c r="T23" s="125">
        <f t="shared" si="5"/>
        <v>57510</v>
      </c>
      <c r="U23" s="96">
        <f>'MSPL-3(Lot)'!O23+'MSPL-3(Lot)'!O59</f>
        <v>0</v>
      </c>
      <c r="V23" s="96">
        <f t="shared" si="6"/>
        <v>57510</v>
      </c>
      <c r="W23" s="125">
        <f t="shared" si="7"/>
        <v>0</v>
      </c>
      <c r="X23" s="96">
        <f t="shared" si="8"/>
        <v>0</v>
      </c>
      <c r="Y23" s="96">
        <f t="shared" si="9"/>
        <v>0</v>
      </c>
      <c r="Z23" s="96">
        <f t="shared" si="10"/>
        <v>862.65</v>
      </c>
      <c r="AA23" s="96">
        <f t="shared" si="11"/>
        <v>13.27153846153846</v>
      </c>
      <c r="AB23" s="96">
        <f t="shared" si="12"/>
        <v>0</v>
      </c>
      <c r="AC23" s="96">
        <f t="shared" si="13"/>
        <v>13.27153846153846</v>
      </c>
    </row>
    <row r="24" spans="1:29" s="43" customFormat="1">
      <c r="A24" s="96">
        <v>18</v>
      </c>
      <c r="B24" s="97" t="s">
        <v>7</v>
      </c>
      <c r="C24" s="484"/>
      <c r="D24" s="98">
        <v>19.5</v>
      </c>
      <c r="E24" s="98"/>
      <c r="F24" s="98">
        <v>33275</v>
      </c>
      <c r="G24" s="98">
        <v>24235</v>
      </c>
      <c r="H24" s="98"/>
      <c r="I24" s="98"/>
      <c r="J24" s="98"/>
      <c r="K24" s="98"/>
      <c r="L24" s="99">
        <f t="shared" si="0"/>
        <v>57510</v>
      </c>
      <c r="M24" s="100">
        <v>2</v>
      </c>
      <c r="N24" s="100">
        <f t="shared" si="1"/>
        <v>560722.5</v>
      </c>
      <c r="O24" s="124">
        <f>'MSPL-3(Lot)'!I24+'MSPL-3(Lot)'!I60</f>
        <v>0</v>
      </c>
      <c r="P24" s="124">
        <f t="shared" si="2"/>
        <v>560722.5</v>
      </c>
      <c r="Q24" s="96">
        <f t="shared" si="3"/>
        <v>0</v>
      </c>
      <c r="R24" s="96">
        <f t="shared" si="4"/>
        <v>57510</v>
      </c>
      <c r="S24" s="125">
        <f>'MSPL-3(Lot)'!M24+'MSPL-3(Lot)'!M60</f>
        <v>0</v>
      </c>
      <c r="T24" s="125">
        <f t="shared" si="5"/>
        <v>57510</v>
      </c>
      <c r="U24" s="96">
        <f>'MSPL-3(Lot)'!O24+'MSPL-3(Lot)'!O60</f>
        <v>0</v>
      </c>
      <c r="V24" s="96">
        <f t="shared" si="6"/>
        <v>57510</v>
      </c>
      <c r="W24" s="125">
        <f t="shared" si="7"/>
        <v>0</v>
      </c>
      <c r="X24" s="96">
        <f t="shared" si="8"/>
        <v>0</v>
      </c>
      <c r="Y24" s="96">
        <f t="shared" si="9"/>
        <v>0</v>
      </c>
      <c r="Z24" s="96">
        <f t="shared" si="10"/>
        <v>1121.4449999999999</v>
      </c>
      <c r="AA24" s="96">
        <f t="shared" si="11"/>
        <v>17.253</v>
      </c>
      <c r="AB24" s="96">
        <f t="shared" si="12"/>
        <v>0</v>
      </c>
      <c r="AC24" s="96">
        <f t="shared" si="13"/>
        <v>17.253</v>
      </c>
    </row>
    <row r="25" spans="1:29" s="43" customFormat="1">
      <c r="A25" s="96">
        <v>19</v>
      </c>
      <c r="B25" s="97" t="s">
        <v>8</v>
      </c>
      <c r="C25" s="484"/>
      <c r="D25" s="98">
        <v>10</v>
      </c>
      <c r="E25" s="98"/>
      <c r="F25" s="98">
        <v>31397</v>
      </c>
      <c r="G25" s="98">
        <v>22369</v>
      </c>
      <c r="H25" s="98"/>
      <c r="I25" s="98"/>
      <c r="J25" s="98"/>
      <c r="K25" s="98"/>
      <c r="L25" s="99">
        <f t="shared" si="0"/>
        <v>53766</v>
      </c>
      <c r="M25" s="100">
        <v>2</v>
      </c>
      <c r="N25" s="100">
        <f t="shared" si="1"/>
        <v>268830</v>
      </c>
      <c r="O25" s="124">
        <f>'MSPL-3(Lot)'!I25+'MSPL-3(Lot)'!I61</f>
        <v>0</v>
      </c>
      <c r="P25" s="124">
        <f t="shared" si="2"/>
        <v>268830</v>
      </c>
      <c r="Q25" s="96">
        <f t="shared" si="3"/>
        <v>0</v>
      </c>
      <c r="R25" s="96">
        <f t="shared" si="4"/>
        <v>53766</v>
      </c>
      <c r="S25" s="125">
        <f>'MSPL-3(Lot)'!M25+'MSPL-3(Lot)'!M61</f>
        <v>0</v>
      </c>
      <c r="T25" s="125">
        <f t="shared" si="5"/>
        <v>53766</v>
      </c>
      <c r="U25" s="96">
        <f>'MSPL-3(Lot)'!O25+'MSPL-3(Lot)'!O61</f>
        <v>0</v>
      </c>
      <c r="V25" s="96">
        <f t="shared" si="6"/>
        <v>53766</v>
      </c>
      <c r="W25" s="125">
        <f t="shared" si="7"/>
        <v>0</v>
      </c>
      <c r="X25" s="96">
        <f t="shared" si="8"/>
        <v>0</v>
      </c>
      <c r="Y25" s="96">
        <f t="shared" si="9"/>
        <v>0</v>
      </c>
      <c r="Z25" s="96">
        <f t="shared" si="10"/>
        <v>537.66</v>
      </c>
      <c r="AA25" s="96">
        <f t="shared" si="11"/>
        <v>8.271692307692307</v>
      </c>
      <c r="AB25" s="96">
        <f t="shared" si="12"/>
        <v>0</v>
      </c>
      <c r="AC25" s="96">
        <f t="shared" si="13"/>
        <v>8.271692307692307</v>
      </c>
    </row>
    <row r="26" spans="1:29" s="43" customFormat="1">
      <c r="A26" s="96">
        <v>20</v>
      </c>
      <c r="B26" s="97" t="s">
        <v>9</v>
      </c>
      <c r="C26" s="485"/>
      <c r="D26" s="98">
        <v>13.5</v>
      </c>
      <c r="E26" s="98"/>
      <c r="F26" s="98">
        <v>1851</v>
      </c>
      <c r="G26" s="98">
        <v>1350</v>
      </c>
      <c r="H26" s="98"/>
      <c r="I26" s="98"/>
      <c r="J26" s="98"/>
      <c r="K26" s="98"/>
      <c r="L26" s="99">
        <f t="shared" si="0"/>
        <v>3201</v>
      </c>
      <c r="M26" s="100">
        <v>2</v>
      </c>
      <c r="N26" s="100">
        <f t="shared" si="1"/>
        <v>21606.75</v>
      </c>
      <c r="O26" s="124">
        <f>'MSPL-3(Lot)'!I26+'MSPL-3(Lot)'!I62</f>
        <v>0</v>
      </c>
      <c r="P26" s="124">
        <f t="shared" si="2"/>
        <v>21606.75</v>
      </c>
      <c r="Q26" s="96">
        <f t="shared" si="3"/>
        <v>0</v>
      </c>
      <c r="R26" s="96">
        <f t="shared" si="4"/>
        <v>3201</v>
      </c>
      <c r="S26" s="125">
        <f>'MSPL-3(Lot)'!M26+'MSPL-3(Lot)'!M62</f>
        <v>0</v>
      </c>
      <c r="T26" s="125">
        <f t="shared" si="5"/>
        <v>3201</v>
      </c>
      <c r="U26" s="96">
        <f>'MSPL-3(Lot)'!O26+'MSPL-3(Lot)'!O62</f>
        <v>0</v>
      </c>
      <c r="V26" s="96">
        <f t="shared" si="6"/>
        <v>3201</v>
      </c>
      <c r="W26" s="125">
        <f t="shared" si="7"/>
        <v>0</v>
      </c>
      <c r="X26" s="96">
        <f t="shared" si="8"/>
        <v>0</v>
      </c>
      <c r="Y26" s="96">
        <f t="shared" si="9"/>
        <v>0</v>
      </c>
      <c r="Z26" s="96">
        <f t="shared" si="10"/>
        <v>43.213500000000003</v>
      </c>
      <c r="AA26" s="96">
        <f t="shared" si="11"/>
        <v>0.66482307692307696</v>
      </c>
      <c r="AB26" s="96">
        <f t="shared" si="12"/>
        <v>0</v>
      </c>
      <c r="AC26" s="96">
        <f t="shared" si="13"/>
        <v>0.66482307692307696</v>
      </c>
    </row>
    <row r="27" spans="1:29" s="43" customFormat="1">
      <c r="A27" s="96">
        <v>21</v>
      </c>
      <c r="B27" s="97" t="s">
        <v>4</v>
      </c>
      <c r="C27" s="483" t="s">
        <v>53</v>
      </c>
      <c r="D27" s="98">
        <v>17.5</v>
      </c>
      <c r="E27" s="98"/>
      <c r="F27" s="98">
        <v>31934</v>
      </c>
      <c r="G27" s="98">
        <v>23129</v>
      </c>
      <c r="H27" s="98"/>
      <c r="I27" s="98"/>
      <c r="J27" s="98"/>
      <c r="K27" s="98"/>
      <c r="L27" s="99">
        <f t="shared" si="0"/>
        <v>55063</v>
      </c>
      <c r="M27" s="100">
        <v>2</v>
      </c>
      <c r="N27" s="100">
        <f t="shared" si="1"/>
        <v>481801.25</v>
      </c>
      <c r="O27" s="124">
        <f>'MSPL-3(Lot)'!I27+'MSPL-3(Lot)'!I63</f>
        <v>0</v>
      </c>
      <c r="P27" s="124">
        <f t="shared" si="2"/>
        <v>481801.25</v>
      </c>
      <c r="Q27" s="96">
        <f t="shared" si="3"/>
        <v>0</v>
      </c>
      <c r="R27" s="96">
        <f t="shared" si="4"/>
        <v>55063</v>
      </c>
      <c r="S27" s="125">
        <f>'MSPL-3(Lot)'!M27+'MSPL-3(Lot)'!M63</f>
        <v>0</v>
      </c>
      <c r="T27" s="125">
        <f t="shared" si="5"/>
        <v>55063</v>
      </c>
      <c r="U27" s="96">
        <f>'MSPL-3(Lot)'!O27+'MSPL-3(Lot)'!O63</f>
        <v>0</v>
      </c>
      <c r="V27" s="96">
        <f t="shared" si="6"/>
        <v>55063</v>
      </c>
      <c r="W27" s="125">
        <f t="shared" si="7"/>
        <v>0</v>
      </c>
      <c r="X27" s="96">
        <f t="shared" si="8"/>
        <v>0</v>
      </c>
      <c r="Y27" s="96">
        <f t="shared" si="9"/>
        <v>0</v>
      </c>
      <c r="Z27" s="96">
        <f t="shared" si="10"/>
        <v>963.60249999999996</v>
      </c>
      <c r="AA27" s="96">
        <f t="shared" si="11"/>
        <v>14.824653846153845</v>
      </c>
      <c r="AB27" s="96">
        <f t="shared" si="12"/>
        <v>0</v>
      </c>
      <c r="AC27" s="96">
        <f t="shared" si="13"/>
        <v>14.824653846153845</v>
      </c>
    </row>
    <row r="28" spans="1:29" s="43" customFormat="1">
      <c r="A28" s="96">
        <v>22</v>
      </c>
      <c r="B28" s="97" t="s">
        <v>5</v>
      </c>
      <c r="C28" s="484"/>
      <c r="D28" s="98">
        <v>14.5</v>
      </c>
      <c r="E28" s="98"/>
      <c r="F28" s="98">
        <v>31934</v>
      </c>
      <c r="G28" s="98">
        <v>23129</v>
      </c>
      <c r="H28" s="98"/>
      <c r="I28" s="98"/>
      <c r="J28" s="98"/>
      <c r="K28" s="98"/>
      <c r="L28" s="99">
        <f t="shared" si="0"/>
        <v>55063</v>
      </c>
      <c r="M28" s="100">
        <v>2</v>
      </c>
      <c r="N28" s="100">
        <f t="shared" si="1"/>
        <v>399206.75</v>
      </c>
      <c r="O28" s="124">
        <f>'MSPL-3(Lot)'!I28+'MSPL-3(Lot)'!I64</f>
        <v>0</v>
      </c>
      <c r="P28" s="124">
        <f t="shared" si="2"/>
        <v>399206.75</v>
      </c>
      <c r="Q28" s="96">
        <f t="shared" si="3"/>
        <v>0</v>
      </c>
      <c r="R28" s="96">
        <f t="shared" si="4"/>
        <v>55063</v>
      </c>
      <c r="S28" s="125">
        <f>'MSPL-3(Lot)'!M28+'MSPL-3(Lot)'!M64</f>
        <v>0</v>
      </c>
      <c r="T28" s="125">
        <f t="shared" si="5"/>
        <v>55063</v>
      </c>
      <c r="U28" s="96">
        <f>'MSPL-3(Lot)'!O28+'MSPL-3(Lot)'!O64</f>
        <v>0</v>
      </c>
      <c r="V28" s="96">
        <f t="shared" si="6"/>
        <v>55063</v>
      </c>
      <c r="W28" s="125">
        <f t="shared" si="7"/>
        <v>0</v>
      </c>
      <c r="X28" s="96">
        <f t="shared" si="8"/>
        <v>0</v>
      </c>
      <c r="Y28" s="96">
        <f t="shared" si="9"/>
        <v>0</v>
      </c>
      <c r="Z28" s="96">
        <f t="shared" si="10"/>
        <v>798.4135</v>
      </c>
      <c r="AA28" s="96">
        <f t="shared" si="11"/>
        <v>12.283284615384616</v>
      </c>
      <c r="AB28" s="96">
        <f t="shared" si="12"/>
        <v>0</v>
      </c>
      <c r="AC28" s="96">
        <f t="shared" si="13"/>
        <v>12.283284615384616</v>
      </c>
    </row>
    <row r="29" spans="1:29" s="43" customFormat="1">
      <c r="A29" s="96">
        <v>23</v>
      </c>
      <c r="B29" s="97" t="s">
        <v>6</v>
      </c>
      <c r="C29" s="484"/>
      <c r="D29" s="98">
        <v>23.5</v>
      </c>
      <c r="E29" s="98"/>
      <c r="F29" s="98">
        <v>31934</v>
      </c>
      <c r="G29" s="98">
        <v>23129</v>
      </c>
      <c r="H29" s="98"/>
      <c r="I29" s="98"/>
      <c r="J29" s="98"/>
      <c r="K29" s="98"/>
      <c r="L29" s="99">
        <f t="shared" si="0"/>
        <v>55063</v>
      </c>
      <c r="M29" s="100">
        <v>2</v>
      </c>
      <c r="N29" s="100">
        <f t="shared" si="1"/>
        <v>646990.25</v>
      </c>
      <c r="O29" s="124">
        <f>'MSPL-3(Lot)'!I29+'MSPL-3(Lot)'!I65</f>
        <v>0</v>
      </c>
      <c r="P29" s="124">
        <f t="shared" si="2"/>
        <v>646990.25</v>
      </c>
      <c r="Q29" s="96">
        <f t="shared" si="3"/>
        <v>0</v>
      </c>
      <c r="R29" s="96">
        <f t="shared" si="4"/>
        <v>55063</v>
      </c>
      <c r="S29" s="125">
        <f>'MSPL-3(Lot)'!M29+'MSPL-3(Lot)'!M65</f>
        <v>0</v>
      </c>
      <c r="T29" s="125">
        <f t="shared" si="5"/>
        <v>55063</v>
      </c>
      <c r="U29" s="96">
        <f>'MSPL-3(Lot)'!O29+'MSPL-3(Lot)'!O65</f>
        <v>0</v>
      </c>
      <c r="V29" s="96">
        <f t="shared" si="6"/>
        <v>55063</v>
      </c>
      <c r="W29" s="125">
        <f t="shared" si="7"/>
        <v>0</v>
      </c>
      <c r="X29" s="96">
        <f t="shared" si="8"/>
        <v>0</v>
      </c>
      <c r="Y29" s="96">
        <f t="shared" si="9"/>
        <v>0</v>
      </c>
      <c r="Z29" s="96">
        <f t="shared" si="10"/>
        <v>1293.9804999999999</v>
      </c>
      <c r="AA29" s="96">
        <f t="shared" si="11"/>
        <v>19.907392307692305</v>
      </c>
      <c r="AB29" s="96">
        <f t="shared" si="12"/>
        <v>0</v>
      </c>
      <c r="AC29" s="96">
        <f t="shared" si="13"/>
        <v>19.907392307692305</v>
      </c>
    </row>
    <row r="30" spans="1:29" s="43" customFormat="1">
      <c r="A30" s="96">
        <v>24</v>
      </c>
      <c r="B30" s="97" t="s">
        <v>204</v>
      </c>
      <c r="C30" s="484"/>
      <c r="D30" s="98">
        <v>20.5</v>
      </c>
      <c r="E30" s="98"/>
      <c r="F30" s="98">
        <v>31934</v>
      </c>
      <c r="G30" s="98">
        <v>23129</v>
      </c>
      <c r="H30" s="98"/>
      <c r="I30" s="98"/>
      <c r="J30" s="98"/>
      <c r="K30" s="98"/>
      <c r="L30" s="99">
        <f t="shared" si="0"/>
        <v>55063</v>
      </c>
      <c r="M30" s="100">
        <v>2</v>
      </c>
      <c r="N30" s="100">
        <f t="shared" si="1"/>
        <v>564395.75</v>
      </c>
      <c r="O30" s="124">
        <f>'MSPL-3(Lot)'!I30+'MSPL-3(Lot)'!I66</f>
        <v>0</v>
      </c>
      <c r="P30" s="124">
        <f t="shared" si="2"/>
        <v>564395.75</v>
      </c>
      <c r="Q30" s="96">
        <f t="shared" si="3"/>
        <v>0</v>
      </c>
      <c r="R30" s="96">
        <f t="shared" si="4"/>
        <v>55063</v>
      </c>
      <c r="S30" s="125">
        <f>'MSPL-3(Lot)'!M30+'MSPL-3(Lot)'!M66</f>
        <v>0</v>
      </c>
      <c r="T30" s="125">
        <f t="shared" si="5"/>
        <v>55063</v>
      </c>
      <c r="U30" s="96">
        <f>'MSPL-3(Lot)'!O30+'MSPL-3(Lot)'!O66</f>
        <v>0</v>
      </c>
      <c r="V30" s="96">
        <f t="shared" si="6"/>
        <v>55063</v>
      </c>
      <c r="W30" s="125">
        <f t="shared" si="7"/>
        <v>0</v>
      </c>
      <c r="X30" s="96">
        <f t="shared" si="8"/>
        <v>0</v>
      </c>
      <c r="Y30" s="96">
        <f t="shared" si="9"/>
        <v>0</v>
      </c>
      <c r="Z30" s="96">
        <f t="shared" si="10"/>
        <v>1128.7915</v>
      </c>
      <c r="AA30" s="96">
        <f t="shared" si="11"/>
        <v>17.366023076923078</v>
      </c>
      <c r="AB30" s="96">
        <f t="shared" si="12"/>
        <v>0</v>
      </c>
      <c r="AC30" s="96">
        <f t="shared" si="13"/>
        <v>17.366023076923078</v>
      </c>
    </row>
    <row r="31" spans="1:29" s="43" customFormat="1">
      <c r="A31" s="96">
        <v>25</v>
      </c>
      <c r="B31" s="97" t="s">
        <v>7</v>
      </c>
      <c r="C31" s="484"/>
      <c r="D31" s="98">
        <v>20.5</v>
      </c>
      <c r="E31" s="98"/>
      <c r="F31" s="98">
        <v>31934</v>
      </c>
      <c r="G31" s="98">
        <v>23129</v>
      </c>
      <c r="H31" s="98"/>
      <c r="I31" s="98"/>
      <c r="J31" s="98"/>
      <c r="K31" s="98"/>
      <c r="L31" s="99">
        <f t="shared" si="0"/>
        <v>55063</v>
      </c>
      <c r="M31" s="100">
        <v>2</v>
      </c>
      <c r="N31" s="100">
        <f t="shared" si="1"/>
        <v>564395.75</v>
      </c>
      <c r="O31" s="124">
        <f>'MSPL-3(Lot)'!I31+'MSPL-3(Lot)'!I67</f>
        <v>0</v>
      </c>
      <c r="P31" s="124">
        <f t="shared" si="2"/>
        <v>564395.75</v>
      </c>
      <c r="Q31" s="96">
        <f t="shared" si="3"/>
        <v>0</v>
      </c>
      <c r="R31" s="96">
        <f t="shared" si="4"/>
        <v>55063</v>
      </c>
      <c r="S31" s="125">
        <f>'MSPL-3(Lot)'!M31+'MSPL-3(Lot)'!M67</f>
        <v>0</v>
      </c>
      <c r="T31" s="125">
        <f t="shared" si="5"/>
        <v>55063</v>
      </c>
      <c r="U31" s="96">
        <f>'MSPL-3(Lot)'!O31+'MSPL-3(Lot)'!O67</f>
        <v>0</v>
      </c>
      <c r="V31" s="96">
        <f t="shared" si="6"/>
        <v>55063</v>
      </c>
      <c r="W31" s="125">
        <f t="shared" si="7"/>
        <v>0</v>
      </c>
      <c r="X31" s="96">
        <f t="shared" si="8"/>
        <v>0</v>
      </c>
      <c r="Y31" s="96">
        <f t="shared" si="9"/>
        <v>0</v>
      </c>
      <c r="Z31" s="96">
        <f t="shared" si="10"/>
        <v>1128.7915</v>
      </c>
      <c r="AA31" s="96">
        <f t="shared" si="11"/>
        <v>17.366023076923078</v>
      </c>
      <c r="AB31" s="96">
        <f t="shared" si="12"/>
        <v>0</v>
      </c>
      <c r="AC31" s="96">
        <f t="shared" si="13"/>
        <v>17.366023076923078</v>
      </c>
    </row>
    <row r="32" spans="1:29" s="43" customFormat="1">
      <c r="A32" s="96">
        <v>26</v>
      </c>
      <c r="B32" s="97" t="s">
        <v>8</v>
      </c>
      <c r="C32" s="484"/>
      <c r="D32" s="98">
        <v>10.5</v>
      </c>
      <c r="E32" s="98"/>
      <c r="F32" s="98">
        <v>30202</v>
      </c>
      <c r="G32" s="98">
        <v>21261</v>
      </c>
      <c r="H32" s="98"/>
      <c r="I32" s="98"/>
      <c r="J32" s="98"/>
      <c r="K32" s="98"/>
      <c r="L32" s="99">
        <f t="shared" si="0"/>
        <v>51463</v>
      </c>
      <c r="M32" s="100">
        <v>2</v>
      </c>
      <c r="N32" s="100">
        <f t="shared" si="1"/>
        <v>270180.75</v>
      </c>
      <c r="O32" s="124">
        <f>'MSPL-3(Lot)'!I32+'MSPL-3(Lot)'!I68</f>
        <v>0</v>
      </c>
      <c r="P32" s="124">
        <f t="shared" si="2"/>
        <v>270180.75</v>
      </c>
      <c r="Q32" s="96">
        <f t="shared" si="3"/>
        <v>0</v>
      </c>
      <c r="R32" s="96">
        <f t="shared" si="4"/>
        <v>51463</v>
      </c>
      <c r="S32" s="125">
        <f>'MSPL-3(Lot)'!M32+'MSPL-3(Lot)'!M68</f>
        <v>0</v>
      </c>
      <c r="T32" s="125">
        <f t="shared" si="5"/>
        <v>51463</v>
      </c>
      <c r="U32" s="96">
        <f>'MSPL-3(Lot)'!O32+'MSPL-3(Lot)'!O68</f>
        <v>0</v>
      </c>
      <c r="V32" s="96">
        <f t="shared" si="6"/>
        <v>51463</v>
      </c>
      <c r="W32" s="125">
        <f t="shared" si="7"/>
        <v>0</v>
      </c>
      <c r="X32" s="96">
        <f t="shared" si="8"/>
        <v>0</v>
      </c>
      <c r="Y32" s="96">
        <f t="shared" si="9"/>
        <v>0</v>
      </c>
      <c r="Z32" s="96">
        <f t="shared" si="10"/>
        <v>540.36149999999998</v>
      </c>
      <c r="AA32" s="96">
        <f t="shared" si="11"/>
        <v>8.3132538461538452</v>
      </c>
      <c r="AB32" s="96">
        <f t="shared" si="12"/>
        <v>0</v>
      </c>
      <c r="AC32" s="96">
        <f t="shared" si="13"/>
        <v>8.3132538461538452</v>
      </c>
    </row>
    <row r="33" spans="1:29" s="43" customFormat="1">
      <c r="A33" s="96">
        <v>27</v>
      </c>
      <c r="B33" s="97" t="s">
        <v>9</v>
      </c>
      <c r="C33" s="485"/>
      <c r="D33" s="98">
        <v>12.5</v>
      </c>
      <c r="E33" s="98"/>
      <c r="F33" s="98">
        <v>1709</v>
      </c>
      <c r="G33" s="98">
        <v>1375</v>
      </c>
      <c r="H33" s="98"/>
      <c r="I33" s="98"/>
      <c r="J33" s="98"/>
      <c r="K33" s="98"/>
      <c r="L33" s="99">
        <f t="shared" si="0"/>
        <v>3084</v>
      </c>
      <c r="M33" s="100">
        <v>2</v>
      </c>
      <c r="N33" s="100">
        <f t="shared" si="1"/>
        <v>19275</v>
      </c>
      <c r="O33" s="124">
        <f>'MSPL-3(Lot)'!I33+'MSPL-3(Lot)'!I69</f>
        <v>0</v>
      </c>
      <c r="P33" s="124">
        <f t="shared" si="2"/>
        <v>19275</v>
      </c>
      <c r="Q33" s="96">
        <f t="shared" si="3"/>
        <v>0</v>
      </c>
      <c r="R33" s="96">
        <f t="shared" si="4"/>
        <v>3084</v>
      </c>
      <c r="S33" s="125">
        <f>'MSPL-3(Lot)'!M33+'MSPL-3(Lot)'!M69</f>
        <v>0</v>
      </c>
      <c r="T33" s="125">
        <f t="shared" si="5"/>
        <v>3084</v>
      </c>
      <c r="U33" s="96">
        <f>'MSPL-3(Lot)'!O33+'MSPL-3(Lot)'!O69</f>
        <v>0</v>
      </c>
      <c r="V33" s="96">
        <f t="shared" si="6"/>
        <v>3084</v>
      </c>
      <c r="W33" s="125">
        <f t="shared" si="7"/>
        <v>0</v>
      </c>
      <c r="X33" s="96">
        <f t="shared" si="8"/>
        <v>0</v>
      </c>
      <c r="Y33" s="96">
        <f t="shared" si="9"/>
        <v>0</v>
      </c>
      <c r="Z33" s="96">
        <f t="shared" si="10"/>
        <v>38.549999999999997</v>
      </c>
      <c r="AA33" s="96">
        <f t="shared" si="11"/>
        <v>0.59307692307692306</v>
      </c>
      <c r="AB33" s="96">
        <f t="shared" si="12"/>
        <v>0</v>
      </c>
      <c r="AC33" s="96">
        <f t="shared" si="13"/>
        <v>0.59307692307692306</v>
      </c>
    </row>
    <row r="34" spans="1:29">
      <c r="A34" s="504" t="s">
        <v>79</v>
      </c>
      <c r="B34" s="504"/>
      <c r="C34" s="504"/>
      <c r="D34" s="504"/>
      <c r="E34" s="101"/>
      <c r="F34" s="102">
        <f>SUM(F7:F33)</f>
        <v>801962</v>
      </c>
      <c r="G34" s="102">
        <f t="shared" ref="G34:AC34" si="14">SUM(G7:G33)</f>
        <v>594871</v>
      </c>
      <c r="H34" s="102">
        <f t="shared" si="14"/>
        <v>0</v>
      </c>
      <c r="I34" s="102">
        <f t="shared" si="14"/>
        <v>0</v>
      </c>
      <c r="J34" s="102">
        <f t="shared" si="14"/>
        <v>0</v>
      </c>
      <c r="K34" s="102">
        <f t="shared" si="14"/>
        <v>0</v>
      </c>
      <c r="L34" s="102">
        <f t="shared" si="14"/>
        <v>1396833</v>
      </c>
      <c r="M34" s="102">
        <f t="shared" si="14"/>
        <v>54</v>
      </c>
      <c r="N34" s="102">
        <f t="shared" si="14"/>
        <v>10754081</v>
      </c>
      <c r="O34" s="102">
        <f t="shared" si="14"/>
        <v>0</v>
      </c>
      <c r="P34" s="102">
        <f t="shared" si="14"/>
        <v>10754081</v>
      </c>
      <c r="Q34" s="102">
        <f t="shared" si="14"/>
        <v>0</v>
      </c>
      <c r="R34" s="102">
        <f t="shared" si="14"/>
        <v>1396833</v>
      </c>
      <c r="S34" s="102">
        <f t="shared" si="14"/>
        <v>0</v>
      </c>
      <c r="T34" s="102">
        <f t="shared" si="14"/>
        <v>1396833</v>
      </c>
      <c r="U34" s="102">
        <f t="shared" si="14"/>
        <v>0</v>
      </c>
      <c r="V34" s="102">
        <f t="shared" si="14"/>
        <v>1396833</v>
      </c>
      <c r="W34" s="102">
        <f t="shared" si="14"/>
        <v>0</v>
      </c>
      <c r="X34" s="102">
        <f t="shared" si="14"/>
        <v>0</v>
      </c>
      <c r="Y34" s="102">
        <f t="shared" si="14"/>
        <v>0</v>
      </c>
      <c r="Z34" s="102">
        <f t="shared" si="14"/>
        <v>21508.162</v>
      </c>
      <c r="AA34" s="102">
        <f t="shared" si="14"/>
        <v>330.89479999999998</v>
      </c>
      <c r="AB34" s="102">
        <f t="shared" si="14"/>
        <v>0</v>
      </c>
      <c r="AC34" s="102">
        <f t="shared" si="14"/>
        <v>330.89479999999998</v>
      </c>
    </row>
    <row r="35" spans="1:29" s="11" customFormat="1">
      <c r="A35" s="61"/>
      <c r="B35" s="61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</row>
    <row r="36" spans="1:29" s="11" customFormat="1">
      <c r="A36" s="61"/>
      <c r="B36" s="61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0"/>
      <c r="AA36" s="60"/>
      <c r="AB36" s="60"/>
      <c r="AC36" s="60"/>
    </row>
    <row r="37" spans="1:29" s="11" customFormat="1" ht="15.75">
      <c r="A37" s="61"/>
      <c r="B37" s="61"/>
      <c r="C37" s="61"/>
      <c r="D37" s="61"/>
      <c r="E37" s="61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462" t="s">
        <v>254</v>
      </c>
      <c r="AA37" s="462"/>
      <c r="AB37" s="462"/>
      <c r="AC37" s="462"/>
    </row>
    <row r="38" spans="1:29" s="1" customFormat="1" ht="24" customHeight="1">
      <c r="A38" s="388" t="s">
        <v>342</v>
      </c>
      <c r="B38" s="388"/>
      <c r="C38" s="388"/>
      <c r="D38" s="388"/>
      <c r="E38" s="388"/>
      <c r="F38" s="388"/>
      <c r="G38" s="388"/>
      <c r="H38" s="388"/>
      <c r="I38" s="388"/>
      <c r="J38" s="388"/>
      <c r="K38" s="388"/>
      <c r="L38" s="388"/>
      <c r="M38" s="388"/>
      <c r="N38" s="388"/>
      <c r="O38" s="388"/>
      <c r="P38" s="388"/>
      <c r="Q38" s="388"/>
      <c r="R38" s="388"/>
      <c r="S38" s="388"/>
      <c r="T38" s="388"/>
      <c r="U38" s="388"/>
      <c r="V38" s="388"/>
      <c r="W38" s="388"/>
      <c r="X38" s="388"/>
      <c r="Y38" s="388"/>
      <c r="Z38" s="388"/>
      <c r="AA38" s="388"/>
      <c r="AB38" s="388"/>
      <c r="AC38" s="388"/>
    </row>
    <row r="39" spans="1:29" s="1" customFormat="1" ht="17.25" customHeight="1">
      <c r="A39" s="379" t="s">
        <v>343</v>
      </c>
      <c r="B39" s="379"/>
      <c r="C39" s="379"/>
      <c r="D39" s="379"/>
      <c r="E39" s="379"/>
      <c r="F39" s="379"/>
      <c r="G39" s="379"/>
      <c r="H39" s="379"/>
      <c r="I39" s="379"/>
      <c r="J39" s="379"/>
      <c r="K39" s="379"/>
      <c r="L39" s="379"/>
      <c r="M39" s="379"/>
      <c r="N39" s="379"/>
      <c r="O39" s="379"/>
      <c r="P39" s="379"/>
      <c r="Q39" s="379"/>
      <c r="R39" s="379"/>
      <c r="S39" s="379"/>
      <c r="T39" s="379"/>
      <c r="U39" s="379"/>
      <c r="V39" s="379"/>
      <c r="W39" s="379"/>
      <c r="X39" s="379"/>
      <c r="Y39" s="379"/>
      <c r="Z39" s="379"/>
      <c r="AA39" s="379"/>
      <c r="AB39" s="379"/>
      <c r="AC39" s="379"/>
    </row>
    <row r="40" spans="1:29" s="1" customFormat="1" ht="15.75" customHeight="1">
      <c r="A40" s="313" t="s">
        <v>274</v>
      </c>
      <c r="B40" s="313"/>
      <c r="C40" s="313"/>
      <c r="D40" s="313"/>
      <c r="E40" s="313"/>
      <c r="F40" s="313"/>
      <c r="G40" s="313"/>
      <c r="H40" s="313"/>
      <c r="I40" s="313"/>
      <c r="J40" s="313"/>
      <c r="K40" s="313"/>
      <c r="L40" s="313"/>
      <c r="M40" s="313"/>
      <c r="N40" s="313"/>
      <c r="O40" s="313"/>
      <c r="P40" s="313"/>
      <c r="Q40" s="313"/>
      <c r="R40" s="313"/>
      <c r="S40" s="313"/>
      <c r="T40" s="313"/>
      <c r="U40" s="313"/>
      <c r="V40" s="313"/>
      <c r="W40" s="313"/>
      <c r="X40" s="313"/>
      <c r="Y40" s="313"/>
      <c r="Z40" s="313"/>
      <c r="AA40" s="313"/>
      <c r="AB40" s="313"/>
      <c r="AC40" s="313"/>
    </row>
    <row r="41" spans="1:29" ht="20.25">
      <c r="A41" s="400" t="s">
        <v>330</v>
      </c>
      <c r="B41" s="400"/>
      <c r="C41" s="400"/>
      <c r="D41" s="400"/>
      <c r="E41" s="400"/>
      <c r="F41" s="400"/>
      <c r="G41" s="400"/>
      <c r="H41" s="400"/>
      <c r="I41" s="400"/>
      <c r="J41" s="400"/>
      <c r="K41" s="400"/>
      <c r="L41" s="400"/>
      <c r="M41" s="400"/>
      <c r="N41" s="400"/>
      <c r="O41" s="400"/>
      <c r="P41" s="400"/>
      <c r="Q41" s="400"/>
      <c r="R41" s="400"/>
      <c r="S41" s="400"/>
      <c r="T41" s="400"/>
      <c r="U41" s="400"/>
      <c r="V41" s="400"/>
      <c r="W41" s="400"/>
      <c r="X41" s="400"/>
      <c r="Y41" s="251"/>
      <c r="Z41" s="400" t="s">
        <v>198</v>
      </c>
      <c r="AA41" s="400"/>
      <c r="AB41" s="400"/>
      <c r="AC41" s="400"/>
    </row>
    <row r="42" spans="1:29">
      <c r="A42" s="392" t="s">
        <v>15</v>
      </c>
      <c r="B42" s="392" t="s">
        <v>64</v>
      </c>
      <c r="C42" s="392" t="s">
        <v>65</v>
      </c>
      <c r="D42" s="471" t="s">
        <v>66</v>
      </c>
      <c r="E42" s="103"/>
      <c r="F42" s="478"/>
      <c r="G42" s="479"/>
      <c r="H42" s="479"/>
      <c r="I42" s="479"/>
      <c r="J42" s="479"/>
      <c r="K42" s="480"/>
      <c r="L42" s="392" t="s">
        <v>88</v>
      </c>
      <c r="M42" s="83" t="s">
        <v>157</v>
      </c>
      <c r="N42" s="382" t="s">
        <v>84</v>
      </c>
      <c r="O42" s="382" t="s">
        <v>138</v>
      </c>
      <c r="P42" s="382"/>
      <c r="Q42" s="473" t="s">
        <v>139</v>
      </c>
      <c r="R42" s="473"/>
      <c r="S42" s="474" t="s">
        <v>86</v>
      </c>
      <c r="T42" s="474"/>
      <c r="U42" s="474" t="s">
        <v>25</v>
      </c>
      <c r="V42" s="474"/>
      <c r="W42" s="474" t="s">
        <v>87</v>
      </c>
      <c r="X42" s="475" t="s">
        <v>561</v>
      </c>
      <c r="Y42" s="481" t="s">
        <v>560</v>
      </c>
      <c r="Z42" s="476" t="s">
        <v>140</v>
      </c>
      <c r="AA42" s="476"/>
      <c r="AB42" s="476"/>
      <c r="AC42" s="476"/>
    </row>
    <row r="43" spans="1:29">
      <c r="A43" s="393"/>
      <c r="B43" s="393"/>
      <c r="C43" s="393"/>
      <c r="D43" s="472"/>
      <c r="E43" s="104"/>
      <c r="F43" s="105" t="s">
        <v>333</v>
      </c>
      <c r="G43" s="105"/>
      <c r="H43" s="105"/>
      <c r="I43" s="105"/>
      <c r="J43" s="105"/>
      <c r="K43" s="105"/>
      <c r="L43" s="393"/>
      <c r="M43" s="83"/>
      <c r="N43" s="382"/>
      <c r="O43" s="83" t="s">
        <v>85</v>
      </c>
      <c r="P43" s="83" t="s">
        <v>70</v>
      </c>
      <c r="Q43" s="106" t="s">
        <v>85</v>
      </c>
      <c r="R43" s="106" t="s">
        <v>70</v>
      </c>
      <c r="S43" s="83" t="s">
        <v>86</v>
      </c>
      <c r="T43" s="107" t="s">
        <v>70</v>
      </c>
      <c r="U43" s="107" t="s">
        <v>25</v>
      </c>
      <c r="V43" s="107" t="s">
        <v>70</v>
      </c>
      <c r="W43" s="474"/>
      <c r="X43" s="475"/>
      <c r="Y43" s="482"/>
      <c r="Z43" s="108" t="s">
        <v>155</v>
      </c>
      <c r="AA43" s="108" t="s">
        <v>156</v>
      </c>
      <c r="AB43" s="108" t="s">
        <v>141</v>
      </c>
      <c r="AC43" s="108" t="s">
        <v>70</v>
      </c>
    </row>
    <row r="44" spans="1:29">
      <c r="A44" s="109">
        <v>1</v>
      </c>
      <c r="B44" s="110" t="s">
        <v>26</v>
      </c>
      <c r="C44" s="111" t="s">
        <v>61</v>
      </c>
      <c r="D44" s="112">
        <v>11</v>
      </c>
      <c r="E44" s="112"/>
      <c r="F44" s="112">
        <v>45114</v>
      </c>
      <c r="G44" s="112"/>
      <c r="H44" s="112"/>
      <c r="I44" s="112"/>
      <c r="J44" s="112"/>
      <c r="K44" s="112"/>
      <c r="L44" s="109">
        <f>SUM(F44:K44)</f>
        <v>45114</v>
      </c>
      <c r="M44" s="109">
        <v>2</v>
      </c>
      <c r="N44" s="109">
        <f>D44/M44*L44</f>
        <v>248127</v>
      </c>
      <c r="O44" s="126">
        <f>'MSPL-3(Lot)'!I79</f>
        <v>0</v>
      </c>
      <c r="P44" s="126">
        <f>N44-O44</f>
        <v>248127</v>
      </c>
      <c r="Q44" s="109">
        <f>O44/D44*M44</f>
        <v>0</v>
      </c>
      <c r="R44" s="109">
        <f>L44-Q44</f>
        <v>45114</v>
      </c>
      <c r="S44" s="126">
        <f>'MSPL-3(Lot)'!M79</f>
        <v>0</v>
      </c>
      <c r="T44" s="126">
        <f>L44-S44</f>
        <v>45114</v>
      </c>
      <c r="U44" s="109">
        <f>'MSPL-3(Lot)'!O79</f>
        <v>0</v>
      </c>
      <c r="V44" s="109">
        <f>L44-U44</f>
        <v>45114</v>
      </c>
      <c r="W44" s="126">
        <f>S44-U44</f>
        <v>0</v>
      </c>
      <c r="X44" s="109">
        <f>D44*S44/1000</f>
        <v>0</v>
      </c>
      <c r="Y44" s="109">
        <f>Q44-S44</f>
        <v>0</v>
      </c>
      <c r="Z44" s="109">
        <f>D44*L44/1000</f>
        <v>496.25400000000002</v>
      </c>
      <c r="AA44" s="109">
        <f>Z44/65</f>
        <v>7.6346769230769231</v>
      </c>
      <c r="AB44" s="109">
        <f>D44*Q44/1000/65</f>
        <v>0</v>
      </c>
      <c r="AC44" s="109">
        <f>AA44-AB44</f>
        <v>7.6346769230769231</v>
      </c>
    </row>
    <row r="45" spans="1:29">
      <c r="A45" s="109">
        <v>2</v>
      </c>
      <c r="B45" s="110" t="s">
        <v>27</v>
      </c>
      <c r="C45" s="111"/>
      <c r="D45" s="112">
        <v>12.5</v>
      </c>
      <c r="E45" s="112"/>
      <c r="F45" s="112">
        <v>45114</v>
      </c>
      <c r="G45" s="112"/>
      <c r="H45" s="112"/>
      <c r="I45" s="112"/>
      <c r="J45" s="112"/>
      <c r="K45" s="112"/>
      <c r="L45" s="109">
        <f t="shared" ref="L45:L63" si="15">SUM(F45:K45)</f>
        <v>45114</v>
      </c>
      <c r="M45" s="109">
        <v>2</v>
      </c>
      <c r="N45" s="109">
        <f t="shared" ref="N45:N63" si="16">D45/M45*L45</f>
        <v>281962.5</v>
      </c>
      <c r="O45" s="126">
        <f>'MSPL-3(Lot)'!I80</f>
        <v>0</v>
      </c>
      <c r="P45" s="126">
        <f t="shared" ref="P45:P63" si="17">N45-O45</f>
        <v>281962.5</v>
      </c>
      <c r="Q45" s="109">
        <f t="shared" ref="Q45:Q63" si="18">O45/D45*M45</f>
        <v>0</v>
      </c>
      <c r="R45" s="109">
        <f t="shared" ref="R45:R63" si="19">L45-Q45</f>
        <v>45114</v>
      </c>
      <c r="S45" s="126">
        <f>'MSPL-3(Lot)'!M80</f>
        <v>0</v>
      </c>
      <c r="T45" s="126">
        <f t="shared" ref="T45:T63" si="20">L45-S45</f>
        <v>45114</v>
      </c>
      <c r="U45" s="109">
        <f>'MSPL-3(Lot)'!O80</f>
        <v>0</v>
      </c>
      <c r="V45" s="109">
        <f t="shared" ref="V45:V63" si="21">L45-U45</f>
        <v>45114</v>
      </c>
      <c r="W45" s="126">
        <f t="shared" ref="W45:W63" si="22">S45-U45</f>
        <v>0</v>
      </c>
      <c r="X45" s="109">
        <f t="shared" ref="X45:X63" si="23">D45*S45/1000</f>
        <v>0</v>
      </c>
      <c r="Y45" s="109">
        <f t="shared" ref="Y45:Y63" si="24">Q45-S45</f>
        <v>0</v>
      </c>
      <c r="Z45" s="109">
        <f t="shared" ref="Z45:Z63" si="25">D45*L45/1000</f>
        <v>563.92499999999995</v>
      </c>
      <c r="AA45" s="109">
        <f t="shared" ref="AA45:AA63" si="26">Z45/65</f>
        <v>8.6757692307692302</v>
      </c>
      <c r="AB45" s="109">
        <f t="shared" ref="AB45:AB63" si="27">D45*Q45/1000/65</f>
        <v>0</v>
      </c>
      <c r="AC45" s="109">
        <f t="shared" ref="AC45:AC63" si="28">AA45-AB45</f>
        <v>8.6757692307692302</v>
      </c>
    </row>
    <row r="46" spans="1:29">
      <c r="A46" s="109">
        <v>3</v>
      </c>
      <c r="B46" s="110" t="s">
        <v>28</v>
      </c>
      <c r="C46" s="111"/>
      <c r="D46" s="112">
        <v>6</v>
      </c>
      <c r="E46" s="112"/>
      <c r="F46" s="112">
        <v>45114</v>
      </c>
      <c r="G46" s="112"/>
      <c r="H46" s="112"/>
      <c r="I46" s="112"/>
      <c r="J46" s="112"/>
      <c r="K46" s="112"/>
      <c r="L46" s="109">
        <f t="shared" si="15"/>
        <v>45114</v>
      </c>
      <c r="M46" s="109">
        <v>2</v>
      </c>
      <c r="N46" s="109">
        <f t="shared" si="16"/>
        <v>135342</v>
      </c>
      <c r="O46" s="126">
        <f>'MSPL-3(Lot)'!I81</f>
        <v>0</v>
      </c>
      <c r="P46" s="126">
        <f t="shared" si="17"/>
        <v>135342</v>
      </c>
      <c r="Q46" s="109">
        <f t="shared" si="18"/>
        <v>0</v>
      </c>
      <c r="R46" s="109">
        <f t="shared" si="19"/>
        <v>45114</v>
      </c>
      <c r="S46" s="126">
        <f>'MSPL-3(Lot)'!M81</f>
        <v>0</v>
      </c>
      <c r="T46" s="126">
        <f t="shared" si="20"/>
        <v>45114</v>
      </c>
      <c r="U46" s="109">
        <f>'MSPL-3(Lot)'!O81</f>
        <v>0</v>
      </c>
      <c r="V46" s="109">
        <f t="shared" si="21"/>
        <v>45114</v>
      </c>
      <c r="W46" s="126">
        <f t="shared" si="22"/>
        <v>0</v>
      </c>
      <c r="X46" s="109">
        <f t="shared" si="23"/>
        <v>0</v>
      </c>
      <c r="Y46" s="109">
        <f t="shared" si="24"/>
        <v>0</v>
      </c>
      <c r="Z46" s="109">
        <f t="shared" si="25"/>
        <v>270.68400000000003</v>
      </c>
      <c r="AA46" s="109">
        <f t="shared" si="26"/>
        <v>4.164369230769231</v>
      </c>
      <c r="AB46" s="109">
        <f t="shared" si="27"/>
        <v>0</v>
      </c>
      <c r="AC46" s="109">
        <f t="shared" si="28"/>
        <v>4.164369230769231</v>
      </c>
    </row>
    <row r="47" spans="1:29">
      <c r="A47" s="109">
        <v>4</v>
      </c>
      <c r="B47" s="110" t="s">
        <v>29</v>
      </c>
      <c r="C47" s="111"/>
      <c r="D47" s="112">
        <v>4</v>
      </c>
      <c r="E47" s="112"/>
      <c r="F47" s="112">
        <v>45114</v>
      </c>
      <c r="G47" s="112"/>
      <c r="H47" s="112"/>
      <c r="I47" s="112"/>
      <c r="J47" s="112"/>
      <c r="K47" s="112"/>
      <c r="L47" s="109">
        <f t="shared" si="15"/>
        <v>45114</v>
      </c>
      <c r="M47" s="109">
        <v>2</v>
      </c>
      <c r="N47" s="109">
        <f t="shared" si="16"/>
        <v>90228</v>
      </c>
      <c r="O47" s="126">
        <f>'MSPL-3(Lot)'!I82</f>
        <v>0</v>
      </c>
      <c r="P47" s="126">
        <f t="shared" si="17"/>
        <v>90228</v>
      </c>
      <c r="Q47" s="109">
        <f t="shared" si="18"/>
        <v>0</v>
      </c>
      <c r="R47" s="109">
        <f t="shared" si="19"/>
        <v>45114</v>
      </c>
      <c r="S47" s="126">
        <f>'MSPL-3(Lot)'!M82</f>
        <v>0</v>
      </c>
      <c r="T47" s="126">
        <f t="shared" si="20"/>
        <v>45114</v>
      </c>
      <c r="U47" s="109">
        <f>'MSPL-3(Lot)'!O82</f>
        <v>0</v>
      </c>
      <c r="V47" s="109">
        <f t="shared" si="21"/>
        <v>45114</v>
      </c>
      <c r="W47" s="126">
        <f t="shared" si="22"/>
        <v>0</v>
      </c>
      <c r="X47" s="109">
        <f t="shared" si="23"/>
        <v>0</v>
      </c>
      <c r="Y47" s="109">
        <f>Q47-S47</f>
        <v>0</v>
      </c>
      <c r="Z47" s="109">
        <f t="shared" si="25"/>
        <v>180.45599999999999</v>
      </c>
      <c r="AA47" s="109">
        <f t="shared" si="26"/>
        <v>2.7762461538461536</v>
      </c>
      <c r="AB47" s="109">
        <f t="shared" si="27"/>
        <v>0</v>
      </c>
      <c r="AC47" s="109">
        <f t="shared" si="28"/>
        <v>2.7762461538461536</v>
      </c>
    </row>
    <row r="48" spans="1:29">
      <c r="A48" s="109">
        <v>5</v>
      </c>
      <c r="B48" s="110" t="s">
        <v>60</v>
      </c>
      <c r="C48" s="111"/>
      <c r="D48" s="112">
        <v>9</v>
      </c>
      <c r="E48" s="112"/>
      <c r="F48" s="112">
        <v>45114</v>
      </c>
      <c r="G48" s="112"/>
      <c r="H48" s="112"/>
      <c r="I48" s="112"/>
      <c r="J48" s="112"/>
      <c r="K48" s="112"/>
      <c r="L48" s="109">
        <f t="shared" si="15"/>
        <v>45114</v>
      </c>
      <c r="M48" s="109">
        <v>2</v>
      </c>
      <c r="N48" s="109">
        <f t="shared" si="16"/>
        <v>203013</v>
      </c>
      <c r="O48" s="126">
        <f>'MSPL-3(Lot)'!I83</f>
        <v>0</v>
      </c>
      <c r="P48" s="126">
        <f t="shared" si="17"/>
        <v>203013</v>
      </c>
      <c r="Q48" s="109">
        <f t="shared" si="18"/>
        <v>0</v>
      </c>
      <c r="R48" s="109">
        <f t="shared" si="19"/>
        <v>45114</v>
      </c>
      <c r="S48" s="126">
        <f>'MSPL-3(Lot)'!M83</f>
        <v>0</v>
      </c>
      <c r="T48" s="126">
        <f t="shared" si="20"/>
        <v>45114</v>
      </c>
      <c r="U48" s="109">
        <f>'MSPL-3(Lot)'!O83</f>
        <v>0</v>
      </c>
      <c r="V48" s="109">
        <f t="shared" si="21"/>
        <v>45114</v>
      </c>
      <c r="W48" s="126">
        <f t="shared" si="22"/>
        <v>0</v>
      </c>
      <c r="X48" s="109">
        <f t="shared" si="23"/>
        <v>0</v>
      </c>
      <c r="Y48" s="109">
        <f t="shared" si="24"/>
        <v>0</v>
      </c>
      <c r="Z48" s="109">
        <f t="shared" si="25"/>
        <v>406.02600000000001</v>
      </c>
      <c r="AA48" s="109">
        <f t="shared" si="26"/>
        <v>6.2465538461538461</v>
      </c>
      <c r="AB48" s="109">
        <f t="shared" si="27"/>
        <v>0</v>
      </c>
      <c r="AC48" s="109">
        <f t="shared" si="28"/>
        <v>6.2465538461538461</v>
      </c>
    </row>
    <row r="49" spans="1:29">
      <c r="A49" s="109">
        <v>6</v>
      </c>
      <c r="B49" s="110" t="s">
        <v>31</v>
      </c>
      <c r="C49" s="111"/>
      <c r="D49" s="112">
        <v>15</v>
      </c>
      <c r="E49" s="112"/>
      <c r="F49" s="112">
        <v>45114</v>
      </c>
      <c r="G49" s="112"/>
      <c r="H49" s="112"/>
      <c r="I49" s="112"/>
      <c r="J49" s="112"/>
      <c r="K49" s="112"/>
      <c r="L49" s="109">
        <f t="shared" si="15"/>
        <v>45114</v>
      </c>
      <c r="M49" s="109">
        <v>2</v>
      </c>
      <c r="N49" s="109">
        <f t="shared" si="16"/>
        <v>338355</v>
      </c>
      <c r="O49" s="126">
        <f>'MSPL-3(Lot)'!I84</f>
        <v>0</v>
      </c>
      <c r="P49" s="126">
        <f t="shared" si="17"/>
        <v>338355</v>
      </c>
      <c r="Q49" s="109">
        <f t="shared" si="18"/>
        <v>0</v>
      </c>
      <c r="R49" s="109">
        <f t="shared" si="19"/>
        <v>45114</v>
      </c>
      <c r="S49" s="126">
        <f>'MSPL-3(Lot)'!M84</f>
        <v>0</v>
      </c>
      <c r="T49" s="126">
        <f t="shared" si="20"/>
        <v>45114</v>
      </c>
      <c r="U49" s="109">
        <f>'MSPL-3(Lot)'!O84</f>
        <v>0</v>
      </c>
      <c r="V49" s="109">
        <f t="shared" si="21"/>
        <v>45114</v>
      </c>
      <c r="W49" s="126">
        <f t="shared" si="22"/>
        <v>0</v>
      </c>
      <c r="X49" s="109">
        <f t="shared" si="23"/>
        <v>0</v>
      </c>
      <c r="Y49" s="109">
        <f t="shared" si="24"/>
        <v>0</v>
      </c>
      <c r="Z49" s="109">
        <f t="shared" si="25"/>
        <v>676.71</v>
      </c>
      <c r="AA49" s="109">
        <f t="shared" si="26"/>
        <v>10.410923076923078</v>
      </c>
      <c r="AB49" s="109">
        <f t="shared" si="27"/>
        <v>0</v>
      </c>
      <c r="AC49" s="109">
        <f t="shared" si="28"/>
        <v>10.410923076923078</v>
      </c>
    </row>
    <row r="50" spans="1:29">
      <c r="A50" s="109">
        <v>7</v>
      </c>
      <c r="B50" s="110" t="s">
        <v>26</v>
      </c>
      <c r="C50" s="111" t="s">
        <v>62</v>
      </c>
      <c r="D50" s="112">
        <v>9</v>
      </c>
      <c r="E50" s="112"/>
      <c r="F50" s="112">
        <v>42770</v>
      </c>
      <c r="G50" s="112"/>
      <c r="H50" s="112"/>
      <c r="I50" s="112"/>
      <c r="J50" s="112"/>
      <c r="K50" s="112"/>
      <c r="L50" s="109">
        <f t="shared" si="15"/>
        <v>42770</v>
      </c>
      <c r="M50" s="109">
        <v>2</v>
      </c>
      <c r="N50" s="109">
        <f t="shared" si="16"/>
        <v>192465</v>
      </c>
      <c r="O50" s="126">
        <f>'MSPL-3(Lot)'!I85</f>
        <v>0</v>
      </c>
      <c r="P50" s="126">
        <f t="shared" si="17"/>
        <v>192465</v>
      </c>
      <c r="Q50" s="109">
        <f t="shared" si="18"/>
        <v>0</v>
      </c>
      <c r="R50" s="109">
        <f t="shared" si="19"/>
        <v>42770</v>
      </c>
      <c r="S50" s="126">
        <f>'MSPL-3(Lot)'!M85</f>
        <v>0</v>
      </c>
      <c r="T50" s="126">
        <f t="shared" si="20"/>
        <v>42770</v>
      </c>
      <c r="U50" s="109">
        <f>'MSPL-3(Lot)'!O85</f>
        <v>0</v>
      </c>
      <c r="V50" s="109">
        <f t="shared" si="21"/>
        <v>42770</v>
      </c>
      <c r="W50" s="126">
        <f t="shared" si="22"/>
        <v>0</v>
      </c>
      <c r="X50" s="109">
        <f t="shared" si="23"/>
        <v>0</v>
      </c>
      <c r="Y50" s="109">
        <f t="shared" si="24"/>
        <v>0</v>
      </c>
      <c r="Z50" s="109">
        <f t="shared" si="25"/>
        <v>384.93</v>
      </c>
      <c r="AA50" s="109">
        <f t="shared" si="26"/>
        <v>5.9219999999999997</v>
      </c>
      <c r="AB50" s="109">
        <f t="shared" si="27"/>
        <v>0</v>
      </c>
      <c r="AC50" s="109">
        <f t="shared" si="28"/>
        <v>5.9219999999999997</v>
      </c>
    </row>
    <row r="51" spans="1:29">
      <c r="A51" s="109">
        <v>8</v>
      </c>
      <c r="B51" s="110" t="s">
        <v>27</v>
      </c>
      <c r="C51" s="111"/>
      <c r="D51" s="112">
        <v>13</v>
      </c>
      <c r="E51" s="112"/>
      <c r="F51" s="112">
        <v>42770</v>
      </c>
      <c r="G51" s="112"/>
      <c r="H51" s="112"/>
      <c r="I51" s="112"/>
      <c r="J51" s="112"/>
      <c r="K51" s="112"/>
      <c r="L51" s="109">
        <f t="shared" si="15"/>
        <v>42770</v>
      </c>
      <c r="M51" s="109">
        <v>2</v>
      </c>
      <c r="N51" s="109">
        <f t="shared" si="16"/>
        <v>278005</v>
      </c>
      <c r="O51" s="126">
        <f>'MSPL-3(Lot)'!I86</f>
        <v>0</v>
      </c>
      <c r="P51" s="126">
        <f t="shared" si="17"/>
        <v>278005</v>
      </c>
      <c r="Q51" s="109">
        <f t="shared" si="18"/>
        <v>0</v>
      </c>
      <c r="R51" s="109">
        <f t="shared" si="19"/>
        <v>42770</v>
      </c>
      <c r="S51" s="126">
        <f>'MSPL-3(Lot)'!M86</f>
        <v>0</v>
      </c>
      <c r="T51" s="126">
        <f t="shared" si="20"/>
        <v>42770</v>
      </c>
      <c r="U51" s="109">
        <f>'MSPL-3(Lot)'!O86</f>
        <v>0</v>
      </c>
      <c r="V51" s="109">
        <f t="shared" si="21"/>
        <v>42770</v>
      </c>
      <c r="W51" s="126">
        <f t="shared" si="22"/>
        <v>0</v>
      </c>
      <c r="X51" s="109">
        <f t="shared" si="23"/>
        <v>0</v>
      </c>
      <c r="Y51" s="109">
        <f t="shared" si="24"/>
        <v>0</v>
      </c>
      <c r="Z51" s="109">
        <f t="shared" si="25"/>
        <v>556.01</v>
      </c>
      <c r="AA51" s="109">
        <f t="shared" si="26"/>
        <v>8.5540000000000003</v>
      </c>
      <c r="AB51" s="109">
        <f t="shared" si="27"/>
        <v>0</v>
      </c>
      <c r="AC51" s="109">
        <f t="shared" si="28"/>
        <v>8.5540000000000003</v>
      </c>
    </row>
    <row r="52" spans="1:29">
      <c r="A52" s="109">
        <v>9</v>
      </c>
      <c r="B52" s="110" t="s">
        <v>31</v>
      </c>
      <c r="C52" s="111"/>
      <c r="D52" s="112">
        <v>17</v>
      </c>
      <c r="E52" s="112"/>
      <c r="F52" s="112">
        <v>42770</v>
      </c>
      <c r="G52" s="112"/>
      <c r="H52" s="112"/>
      <c r="I52" s="112"/>
      <c r="J52" s="112"/>
      <c r="K52" s="112"/>
      <c r="L52" s="109">
        <f t="shared" si="15"/>
        <v>42770</v>
      </c>
      <c r="M52" s="109">
        <v>2</v>
      </c>
      <c r="N52" s="109">
        <f t="shared" si="16"/>
        <v>363545</v>
      </c>
      <c r="O52" s="126">
        <f>'MSPL-3(Lot)'!I87</f>
        <v>0</v>
      </c>
      <c r="P52" s="126">
        <f t="shared" si="17"/>
        <v>363545</v>
      </c>
      <c r="Q52" s="109">
        <f t="shared" si="18"/>
        <v>0</v>
      </c>
      <c r="R52" s="109">
        <f t="shared" si="19"/>
        <v>42770</v>
      </c>
      <c r="S52" s="126">
        <f>'MSPL-3(Lot)'!M87</f>
        <v>0</v>
      </c>
      <c r="T52" s="126">
        <f t="shared" si="20"/>
        <v>42770</v>
      </c>
      <c r="U52" s="109">
        <f>'MSPL-3(Lot)'!O87</f>
        <v>0</v>
      </c>
      <c r="V52" s="109">
        <f t="shared" si="21"/>
        <v>42770</v>
      </c>
      <c r="W52" s="126">
        <f t="shared" si="22"/>
        <v>0</v>
      </c>
      <c r="X52" s="109">
        <f t="shared" si="23"/>
        <v>0</v>
      </c>
      <c r="Y52" s="109">
        <f t="shared" si="24"/>
        <v>0</v>
      </c>
      <c r="Z52" s="109">
        <f t="shared" si="25"/>
        <v>727.09</v>
      </c>
      <c r="AA52" s="109">
        <f t="shared" si="26"/>
        <v>11.186</v>
      </c>
      <c r="AB52" s="109">
        <f t="shared" si="27"/>
        <v>0</v>
      </c>
      <c r="AC52" s="109">
        <f t="shared" si="28"/>
        <v>11.186</v>
      </c>
    </row>
    <row r="53" spans="1:29">
      <c r="A53" s="109">
        <v>10</v>
      </c>
      <c r="B53" s="110" t="s">
        <v>28</v>
      </c>
      <c r="C53" s="111"/>
      <c r="D53" s="112">
        <v>6</v>
      </c>
      <c r="E53" s="112"/>
      <c r="F53" s="112">
        <v>42770</v>
      </c>
      <c r="G53" s="112"/>
      <c r="H53" s="112"/>
      <c r="I53" s="112"/>
      <c r="J53" s="112"/>
      <c r="K53" s="112"/>
      <c r="L53" s="109">
        <f t="shared" si="15"/>
        <v>42770</v>
      </c>
      <c r="M53" s="109">
        <v>2</v>
      </c>
      <c r="N53" s="109">
        <f t="shared" si="16"/>
        <v>128310</v>
      </c>
      <c r="O53" s="126">
        <f>'MSPL-3(Lot)'!I88</f>
        <v>0</v>
      </c>
      <c r="P53" s="126">
        <f t="shared" si="17"/>
        <v>128310</v>
      </c>
      <c r="Q53" s="109">
        <f t="shared" si="18"/>
        <v>0</v>
      </c>
      <c r="R53" s="109">
        <f t="shared" si="19"/>
        <v>42770</v>
      </c>
      <c r="S53" s="126">
        <f>'MSPL-3(Lot)'!M88</f>
        <v>0</v>
      </c>
      <c r="T53" s="126">
        <f t="shared" si="20"/>
        <v>42770</v>
      </c>
      <c r="U53" s="109">
        <f>'MSPL-3(Lot)'!O88</f>
        <v>0</v>
      </c>
      <c r="V53" s="109">
        <f t="shared" si="21"/>
        <v>42770</v>
      </c>
      <c r="W53" s="126">
        <f t="shared" si="22"/>
        <v>0</v>
      </c>
      <c r="X53" s="109">
        <f t="shared" si="23"/>
        <v>0</v>
      </c>
      <c r="Y53" s="109">
        <f t="shared" si="24"/>
        <v>0</v>
      </c>
      <c r="Z53" s="109">
        <f t="shared" si="25"/>
        <v>256.62</v>
      </c>
      <c r="AA53" s="109">
        <f t="shared" si="26"/>
        <v>3.948</v>
      </c>
      <c r="AB53" s="109">
        <f t="shared" si="27"/>
        <v>0</v>
      </c>
      <c r="AC53" s="109">
        <f t="shared" si="28"/>
        <v>3.948</v>
      </c>
    </row>
    <row r="54" spans="1:29">
      <c r="A54" s="109">
        <v>11</v>
      </c>
      <c r="B54" s="110" t="s">
        <v>29</v>
      </c>
      <c r="C54" s="111"/>
      <c r="D54" s="112">
        <v>5</v>
      </c>
      <c r="E54" s="112"/>
      <c r="F54" s="112">
        <v>42770</v>
      </c>
      <c r="G54" s="112"/>
      <c r="H54" s="112"/>
      <c r="I54" s="112"/>
      <c r="J54" s="112"/>
      <c r="K54" s="112"/>
      <c r="L54" s="109">
        <f t="shared" si="15"/>
        <v>42770</v>
      </c>
      <c r="M54" s="109">
        <v>2</v>
      </c>
      <c r="N54" s="109">
        <f t="shared" si="16"/>
        <v>106925</v>
      </c>
      <c r="O54" s="126">
        <f>'MSPL-3(Lot)'!I89</f>
        <v>0</v>
      </c>
      <c r="P54" s="126">
        <f t="shared" si="17"/>
        <v>106925</v>
      </c>
      <c r="Q54" s="109">
        <f t="shared" si="18"/>
        <v>0</v>
      </c>
      <c r="R54" s="109">
        <f t="shared" si="19"/>
        <v>42770</v>
      </c>
      <c r="S54" s="126">
        <f>'MSPL-3(Lot)'!M89</f>
        <v>0</v>
      </c>
      <c r="T54" s="126">
        <f t="shared" si="20"/>
        <v>42770</v>
      </c>
      <c r="U54" s="109">
        <f>'MSPL-3(Lot)'!O89</f>
        <v>0</v>
      </c>
      <c r="V54" s="109">
        <f t="shared" si="21"/>
        <v>42770</v>
      </c>
      <c r="W54" s="126">
        <f t="shared" si="22"/>
        <v>0</v>
      </c>
      <c r="X54" s="109">
        <f t="shared" si="23"/>
        <v>0</v>
      </c>
      <c r="Y54" s="109">
        <f t="shared" si="24"/>
        <v>0</v>
      </c>
      <c r="Z54" s="109">
        <f t="shared" si="25"/>
        <v>213.85</v>
      </c>
      <c r="AA54" s="109">
        <f t="shared" si="26"/>
        <v>3.29</v>
      </c>
      <c r="AB54" s="109">
        <f t="shared" si="27"/>
        <v>0</v>
      </c>
      <c r="AC54" s="109">
        <f t="shared" si="28"/>
        <v>3.29</v>
      </c>
    </row>
    <row r="55" spans="1:29">
      <c r="A55" s="109">
        <v>12</v>
      </c>
      <c r="B55" s="110" t="s">
        <v>60</v>
      </c>
      <c r="C55" s="111"/>
      <c r="D55" s="112">
        <v>10</v>
      </c>
      <c r="E55" s="112"/>
      <c r="F55" s="112">
        <v>42770</v>
      </c>
      <c r="G55" s="112"/>
      <c r="H55" s="112"/>
      <c r="I55" s="112"/>
      <c r="J55" s="112"/>
      <c r="K55" s="112"/>
      <c r="L55" s="109">
        <f t="shared" si="15"/>
        <v>42770</v>
      </c>
      <c r="M55" s="109">
        <v>2</v>
      </c>
      <c r="N55" s="109">
        <f t="shared" si="16"/>
        <v>213850</v>
      </c>
      <c r="O55" s="126">
        <f>'MSPL-3(Lot)'!I90</f>
        <v>0</v>
      </c>
      <c r="P55" s="126">
        <f t="shared" si="17"/>
        <v>213850</v>
      </c>
      <c r="Q55" s="109">
        <f t="shared" si="18"/>
        <v>0</v>
      </c>
      <c r="R55" s="109">
        <f t="shared" si="19"/>
        <v>42770</v>
      </c>
      <c r="S55" s="126">
        <f>'MSPL-3(Lot)'!M90</f>
        <v>0</v>
      </c>
      <c r="T55" s="126">
        <f t="shared" si="20"/>
        <v>42770</v>
      </c>
      <c r="U55" s="109">
        <f>'MSPL-3(Lot)'!O90</f>
        <v>0</v>
      </c>
      <c r="V55" s="109">
        <f t="shared" si="21"/>
        <v>42770</v>
      </c>
      <c r="W55" s="126">
        <f t="shared" si="22"/>
        <v>0</v>
      </c>
      <c r="X55" s="109">
        <f t="shared" si="23"/>
        <v>0</v>
      </c>
      <c r="Y55" s="109">
        <f t="shared" si="24"/>
        <v>0</v>
      </c>
      <c r="Z55" s="109">
        <f t="shared" si="25"/>
        <v>427.7</v>
      </c>
      <c r="AA55" s="109">
        <f t="shared" si="26"/>
        <v>6.58</v>
      </c>
      <c r="AB55" s="109">
        <f t="shared" si="27"/>
        <v>0</v>
      </c>
      <c r="AC55" s="109">
        <f t="shared" si="28"/>
        <v>6.58</v>
      </c>
    </row>
    <row r="56" spans="1:29">
      <c r="A56" s="109">
        <v>13</v>
      </c>
      <c r="B56" s="110" t="s">
        <v>26</v>
      </c>
      <c r="C56" s="111" t="s">
        <v>63</v>
      </c>
      <c r="D56" s="112">
        <v>14</v>
      </c>
      <c r="E56" s="112"/>
      <c r="F56" s="112">
        <v>41883</v>
      </c>
      <c r="G56" s="112"/>
      <c r="H56" s="112"/>
      <c r="I56" s="112"/>
      <c r="J56" s="112"/>
      <c r="K56" s="112"/>
      <c r="L56" s="109">
        <f t="shared" si="15"/>
        <v>41883</v>
      </c>
      <c r="M56" s="109">
        <v>2</v>
      </c>
      <c r="N56" s="109">
        <f t="shared" si="16"/>
        <v>293181</v>
      </c>
      <c r="O56" s="126">
        <f>'MSPL-3(Lot)'!I91</f>
        <v>0</v>
      </c>
      <c r="P56" s="126">
        <f t="shared" si="17"/>
        <v>293181</v>
      </c>
      <c r="Q56" s="109">
        <f t="shared" si="18"/>
        <v>0</v>
      </c>
      <c r="R56" s="109">
        <f t="shared" si="19"/>
        <v>41883</v>
      </c>
      <c r="S56" s="126">
        <f>'MSPL-3(Lot)'!M91</f>
        <v>0</v>
      </c>
      <c r="T56" s="126">
        <f t="shared" si="20"/>
        <v>41883</v>
      </c>
      <c r="U56" s="109">
        <f>'MSPL-3(Lot)'!O91</f>
        <v>0</v>
      </c>
      <c r="V56" s="109">
        <f t="shared" si="21"/>
        <v>41883</v>
      </c>
      <c r="W56" s="126">
        <f t="shared" si="22"/>
        <v>0</v>
      </c>
      <c r="X56" s="109">
        <f t="shared" si="23"/>
        <v>0</v>
      </c>
      <c r="Y56" s="109">
        <f t="shared" si="24"/>
        <v>0</v>
      </c>
      <c r="Z56" s="109">
        <f t="shared" si="25"/>
        <v>586.36199999999997</v>
      </c>
      <c r="AA56" s="109">
        <f t="shared" si="26"/>
        <v>9.0209538461538461</v>
      </c>
      <c r="AB56" s="109">
        <f t="shared" si="27"/>
        <v>0</v>
      </c>
      <c r="AC56" s="109">
        <f t="shared" si="28"/>
        <v>9.0209538461538461</v>
      </c>
    </row>
    <row r="57" spans="1:29">
      <c r="A57" s="109">
        <v>14</v>
      </c>
      <c r="B57" s="110" t="s">
        <v>27</v>
      </c>
      <c r="C57" s="111"/>
      <c r="D57" s="112">
        <v>16</v>
      </c>
      <c r="E57" s="112"/>
      <c r="F57" s="112">
        <v>41883</v>
      </c>
      <c r="G57" s="112"/>
      <c r="H57" s="112"/>
      <c r="I57" s="112"/>
      <c r="J57" s="112"/>
      <c r="K57" s="112"/>
      <c r="L57" s="109">
        <f t="shared" si="15"/>
        <v>41883</v>
      </c>
      <c r="M57" s="109">
        <v>2</v>
      </c>
      <c r="N57" s="109">
        <f t="shared" si="16"/>
        <v>335064</v>
      </c>
      <c r="O57" s="126">
        <f>'MSPL-3(Lot)'!I92</f>
        <v>0</v>
      </c>
      <c r="P57" s="126">
        <f t="shared" si="17"/>
        <v>335064</v>
      </c>
      <c r="Q57" s="109">
        <f t="shared" si="18"/>
        <v>0</v>
      </c>
      <c r="R57" s="109">
        <f t="shared" si="19"/>
        <v>41883</v>
      </c>
      <c r="S57" s="126">
        <f>'MSPL-3(Lot)'!M92</f>
        <v>0</v>
      </c>
      <c r="T57" s="126">
        <f t="shared" si="20"/>
        <v>41883</v>
      </c>
      <c r="U57" s="109">
        <f>'MSPL-3(Lot)'!O92</f>
        <v>0</v>
      </c>
      <c r="V57" s="109">
        <f t="shared" si="21"/>
        <v>41883</v>
      </c>
      <c r="W57" s="126">
        <f t="shared" si="22"/>
        <v>0</v>
      </c>
      <c r="X57" s="109">
        <f t="shared" si="23"/>
        <v>0</v>
      </c>
      <c r="Y57" s="109">
        <f t="shared" si="24"/>
        <v>0</v>
      </c>
      <c r="Z57" s="109">
        <f t="shared" si="25"/>
        <v>670.12800000000004</v>
      </c>
      <c r="AA57" s="109">
        <f t="shared" si="26"/>
        <v>10.309661538461539</v>
      </c>
      <c r="AB57" s="109">
        <f t="shared" si="27"/>
        <v>0</v>
      </c>
      <c r="AC57" s="109">
        <f t="shared" si="28"/>
        <v>10.309661538461539</v>
      </c>
    </row>
    <row r="58" spans="1:29">
      <c r="A58" s="109">
        <v>15</v>
      </c>
      <c r="B58" s="110" t="s">
        <v>31</v>
      </c>
      <c r="C58" s="111"/>
      <c r="D58" s="112">
        <v>20</v>
      </c>
      <c r="E58" s="112"/>
      <c r="F58" s="112">
        <v>41883</v>
      </c>
      <c r="G58" s="112"/>
      <c r="H58" s="112"/>
      <c r="I58" s="112"/>
      <c r="J58" s="112"/>
      <c r="K58" s="112"/>
      <c r="L58" s="109">
        <f t="shared" si="15"/>
        <v>41883</v>
      </c>
      <c r="M58" s="109">
        <v>2</v>
      </c>
      <c r="N58" s="109">
        <f t="shared" si="16"/>
        <v>418830</v>
      </c>
      <c r="O58" s="126">
        <f>'MSPL-3(Lot)'!I93</f>
        <v>0</v>
      </c>
      <c r="P58" s="126">
        <f t="shared" si="17"/>
        <v>418830</v>
      </c>
      <c r="Q58" s="109">
        <f t="shared" si="18"/>
        <v>0</v>
      </c>
      <c r="R58" s="109">
        <f t="shared" si="19"/>
        <v>41883</v>
      </c>
      <c r="S58" s="126">
        <f>'MSPL-3(Lot)'!M93</f>
        <v>0</v>
      </c>
      <c r="T58" s="126">
        <f t="shared" si="20"/>
        <v>41883</v>
      </c>
      <c r="U58" s="109">
        <f>'MSPL-3(Lot)'!O93</f>
        <v>0</v>
      </c>
      <c r="V58" s="109">
        <f t="shared" si="21"/>
        <v>41883</v>
      </c>
      <c r="W58" s="126">
        <f t="shared" si="22"/>
        <v>0</v>
      </c>
      <c r="X58" s="109">
        <f t="shared" si="23"/>
        <v>0</v>
      </c>
      <c r="Y58" s="109">
        <f t="shared" si="24"/>
        <v>0</v>
      </c>
      <c r="Z58" s="109">
        <f t="shared" si="25"/>
        <v>837.66</v>
      </c>
      <c r="AA58" s="109">
        <f t="shared" si="26"/>
        <v>12.887076923076922</v>
      </c>
      <c r="AB58" s="109">
        <f t="shared" si="27"/>
        <v>0</v>
      </c>
      <c r="AC58" s="109">
        <f t="shared" si="28"/>
        <v>12.887076923076922</v>
      </c>
    </row>
    <row r="59" spans="1:29">
      <c r="A59" s="109">
        <v>16</v>
      </c>
      <c r="B59" s="110" t="s">
        <v>32</v>
      </c>
      <c r="C59" s="111"/>
      <c r="D59" s="112">
        <v>19.5</v>
      </c>
      <c r="E59" s="112"/>
      <c r="F59" s="112">
        <v>41883</v>
      </c>
      <c r="G59" s="112"/>
      <c r="H59" s="112"/>
      <c r="I59" s="112"/>
      <c r="J59" s="112"/>
      <c r="K59" s="112"/>
      <c r="L59" s="109">
        <f t="shared" si="15"/>
        <v>41883</v>
      </c>
      <c r="M59" s="109">
        <v>2</v>
      </c>
      <c r="N59" s="109">
        <f t="shared" si="16"/>
        <v>408359.25</v>
      </c>
      <c r="O59" s="126">
        <f>'MSPL-3(Lot)'!I94</f>
        <v>0</v>
      </c>
      <c r="P59" s="126">
        <f t="shared" si="17"/>
        <v>408359.25</v>
      </c>
      <c r="Q59" s="109">
        <f t="shared" si="18"/>
        <v>0</v>
      </c>
      <c r="R59" s="109">
        <f t="shared" si="19"/>
        <v>41883</v>
      </c>
      <c r="S59" s="126">
        <f>'MSPL-3(Lot)'!M94</f>
        <v>0</v>
      </c>
      <c r="T59" s="126">
        <f t="shared" si="20"/>
        <v>41883</v>
      </c>
      <c r="U59" s="109">
        <f>'MSPL-3(Lot)'!O94</f>
        <v>0</v>
      </c>
      <c r="V59" s="109">
        <f t="shared" si="21"/>
        <v>41883</v>
      </c>
      <c r="W59" s="126">
        <f t="shared" si="22"/>
        <v>0</v>
      </c>
      <c r="X59" s="109">
        <f t="shared" si="23"/>
        <v>0</v>
      </c>
      <c r="Y59" s="109">
        <f t="shared" si="24"/>
        <v>0</v>
      </c>
      <c r="Z59" s="109">
        <f t="shared" si="25"/>
        <v>816.71849999999995</v>
      </c>
      <c r="AA59" s="109">
        <f t="shared" si="26"/>
        <v>12.5649</v>
      </c>
      <c r="AB59" s="109">
        <f t="shared" si="27"/>
        <v>0</v>
      </c>
      <c r="AC59" s="109">
        <f t="shared" si="28"/>
        <v>12.5649</v>
      </c>
    </row>
    <row r="60" spans="1:29">
      <c r="A60" s="109">
        <v>17</v>
      </c>
      <c r="B60" s="110" t="s">
        <v>144</v>
      </c>
      <c r="C60" s="111"/>
      <c r="D60" s="112">
        <v>15.5</v>
      </c>
      <c r="E60" s="112"/>
      <c r="F60" s="112">
        <v>41883</v>
      </c>
      <c r="G60" s="112"/>
      <c r="H60" s="112"/>
      <c r="I60" s="112"/>
      <c r="J60" s="112"/>
      <c r="K60" s="112"/>
      <c r="L60" s="109">
        <f t="shared" si="15"/>
        <v>41883</v>
      </c>
      <c r="M60" s="109">
        <v>2</v>
      </c>
      <c r="N60" s="109">
        <f t="shared" si="16"/>
        <v>324593.25</v>
      </c>
      <c r="O60" s="126">
        <f>'MSPL-3(Lot)'!I95</f>
        <v>0</v>
      </c>
      <c r="P60" s="126">
        <f t="shared" si="17"/>
        <v>324593.25</v>
      </c>
      <c r="Q60" s="109">
        <f t="shared" si="18"/>
        <v>0</v>
      </c>
      <c r="R60" s="109">
        <f t="shared" si="19"/>
        <v>41883</v>
      </c>
      <c r="S60" s="126">
        <f>'MSPL-3(Lot)'!M95</f>
        <v>0</v>
      </c>
      <c r="T60" s="126">
        <f t="shared" si="20"/>
        <v>41883</v>
      </c>
      <c r="U60" s="109">
        <f>'MSPL-3(Lot)'!O95</f>
        <v>0</v>
      </c>
      <c r="V60" s="109">
        <f t="shared" si="21"/>
        <v>41883</v>
      </c>
      <c r="W60" s="126">
        <f t="shared" si="22"/>
        <v>0</v>
      </c>
      <c r="X60" s="109">
        <f t="shared" si="23"/>
        <v>0</v>
      </c>
      <c r="Y60" s="109">
        <f t="shared" si="24"/>
        <v>0</v>
      </c>
      <c r="Z60" s="109">
        <f t="shared" si="25"/>
        <v>649.18650000000002</v>
      </c>
      <c r="AA60" s="109">
        <f t="shared" si="26"/>
        <v>9.9874846153846164</v>
      </c>
      <c r="AB60" s="109">
        <f t="shared" si="27"/>
        <v>0</v>
      </c>
      <c r="AC60" s="109">
        <f t="shared" si="28"/>
        <v>9.9874846153846164</v>
      </c>
    </row>
    <row r="61" spans="1:29">
      <c r="A61" s="109">
        <v>18</v>
      </c>
      <c r="B61" s="110" t="s">
        <v>28</v>
      </c>
      <c r="C61" s="111"/>
      <c r="D61" s="112">
        <v>8</v>
      </c>
      <c r="E61" s="112"/>
      <c r="F61" s="112">
        <v>41883</v>
      </c>
      <c r="G61" s="112"/>
      <c r="H61" s="112"/>
      <c r="I61" s="112"/>
      <c r="J61" s="112"/>
      <c r="K61" s="112"/>
      <c r="L61" s="109">
        <f t="shared" si="15"/>
        <v>41883</v>
      </c>
      <c r="M61" s="109">
        <v>2</v>
      </c>
      <c r="N61" s="109">
        <f t="shared" si="16"/>
        <v>167532</v>
      </c>
      <c r="O61" s="126">
        <f>'MSPL-3(Lot)'!I96</f>
        <v>0</v>
      </c>
      <c r="P61" s="126">
        <f t="shared" si="17"/>
        <v>167532</v>
      </c>
      <c r="Q61" s="109">
        <f t="shared" si="18"/>
        <v>0</v>
      </c>
      <c r="R61" s="109">
        <f t="shared" si="19"/>
        <v>41883</v>
      </c>
      <c r="S61" s="126">
        <f>'MSPL-3(Lot)'!M96</f>
        <v>0</v>
      </c>
      <c r="T61" s="126">
        <f t="shared" si="20"/>
        <v>41883</v>
      </c>
      <c r="U61" s="109">
        <f>'MSPL-3(Lot)'!O96</f>
        <v>0</v>
      </c>
      <c r="V61" s="109">
        <f t="shared" si="21"/>
        <v>41883</v>
      </c>
      <c r="W61" s="126">
        <f t="shared" si="22"/>
        <v>0</v>
      </c>
      <c r="X61" s="109">
        <f t="shared" si="23"/>
        <v>0</v>
      </c>
      <c r="Y61" s="109">
        <f t="shared" si="24"/>
        <v>0</v>
      </c>
      <c r="Z61" s="109">
        <f t="shared" si="25"/>
        <v>335.06400000000002</v>
      </c>
      <c r="AA61" s="109">
        <f t="shared" si="26"/>
        <v>5.1548307692307693</v>
      </c>
      <c r="AB61" s="109">
        <f t="shared" si="27"/>
        <v>0</v>
      </c>
      <c r="AC61" s="109">
        <f t="shared" si="28"/>
        <v>5.1548307692307693</v>
      </c>
    </row>
    <row r="62" spans="1:29">
      <c r="A62" s="109">
        <v>19</v>
      </c>
      <c r="B62" s="110" t="s">
        <v>29</v>
      </c>
      <c r="C62" s="111"/>
      <c r="D62" s="113">
        <v>5</v>
      </c>
      <c r="E62" s="113"/>
      <c r="F62" s="112">
        <v>41883</v>
      </c>
      <c r="G62" s="113"/>
      <c r="H62" s="113"/>
      <c r="I62" s="113"/>
      <c r="J62" s="113"/>
      <c r="K62" s="113"/>
      <c r="L62" s="109">
        <f t="shared" si="15"/>
        <v>41883</v>
      </c>
      <c r="M62" s="109">
        <v>2</v>
      </c>
      <c r="N62" s="109">
        <f t="shared" si="16"/>
        <v>104707.5</v>
      </c>
      <c r="O62" s="126">
        <f>'MSPL-3(Lot)'!I97</f>
        <v>0</v>
      </c>
      <c r="P62" s="126">
        <f t="shared" si="17"/>
        <v>104707.5</v>
      </c>
      <c r="Q62" s="109">
        <f t="shared" si="18"/>
        <v>0</v>
      </c>
      <c r="R62" s="109">
        <f t="shared" si="19"/>
        <v>41883</v>
      </c>
      <c r="S62" s="126">
        <f>'MSPL-3(Lot)'!M97</f>
        <v>0</v>
      </c>
      <c r="T62" s="126">
        <f t="shared" si="20"/>
        <v>41883</v>
      </c>
      <c r="U62" s="109">
        <f>'MSPL-3(Lot)'!O97</f>
        <v>0</v>
      </c>
      <c r="V62" s="109">
        <f t="shared" si="21"/>
        <v>41883</v>
      </c>
      <c r="W62" s="126">
        <f t="shared" si="22"/>
        <v>0</v>
      </c>
      <c r="X62" s="109">
        <f t="shared" si="23"/>
        <v>0</v>
      </c>
      <c r="Y62" s="109">
        <f t="shared" si="24"/>
        <v>0</v>
      </c>
      <c r="Z62" s="109">
        <f t="shared" si="25"/>
        <v>209.41499999999999</v>
      </c>
      <c r="AA62" s="109">
        <f t="shared" si="26"/>
        <v>3.2217692307692305</v>
      </c>
      <c r="AB62" s="109">
        <f t="shared" si="27"/>
        <v>0</v>
      </c>
      <c r="AC62" s="109">
        <f t="shared" si="28"/>
        <v>3.2217692307692305</v>
      </c>
    </row>
    <row r="63" spans="1:29">
      <c r="A63" s="109">
        <v>20</v>
      </c>
      <c r="B63" s="110" t="s">
        <v>60</v>
      </c>
      <c r="C63" s="111"/>
      <c r="D63" s="113">
        <v>11.5</v>
      </c>
      <c r="E63" s="113"/>
      <c r="F63" s="112">
        <v>41883</v>
      </c>
      <c r="G63" s="113"/>
      <c r="H63" s="113"/>
      <c r="I63" s="113"/>
      <c r="J63" s="113"/>
      <c r="K63" s="113"/>
      <c r="L63" s="109">
        <f t="shared" si="15"/>
        <v>41883</v>
      </c>
      <c r="M63" s="109">
        <v>2</v>
      </c>
      <c r="N63" s="109">
        <f t="shared" si="16"/>
        <v>240827.25</v>
      </c>
      <c r="O63" s="126">
        <f>'MSPL-3(Lot)'!I98</f>
        <v>0</v>
      </c>
      <c r="P63" s="126">
        <f t="shared" si="17"/>
        <v>240827.25</v>
      </c>
      <c r="Q63" s="109">
        <f t="shared" si="18"/>
        <v>0</v>
      </c>
      <c r="R63" s="109">
        <f t="shared" si="19"/>
        <v>41883</v>
      </c>
      <c r="S63" s="126">
        <f>'MSPL-3(Lot)'!M98</f>
        <v>0</v>
      </c>
      <c r="T63" s="126">
        <f t="shared" si="20"/>
        <v>41883</v>
      </c>
      <c r="U63" s="109">
        <f>'MSPL-3(Lot)'!O98</f>
        <v>0</v>
      </c>
      <c r="V63" s="109">
        <f t="shared" si="21"/>
        <v>41883</v>
      </c>
      <c r="W63" s="126">
        <f t="shared" si="22"/>
        <v>0</v>
      </c>
      <c r="X63" s="109">
        <f t="shared" si="23"/>
        <v>0</v>
      </c>
      <c r="Y63" s="109">
        <f t="shared" si="24"/>
        <v>0</v>
      </c>
      <c r="Z63" s="109">
        <f t="shared" si="25"/>
        <v>481.65449999999998</v>
      </c>
      <c r="AA63" s="109">
        <f t="shared" si="26"/>
        <v>7.4100692307692304</v>
      </c>
      <c r="AB63" s="109">
        <f t="shared" si="27"/>
        <v>0</v>
      </c>
      <c r="AC63" s="109">
        <f t="shared" si="28"/>
        <v>7.4100692307692304</v>
      </c>
    </row>
    <row r="64" spans="1:29">
      <c r="A64" s="464" t="s">
        <v>67</v>
      </c>
      <c r="B64" s="465"/>
      <c r="C64" s="465"/>
      <c r="D64" s="466"/>
      <c r="E64" s="114"/>
      <c r="F64" s="114">
        <f>SUM(F44:F63)</f>
        <v>862368</v>
      </c>
      <c r="G64" s="114">
        <f t="shared" ref="G64:AC64" si="29">SUM(G44:G63)</f>
        <v>0</v>
      </c>
      <c r="H64" s="114">
        <f t="shared" si="29"/>
        <v>0</v>
      </c>
      <c r="I64" s="114">
        <f t="shared" si="29"/>
        <v>0</v>
      </c>
      <c r="J64" s="114">
        <f t="shared" si="29"/>
        <v>0</v>
      </c>
      <c r="K64" s="114">
        <f t="shared" si="29"/>
        <v>0</v>
      </c>
      <c r="L64" s="114">
        <f t="shared" si="29"/>
        <v>862368</v>
      </c>
      <c r="M64" s="114">
        <f t="shared" si="29"/>
        <v>40</v>
      </c>
      <c r="N64" s="114">
        <f t="shared" si="29"/>
        <v>4873221.75</v>
      </c>
      <c r="O64" s="114">
        <f t="shared" si="29"/>
        <v>0</v>
      </c>
      <c r="P64" s="114">
        <f t="shared" si="29"/>
        <v>4873221.75</v>
      </c>
      <c r="Q64" s="114">
        <f t="shared" si="29"/>
        <v>0</v>
      </c>
      <c r="R64" s="114">
        <f t="shared" si="29"/>
        <v>862368</v>
      </c>
      <c r="S64" s="114">
        <f t="shared" si="29"/>
        <v>0</v>
      </c>
      <c r="T64" s="114">
        <f t="shared" si="29"/>
        <v>862368</v>
      </c>
      <c r="U64" s="114">
        <f t="shared" si="29"/>
        <v>0</v>
      </c>
      <c r="V64" s="114">
        <f t="shared" si="29"/>
        <v>862368</v>
      </c>
      <c r="W64" s="114">
        <f t="shared" si="29"/>
        <v>0</v>
      </c>
      <c r="X64" s="114">
        <f t="shared" si="29"/>
        <v>0</v>
      </c>
      <c r="Y64" s="114">
        <f t="shared" si="29"/>
        <v>0</v>
      </c>
      <c r="Z64" s="114">
        <f t="shared" si="29"/>
        <v>9746.4435000000012</v>
      </c>
      <c r="AA64" s="114">
        <f t="shared" si="29"/>
        <v>149.94528461538459</v>
      </c>
      <c r="AB64" s="114">
        <f t="shared" si="29"/>
        <v>0</v>
      </c>
      <c r="AC64" s="114">
        <f t="shared" si="29"/>
        <v>149.94528461538459</v>
      </c>
    </row>
    <row r="65" spans="1:29" s="63" customFormat="1" ht="15.75">
      <c r="A65" s="65"/>
      <c r="B65" s="87"/>
      <c r="C65" s="65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</row>
    <row r="66" spans="1:29" s="63" customFormat="1" ht="15.75">
      <c r="A66" s="65"/>
      <c r="B66" s="87"/>
      <c r="C66" s="65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123"/>
      <c r="AA66" s="123"/>
      <c r="AB66" s="123"/>
      <c r="AC66" s="123"/>
    </row>
    <row r="67" spans="1:29" s="11" customFormat="1" ht="15.75">
      <c r="A67" s="61"/>
      <c r="B67" s="61"/>
      <c r="C67" s="61"/>
      <c r="D67" s="61"/>
      <c r="E67" s="61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462" t="s">
        <v>254</v>
      </c>
      <c r="AA67" s="462"/>
      <c r="AB67" s="462"/>
      <c r="AC67" s="462"/>
    </row>
    <row r="68" spans="1:29" s="63" customFormat="1" ht="15.75">
      <c r="A68" s="65"/>
      <c r="B68" s="87"/>
      <c r="C68" s="65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</row>
    <row r="69" spans="1:29" s="63" customFormat="1" ht="15.75">
      <c r="A69" s="65"/>
      <c r="B69" s="87"/>
      <c r="C69" s="65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</row>
    <row r="70" spans="1:29" s="63" customFormat="1" ht="15.75">
      <c r="A70" s="65"/>
      <c r="B70" s="87"/>
      <c r="C70" s="65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</row>
    <row r="71" spans="1:29" s="63" customFormat="1" ht="15.75">
      <c r="A71" s="65"/>
      <c r="B71" s="87"/>
      <c r="C71" s="65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</row>
    <row r="72" spans="1:29" s="63" customFormat="1" ht="15.75">
      <c r="A72" s="65"/>
      <c r="B72" s="87"/>
      <c r="C72" s="65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</row>
    <row r="73" spans="1:29" s="63" customFormat="1" ht="15.75">
      <c r="A73" s="65"/>
      <c r="B73" s="87"/>
      <c r="C73" s="65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</row>
    <row r="74" spans="1:29" s="63" customFormat="1" ht="15.75">
      <c r="A74" s="65"/>
      <c r="B74" s="87"/>
      <c r="C74" s="65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</row>
    <row r="75" spans="1:29" s="1" customFormat="1" ht="24" customHeight="1">
      <c r="A75" s="388" t="s">
        <v>342</v>
      </c>
      <c r="B75" s="388"/>
      <c r="C75" s="388"/>
      <c r="D75" s="388"/>
      <c r="E75" s="388"/>
      <c r="F75" s="388"/>
      <c r="G75" s="388"/>
      <c r="H75" s="388"/>
      <c r="I75" s="388"/>
      <c r="J75" s="388"/>
      <c r="K75" s="388"/>
      <c r="L75" s="388"/>
      <c r="M75" s="388"/>
      <c r="N75" s="388"/>
      <c r="O75" s="388"/>
      <c r="P75" s="388"/>
      <c r="Q75" s="388"/>
      <c r="R75" s="388"/>
      <c r="S75" s="388"/>
      <c r="T75" s="388"/>
      <c r="U75" s="388"/>
      <c r="V75" s="388"/>
      <c r="W75" s="388"/>
      <c r="X75" s="388"/>
      <c r="Y75" s="388"/>
      <c r="Z75" s="388"/>
      <c r="AA75" s="388"/>
      <c r="AB75" s="388"/>
      <c r="AC75" s="388"/>
    </row>
    <row r="76" spans="1:29" s="1" customFormat="1" ht="17.25" customHeight="1">
      <c r="A76" s="379" t="s">
        <v>343</v>
      </c>
      <c r="B76" s="379"/>
      <c r="C76" s="379"/>
      <c r="D76" s="379"/>
      <c r="E76" s="379"/>
      <c r="F76" s="379"/>
      <c r="G76" s="379"/>
      <c r="H76" s="379"/>
      <c r="I76" s="379"/>
      <c r="J76" s="379"/>
      <c r="K76" s="379"/>
      <c r="L76" s="379"/>
      <c r="M76" s="379"/>
      <c r="N76" s="379"/>
      <c r="O76" s="379"/>
      <c r="P76" s="379"/>
      <c r="Q76" s="379"/>
      <c r="R76" s="379"/>
      <c r="S76" s="379"/>
      <c r="T76" s="379"/>
      <c r="U76" s="379"/>
      <c r="V76" s="379"/>
      <c r="W76" s="379"/>
      <c r="X76" s="379"/>
      <c r="Y76" s="379"/>
      <c r="Z76" s="379"/>
      <c r="AA76" s="379"/>
      <c r="AB76" s="379"/>
      <c r="AC76" s="379"/>
    </row>
    <row r="77" spans="1:29" s="1" customFormat="1" ht="15.75" customHeight="1">
      <c r="A77" s="313" t="s">
        <v>274</v>
      </c>
      <c r="B77" s="313"/>
      <c r="C77" s="313"/>
      <c r="D77" s="313"/>
      <c r="E77" s="313"/>
      <c r="F77" s="313"/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  <c r="T77" s="313"/>
      <c r="U77" s="313"/>
      <c r="V77" s="313"/>
      <c r="W77" s="313"/>
      <c r="X77" s="313"/>
      <c r="Y77" s="313"/>
      <c r="Z77" s="313"/>
      <c r="AA77" s="313"/>
      <c r="AB77" s="313"/>
      <c r="AC77" s="313"/>
    </row>
    <row r="78" spans="1:29" ht="20.25">
      <c r="A78" s="477" t="s">
        <v>331</v>
      </c>
      <c r="B78" s="477"/>
      <c r="C78" s="477"/>
      <c r="D78" s="477"/>
      <c r="E78" s="477"/>
      <c r="F78" s="477"/>
      <c r="G78" s="477"/>
      <c r="H78" s="477"/>
      <c r="I78" s="477"/>
      <c r="J78" s="477"/>
      <c r="K78" s="477"/>
      <c r="L78" s="477"/>
      <c r="M78" s="477"/>
      <c r="N78" s="477"/>
      <c r="O78" s="477"/>
      <c r="P78" s="477"/>
      <c r="Q78" s="477"/>
      <c r="R78" s="477"/>
      <c r="S78" s="477"/>
      <c r="T78" s="477"/>
      <c r="U78" s="477"/>
      <c r="V78" s="477"/>
      <c r="W78" s="477"/>
      <c r="X78" s="86"/>
      <c r="Y78" s="86"/>
      <c r="Z78" s="86"/>
      <c r="AA78" s="86"/>
      <c r="AB78" s="86"/>
      <c r="AC78" s="86"/>
    </row>
    <row r="79" spans="1:29" ht="15" customHeight="1">
      <c r="A79" s="392" t="s">
        <v>15</v>
      </c>
      <c r="B79" s="392" t="s">
        <v>64</v>
      </c>
      <c r="C79" s="392" t="s">
        <v>65</v>
      </c>
      <c r="D79" s="471" t="s">
        <v>66</v>
      </c>
      <c r="E79" s="116"/>
      <c r="F79" s="463" t="s">
        <v>203</v>
      </c>
      <c r="G79" s="463"/>
      <c r="H79" s="463"/>
      <c r="I79" s="463"/>
      <c r="J79" s="463"/>
      <c r="K79" s="463"/>
      <c r="L79" s="392" t="s">
        <v>88</v>
      </c>
      <c r="M79" s="83" t="s">
        <v>157</v>
      </c>
      <c r="N79" s="382" t="s">
        <v>84</v>
      </c>
      <c r="O79" s="382" t="s">
        <v>138</v>
      </c>
      <c r="P79" s="382"/>
      <c r="Q79" s="473" t="s">
        <v>139</v>
      </c>
      <c r="R79" s="473"/>
      <c r="S79" s="474" t="s">
        <v>86</v>
      </c>
      <c r="T79" s="474"/>
      <c r="U79" s="474" t="s">
        <v>25</v>
      </c>
      <c r="V79" s="474"/>
      <c r="W79" s="474" t="s">
        <v>87</v>
      </c>
      <c r="X79" s="475" t="s">
        <v>561</v>
      </c>
      <c r="Y79" s="481" t="s">
        <v>560</v>
      </c>
      <c r="Z79" s="476" t="s">
        <v>140</v>
      </c>
      <c r="AA79" s="476"/>
      <c r="AB79" s="476"/>
      <c r="AC79" s="476"/>
    </row>
    <row r="80" spans="1:29">
      <c r="A80" s="393"/>
      <c r="B80" s="393"/>
      <c r="C80" s="393"/>
      <c r="D80" s="472"/>
      <c r="E80" s="104"/>
      <c r="F80" s="105" t="s">
        <v>334</v>
      </c>
      <c r="G80" s="105"/>
      <c r="H80" s="105"/>
      <c r="I80" s="105"/>
      <c r="J80" s="105"/>
      <c r="K80" s="105"/>
      <c r="L80" s="393"/>
      <c r="M80" s="83"/>
      <c r="N80" s="382"/>
      <c r="O80" s="83" t="s">
        <v>85</v>
      </c>
      <c r="P80" s="83" t="s">
        <v>70</v>
      </c>
      <c r="Q80" s="106" t="s">
        <v>85</v>
      </c>
      <c r="R80" s="106" t="s">
        <v>70</v>
      </c>
      <c r="S80" s="83" t="s">
        <v>86</v>
      </c>
      <c r="T80" s="107" t="s">
        <v>70</v>
      </c>
      <c r="U80" s="107" t="s">
        <v>25</v>
      </c>
      <c r="V80" s="107" t="s">
        <v>70</v>
      </c>
      <c r="W80" s="474"/>
      <c r="X80" s="475"/>
      <c r="Y80" s="482"/>
      <c r="Z80" s="108" t="s">
        <v>155</v>
      </c>
      <c r="AA80" s="108" t="s">
        <v>156</v>
      </c>
      <c r="AB80" s="108" t="s">
        <v>141</v>
      </c>
      <c r="AC80" s="108" t="s">
        <v>70</v>
      </c>
    </row>
    <row r="81" spans="1:29">
      <c r="A81" s="109">
        <v>1</v>
      </c>
      <c r="B81" s="110" t="s">
        <v>45</v>
      </c>
      <c r="C81" s="111" t="s">
        <v>190</v>
      </c>
      <c r="D81" s="112">
        <v>13.5</v>
      </c>
      <c r="E81" s="112"/>
      <c r="F81" s="112">
        <v>37028</v>
      </c>
      <c r="G81" s="112"/>
      <c r="H81" s="112"/>
      <c r="I81" s="112"/>
      <c r="J81" s="112"/>
      <c r="K81" s="112"/>
      <c r="L81" s="112">
        <f>SUM(F81:K81)</f>
        <v>37028</v>
      </c>
      <c r="M81" s="109">
        <v>3.75</v>
      </c>
      <c r="N81" s="109">
        <f>M81*L81</f>
        <v>138855</v>
      </c>
      <c r="O81" s="126">
        <f>'MSPL-3(Lot)'!I115</f>
        <v>0</v>
      </c>
      <c r="P81" s="126">
        <f>N81-O81</f>
        <v>138855</v>
      </c>
      <c r="Q81" s="109">
        <f>O81/M81</f>
        <v>0</v>
      </c>
      <c r="R81" s="109">
        <f>L81-Q81</f>
        <v>37028</v>
      </c>
      <c r="S81" s="126">
        <f>'MSPL-3(Lot)'!M115</f>
        <v>0</v>
      </c>
      <c r="T81" s="126">
        <f>L81-S81</f>
        <v>37028</v>
      </c>
      <c r="U81" s="109">
        <f>'MSPL-3(Lot)'!O115</f>
        <v>0</v>
      </c>
      <c r="V81" s="109">
        <f>L81-U81</f>
        <v>37028</v>
      </c>
      <c r="W81" s="126">
        <f>S81-U81</f>
        <v>0</v>
      </c>
      <c r="X81" s="109">
        <f>D81*S81/1000</f>
        <v>0</v>
      </c>
      <c r="Y81" s="109">
        <f>Q81-S81</f>
        <v>0</v>
      </c>
      <c r="Z81" s="109">
        <f>D81*L81/1000</f>
        <v>499.87799999999999</v>
      </c>
      <c r="AA81" s="109">
        <f>Z81/75</f>
        <v>6.6650399999999994</v>
      </c>
      <c r="AB81" s="109">
        <f>D81*Q81/1000/75</f>
        <v>0</v>
      </c>
      <c r="AC81" s="109">
        <f>AA81-AB81</f>
        <v>6.6650399999999994</v>
      </c>
    </row>
    <row r="82" spans="1:29">
      <c r="A82" s="109">
        <v>2</v>
      </c>
      <c r="B82" s="110" t="s">
        <v>191</v>
      </c>
      <c r="C82" s="111" t="s">
        <v>190</v>
      </c>
      <c r="D82" s="112">
        <v>8</v>
      </c>
      <c r="E82" s="112"/>
      <c r="F82" s="112">
        <v>37028</v>
      </c>
      <c r="G82" s="112"/>
      <c r="H82" s="112"/>
      <c r="I82" s="112"/>
      <c r="J82" s="112"/>
      <c r="K82" s="112"/>
      <c r="L82" s="112">
        <f t="shared" ref="L82:L101" si="30">SUM(F82:K82)</f>
        <v>37028</v>
      </c>
      <c r="M82" s="109">
        <v>2</v>
      </c>
      <c r="N82" s="109">
        <f t="shared" ref="N82:N101" si="31">M82*L82</f>
        <v>74056</v>
      </c>
      <c r="O82" s="126">
        <f>'MSPL-3(Lot)'!I116</f>
        <v>0</v>
      </c>
      <c r="P82" s="126">
        <f t="shared" ref="P82:P101" si="32">N82-O82</f>
        <v>74056</v>
      </c>
      <c r="Q82" s="109">
        <f t="shared" ref="Q82:Q101" si="33">O82/M82</f>
        <v>0</v>
      </c>
      <c r="R82" s="109">
        <f t="shared" ref="R82:R101" si="34">L82-Q82</f>
        <v>37028</v>
      </c>
      <c r="S82" s="126">
        <f>'MSPL-3(Lot)'!M116</f>
        <v>0</v>
      </c>
      <c r="T82" s="126">
        <f t="shared" ref="T82:T101" si="35">L82-S82</f>
        <v>37028</v>
      </c>
      <c r="U82" s="109">
        <f>'MSPL-3(Lot)'!O116</f>
        <v>0</v>
      </c>
      <c r="V82" s="109">
        <f t="shared" ref="V82:V101" si="36">L82-U82</f>
        <v>37028</v>
      </c>
      <c r="W82" s="126">
        <f t="shared" ref="W82:W101" si="37">S82-U82</f>
        <v>0</v>
      </c>
      <c r="X82" s="109">
        <f t="shared" ref="X82:X101" si="38">D82*S82/1000</f>
        <v>0</v>
      </c>
      <c r="Y82" s="109">
        <f t="shared" ref="Y82:Y101" si="39">Q82-S82</f>
        <v>0</v>
      </c>
      <c r="Z82" s="109">
        <f t="shared" ref="Z82:Z101" si="40">D82*L82/1000</f>
        <v>296.22399999999999</v>
      </c>
      <c r="AA82" s="109">
        <f t="shared" ref="AA82:AA101" si="41">Z82/75</f>
        <v>3.949653333333333</v>
      </c>
      <c r="AB82" s="109">
        <f t="shared" ref="AB82:AB101" si="42">D82*Q82/1000/75</f>
        <v>0</v>
      </c>
      <c r="AC82" s="109">
        <f t="shared" ref="AC82:AC101" si="43">AA82-AB82</f>
        <v>3.949653333333333</v>
      </c>
    </row>
    <row r="83" spans="1:29">
      <c r="A83" s="109">
        <v>3</v>
      </c>
      <c r="B83" s="110" t="s">
        <v>56</v>
      </c>
      <c r="C83" s="111" t="s">
        <v>190</v>
      </c>
      <c r="D83" s="112">
        <v>13.5</v>
      </c>
      <c r="E83" s="112"/>
      <c r="F83" s="112">
        <v>37028</v>
      </c>
      <c r="G83" s="112"/>
      <c r="H83" s="112"/>
      <c r="I83" s="112"/>
      <c r="J83" s="112"/>
      <c r="K83" s="112"/>
      <c r="L83" s="112">
        <f t="shared" si="30"/>
        <v>37028</v>
      </c>
      <c r="M83" s="109">
        <v>3.75</v>
      </c>
      <c r="N83" s="109">
        <f t="shared" si="31"/>
        <v>138855</v>
      </c>
      <c r="O83" s="126">
        <f>'MSPL-3(Lot)'!I117</f>
        <v>0</v>
      </c>
      <c r="P83" s="126">
        <f t="shared" si="32"/>
        <v>138855</v>
      </c>
      <c r="Q83" s="109">
        <f t="shared" si="33"/>
        <v>0</v>
      </c>
      <c r="R83" s="109">
        <f t="shared" si="34"/>
        <v>37028</v>
      </c>
      <c r="S83" s="126">
        <f>'MSPL-3(Lot)'!M117</f>
        <v>0</v>
      </c>
      <c r="T83" s="126">
        <f t="shared" si="35"/>
        <v>37028</v>
      </c>
      <c r="U83" s="109">
        <f>'MSPL-3(Lot)'!O117</f>
        <v>0</v>
      </c>
      <c r="V83" s="109">
        <f t="shared" si="36"/>
        <v>37028</v>
      </c>
      <c r="W83" s="126">
        <f t="shared" si="37"/>
        <v>0</v>
      </c>
      <c r="X83" s="109">
        <f t="shared" si="38"/>
        <v>0</v>
      </c>
      <c r="Y83" s="109">
        <f t="shared" si="39"/>
        <v>0</v>
      </c>
      <c r="Z83" s="109">
        <f t="shared" si="40"/>
        <v>499.87799999999999</v>
      </c>
      <c r="AA83" s="109">
        <f t="shared" si="41"/>
        <v>6.6650399999999994</v>
      </c>
      <c r="AB83" s="109">
        <f t="shared" si="42"/>
        <v>0</v>
      </c>
      <c r="AC83" s="109">
        <f t="shared" si="43"/>
        <v>6.6650399999999994</v>
      </c>
    </row>
    <row r="84" spans="1:29">
      <c r="A84" s="109">
        <v>4</v>
      </c>
      <c r="B84" s="110" t="s">
        <v>27</v>
      </c>
      <c r="C84" s="111" t="s">
        <v>190</v>
      </c>
      <c r="D84" s="112">
        <v>14</v>
      </c>
      <c r="E84" s="112"/>
      <c r="F84" s="112">
        <v>37028</v>
      </c>
      <c r="G84" s="112"/>
      <c r="H84" s="112"/>
      <c r="I84" s="112"/>
      <c r="J84" s="112"/>
      <c r="K84" s="112"/>
      <c r="L84" s="112">
        <f t="shared" si="30"/>
        <v>37028</v>
      </c>
      <c r="M84" s="109">
        <v>4</v>
      </c>
      <c r="N84" s="109">
        <f t="shared" si="31"/>
        <v>148112</v>
      </c>
      <c r="O84" s="126">
        <f>'MSPL-3(Lot)'!I118</f>
        <v>0</v>
      </c>
      <c r="P84" s="126">
        <f t="shared" si="32"/>
        <v>148112</v>
      </c>
      <c r="Q84" s="109">
        <f t="shared" si="33"/>
        <v>0</v>
      </c>
      <c r="R84" s="109">
        <f t="shared" si="34"/>
        <v>37028</v>
      </c>
      <c r="S84" s="126">
        <f>'MSPL-3(Lot)'!M118</f>
        <v>0</v>
      </c>
      <c r="T84" s="126">
        <f t="shared" si="35"/>
        <v>37028</v>
      </c>
      <c r="U84" s="109">
        <f>'MSPL-3(Lot)'!O118</f>
        <v>0</v>
      </c>
      <c r="V84" s="109">
        <f t="shared" si="36"/>
        <v>37028</v>
      </c>
      <c r="W84" s="126">
        <f t="shared" si="37"/>
        <v>0</v>
      </c>
      <c r="X84" s="109">
        <f t="shared" si="38"/>
        <v>0</v>
      </c>
      <c r="Y84" s="109">
        <f t="shared" si="39"/>
        <v>0</v>
      </c>
      <c r="Z84" s="109">
        <f t="shared" si="40"/>
        <v>518.39200000000005</v>
      </c>
      <c r="AA84" s="109">
        <f t="shared" si="41"/>
        <v>6.9118933333333343</v>
      </c>
      <c r="AB84" s="109">
        <f t="shared" si="42"/>
        <v>0</v>
      </c>
      <c r="AC84" s="109">
        <f t="shared" si="43"/>
        <v>6.9118933333333343</v>
      </c>
    </row>
    <row r="85" spans="1:29">
      <c r="A85" s="109">
        <v>5</v>
      </c>
      <c r="B85" s="110" t="s">
        <v>41</v>
      </c>
      <c r="C85" s="111" t="s">
        <v>190</v>
      </c>
      <c r="D85" s="112">
        <v>15</v>
      </c>
      <c r="E85" s="112"/>
      <c r="F85" s="112">
        <v>37028</v>
      </c>
      <c r="G85" s="112"/>
      <c r="H85" s="112"/>
      <c r="I85" s="112"/>
      <c r="J85" s="112"/>
      <c r="K85" s="112"/>
      <c r="L85" s="112">
        <f t="shared" si="30"/>
        <v>37028</v>
      </c>
      <c r="M85" s="109">
        <v>4.5</v>
      </c>
      <c r="N85" s="109">
        <f t="shared" si="31"/>
        <v>166626</v>
      </c>
      <c r="O85" s="126">
        <f>'MSPL-3(Lot)'!I119</f>
        <v>0</v>
      </c>
      <c r="P85" s="126">
        <f t="shared" si="32"/>
        <v>166626</v>
      </c>
      <c r="Q85" s="109">
        <f t="shared" si="33"/>
        <v>0</v>
      </c>
      <c r="R85" s="109">
        <f t="shared" si="34"/>
        <v>37028</v>
      </c>
      <c r="S85" s="126">
        <f>'MSPL-3(Lot)'!M119</f>
        <v>0</v>
      </c>
      <c r="T85" s="126">
        <f t="shared" si="35"/>
        <v>37028</v>
      </c>
      <c r="U85" s="109">
        <f>'MSPL-3(Lot)'!O119</f>
        <v>0</v>
      </c>
      <c r="V85" s="109">
        <f t="shared" si="36"/>
        <v>37028</v>
      </c>
      <c r="W85" s="126">
        <f t="shared" si="37"/>
        <v>0</v>
      </c>
      <c r="X85" s="109">
        <f t="shared" si="38"/>
        <v>0</v>
      </c>
      <c r="Y85" s="109">
        <f t="shared" si="39"/>
        <v>0</v>
      </c>
      <c r="Z85" s="109">
        <f t="shared" si="40"/>
        <v>555.41999999999996</v>
      </c>
      <c r="AA85" s="109">
        <f t="shared" si="41"/>
        <v>7.4055999999999997</v>
      </c>
      <c r="AB85" s="109">
        <f t="shared" si="42"/>
        <v>0</v>
      </c>
      <c r="AC85" s="109">
        <f t="shared" si="43"/>
        <v>7.4055999999999997</v>
      </c>
    </row>
    <row r="86" spans="1:29">
      <c r="A86" s="109">
        <v>6</v>
      </c>
      <c r="B86" s="110" t="s">
        <v>31</v>
      </c>
      <c r="C86" s="111" t="s">
        <v>190</v>
      </c>
      <c r="D86" s="112">
        <v>20</v>
      </c>
      <c r="E86" s="112"/>
      <c r="F86" s="112">
        <v>37028</v>
      </c>
      <c r="G86" s="112"/>
      <c r="H86" s="112"/>
      <c r="I86" s="112"/>
      <c r="J86" s="112"/>
      <c r="K86" s="112"/>
      <c r="L86" s="112">
        <f t="shared" si="30"/>
        <v>37028</v>
      </c>
      <c r="M86" s="109">
        <v>5</v>
      </c>
      <c r="N86" s="109">
        <f t="shared" si="31"/>
        <v>185140</v>
      </c>
      <c r="O86" s="126">
        <f>'MSPL-3(Lot)'!I120</f>
        <v>0</v>
      </c>
      <c r="P86" s="126">
        <f t="shared" si="32"/>
        <v>185140</v>
      </c>
      <c r="Q86" s="109">
        <f t="shared" si="33"/>
        <v>0</v>
      </c>
      <c r="R86" s="109">
        <f t="shared" si="34"/>
        <v>37028</v>
      </c>
      <c r="S86" s="126">
        <f>'MSPL-3(Lot)'!M120</f>
        <v>0</v>
      </c>
      <c r="T86" s="126">
        <f t="shared" si="35"/>
        <v>37028</v>
      </c>
      <c r="U86" s="109">
        <f>'MSPL-3(Lot)'!O120</f>
        <v>0</v>
      </c>
      <c r="V86" s="109">
        <f t="shared" si="36"/>
        <v>37028</v>
      </c>
      <c r="W86" s="126">
        <f t="shared" si="37"/>
        <v>0</v>
      </c>
      <c r="X86" s="109">
        <f t="shared" si="38"/>
        <v>0</v>
      </c>
      <c r="Y86" s="109">
        <f t="shared" si="39"/>
        <v>0</v>
      </c>
      <c r="Z86" s="109">
        <f t="shared" si="40"/>
        <v>740.56</v>
      </c>
      <c r="AA86" s="109">
        <f t="shared" si="41"/>
        <v>9.874133333333333</v>
      </c>
      <c r="AB86" s="109">
        <f t="shared" si="42"/>
        <v>0</v>
      </c>
      <c r="AC86" s="109">
        <f t="shared" si="43"/>
        <v>9.874133333333333</v>
      </c>
    </row>
    <row r="87" spans="1:29">
      <c r="A87" s="109">
        <v>7</v>
      </c>
      <c r="B87" s="110" t="s">
        <v>72</v>
      </c>
      <c r="C87" s="111" t="s">
        <v>190</v>
      </c>
      <c r="D87" s="112">
        <v>8.5</v>
      </c>
      <c r="E87" s="112"/>
      <c r="F87" s="112">
        <v>37028</v>
      </c>
      <c r="G87" s="112"/>
      <c r="H87" s="112"/>
      <c r="I87" s="112"/>
      <c r="J87" s="112"/>
      <c r="K87" s="112"/>
      <c r="L87" s="112">
        <f t="shared" si="30"/>
        <v>37028</v>
      </c>
      <c r="M87" s="109">
        <v>2.25</v>
      </c>
      <c r="N87" s="109">
        <f t="shared" si="31"/>
        <v>83313</v>
      </c>
      <c r="O87" s="126">
        <f>'MSPL-3(Lot)'!I121</f>
        <v>0</v>
      </c>
      <c r="P87" s="126">
        <f t="shared" si="32"/>
        <v>83313</v>
      </c>
      <c r="Q87" s="109">
        <f t="shared" si="33"/>
        <v>0</v>
      </c>
      <c r="R87" s="109">
        <f t="shared" si="34"/>
        <v>37028</v>
      </c>
      <c r="S87" s="126">
        <f>'MSPL-3(Lot)'!M121</f>
        <v>0</v>
      </c>
      <c r="T87" s="126">
        <f t="shared" si="35"/>
        <v>37028</v>
      </c>
      <c r="U87" s="109">
        <f>'MSPL-3(Lot)'!O121</f>
        <v>0</v>
      </c>
      <c r="V87" s="109">
        <f t="shared" si="36"/>
        <v>37028</v>
      </c>
      <c r="W87" s="126">
        <f t="shared" si="37"/>
        <v>0</v>
      </c>
      <c r="X87" s="109">
        <f t="shared" si="38"/>
        <v>0</v>
      </c>
      <c r="Y87" s="109">
        <f>Q87-S87</f>
        <v>0</v>
      </c>
      <c r="Z87" s="109">
        <f t="shared" si="40"/>
        <v>314.738</v>
      </c>
      <c r="AA87" s="109">
        <f t="shared" si="41"/>
        <v>4.1965066666666671</v>
      </c>
      <c r="AB87" s="109">
        <f t="shared" si="42"/>
        <v>0</v>
      </c>
      <c r="AC87" s="109">
        <f t="shared" si="43"/>
        <v>4.1965066666666671</v>
      </c>
    </row>
    <row r="88" spans="1:29">
      <c r="A88" s="109">
        <v>8</v>
      </c>
      <c r="B88" s="110" t="s">
        <v>32</v>
      </c>
      <c r="C88" s="111" t="s">
        <v>190</v>
      </c>
      <c r="D88" s="112">
        <v>17</v>
      </c>
      <c r="E88" s="112"/>
      <c r="F88" s="112">
        <v>37028</v>
      </c>
      <c r="G88" s="112"/>
      <c r="H88" s="112"/>
      <c r="I88" s="112"/>
      <c r="J88" s="112"/>
      <c r="K88" s="112"/>
      <c r="L88" s="112">
        <f t="shared" si="30"/>
        <v>37028</v>
      </c>
      <c r="M88" s="109">
        <v>4.5</v>
      </c>
      <c r="N88" s="109">
        <f t="shared" si="31"/>
        <v>166626</v>
      </c>
      <c r="O88" s="126">
        <f>'MSPL-3(Lot)'!I122</f>
        <v>0</v>
      </c>
      <c r="P88" s="126">
        <f t="shared" si="32"/>
        <v>166626</v>
      </c>
      <c r="Q88" s="109">
        <f t="shared" si="33"/>
        <v>0</v>
      </c>
      <c r="R88" s="109">
        <f t="shared" si="34"/>
        <v>37028</v>
      </c>
      <c r="S88" s="126">
        <f>'MSPL-3(Lot)'!M122</f>
        <v>0</v>
      </c>
      <c r="T88" s="126">
        <f t="shared" si="35"/>
        <v>37028</v>
      </c>
      <c r="U88" s="109">
        <f>'MSPL-3(Lot)'!O122</f>
        <v>0</v>
      </c>
      <c r="V88" s="109">
        <f t="shared" si="36"/>
        <v>37028</v>
      </c>
      <c r="W88" s="126">
        <f t="shared" si="37"/>
        <v>0</v>
      </c>
      <c r="X88" s="109">
        <f t="shared" si="38"/>
        <v>0</v>
      </c>
      <c r="Y88" s="109">
        <f t="shared" si="39"/>
        <v>0</v>
      </c>
      <c r="Z88" s="109">
        <f t="shared" si="40"/>
        <v>629.476</v>
      </c>
      <c r="AA88" s="109">
        <f t="shared" si="41"/>
        <v>8.3930133333333341</v>
      </c>
      <c r="AB88" s="109">
        <f t="shared" si="42"/>
        <v>0</v>
      </c>
      <c r="AC88" s="109">
        <f t="shared" si="43"/>
        <v>8.3930133333333341</v>
      </c>
    </row>
    <row r="89" spans="1:29">
      <c r="A89" s="109">
        <v>9</v>
      </c>
      <c r="B89" s="110" t="s">
        <v>73</v>
      </c>
      <c r="C89" s="111" t="s">
        <v>190</v>
      </c>
      <c r="D89" s="112">
        <v>9</v>
      </c>
      <c r="E89" s="112"/>
      <c r="F89" s="112">
        <v>37028</v>
      </c>
      <c r="G89" s="112"/>
      <c r="H89" s="112"/>
      <c r="I89" s="112"/>
      <c r="J89" s="112"/>
      <c r="K89" s="112"/>
      <c r="L89" s="112">
        <f t="shared" si="30"/>
        <v>37028</v>
      </c>
      <c r="M89" s="109">
        <v>4.5</v>
      </c>
      <c r="N89" s="109">
        <f t="shared" si="31"/>
        <v>166626</v>
      </c>
      <c r="O89" s="126">
        <f>'MSPL-3(Lot)'!I123</f>
        <v>0</v>
      </c>
      <c r="P89" s="126">
        <f t="shared" si="32"/>
        <v>166626</v>
      </c>
      <c r="Q89" s="109">
        <f t="shared" si="33"/>
        <v>0</v>
      </c>
      <c r="R89" s="109">
        <f t="shared" si="34"/>
        <v>37028</v>
      </c>
      <c r="S89" s="126">
        <f>'MSPL-3(Lot)'!M123</f>
        <v>0</v>
      </c>
      <c r="T89" s="126">
        <f t="shared" si="35"/>
        <v>37028</v>
      </c>
      <c r="U89" s="109">
        <f>'MSPL-3(Lot)'!O123</f>
        <v>0</v>
      </c>
      <c r="V89" s="109">
        <f t="shared" si="36"/>
        <v>37028</v>
      </c>
      <c r="W89" s="126">
        <f t="shared" si="37"/>
        <v>0</v>
      </c>
      <c r="X89" s="109">
        <f t="shared" si="38"/>
        <v>0</v>
      </c>
      <c r="Y89" s="109">
        <f t="shared" si="39"/>
        <v>0</v>
      </c>
      <c r="Z89" s="109">
        <f t="shared" si="40"/>
        <v>333.25200000000001</v>
      </c>
      <c r="AA89" s="109">
        <f t="shared" si="41"/>
        <v>4.4433600000000002</v>
      </c>
      <c r="AB89" s="109">
        <f t="shared" si="42"/>
        <v>0</v>
      </c>
      <c r="AC89" s="109">
        <f t="shared" si="43"/>
        <v>4.4433600000000002</v>
      </c>
    </row>
    <row r="90" spans="1:29">
      <c r="A90" s="109">
        <v>10</v>
      </c>
      <c r="B90" s="110" t="s">
        <v>74</v>
      </c>
      <c r="C90" s="111" t="s">
        <v>190</v>
      </c>
      <c r="D90" s="112">
        <v>8.5</v>
      </c>
      <c r="E90" s="112"/>
      <c r="F90" s="112">
        <v>0</v>
      </c>
      <c r="G90" s="112"/>
      <c r="H90" s="112"/>
      <c r="I90" s="112"/>
      <c r="J90" s="112"/>
      <c r="K90" s="112"/>
      <c r="L90" s="112">
        <f t="shared" si="30"/>
        <v>0</v>
      </c>
      <c r="M90" s="109">
        <v>2.25</v>
      </c>
      <c r="N90" s="109">
        <f t="shared" si="31"/>
        <v>0</v>
      </c>
      <c r="O90" s="126">
        <f>'MSPL-3(Lot)'!I124</f>
        <v>0</v>
      </c>
      <c r="P90" s="126">
        <f t="shared" si="32"/>
        <v>0</v>
      </c>
      <c r="Q90" s="109">
        <f t="shared" si="33"/>
        <v>0</v>
      </c>
      <c r="R90" s="109">
        <f t="shared" si="34"/>
        <v>0</v>
      </c>
      <c r="S90" s="126">
        <f>'MSPL-3(Lot)'!M124</f>
        <v>0</v>
      </c>
      <c r="T90" s="126">
        <f t="shared" si="35"/>
        <v>0</v>
      </c>
      <c r="U90" s="109">
        <f>'MSPL-3(Lot)'!O124</f>
        <v>0</v>
      </c>
      <c r="V90" s="109">
        <f t="shared" si="36"/>
        <v>0</v>
      </c>
      <c r="W90" s="126">
        <f t="shared" si="37"/>
        <v>0</v>
      </c>
      <c r="X90" s="109">
        <f t="shared" si="38"/>
        <v>0</v>
      </c>
      <c r="Y90" s="109">
        <f t="shared" si="39"/>
        <v>0</v>
      </c>
      <c r="Z90" s="109">
        <f t="shared" si="40"/>
        <v>0</v>
      </c>
      <c r="AA90" s="109">
        <f t="shared" si="41"/>
        <v>0</v>
      </c>
      <c r="AB90" s="109">
        <f t="shared" si="42"/>
        <v>0</v>
      </c>
      <c r="AC90" s="109">
        <f t="shared" si="43"/>
        <v>0</v>
      </c>
    </row>
    <row r="91" spans="1:29" s="43" customFormat="1">
      <c r="A91" s="109">
        <v>11</v>
      </c>
      <c r="B91" s="110" t="s">
        <v>43</v>
      </c>
      <c r="C91" s="111" t="s">
        <v>190</v>
      </c>
      <c r="D91" s="112">
        <v>9</v>
      </c>
      <c r="E91" s="112"/>
      <c r="F91" s="112">
        <v>955</v>
      </c>
      <c r="G91" s="112"/>
      <c r="H91" s="112"/>
      <c r="I91" s="112"/>
      <c r="J91" s="112"/>
      <c r="K91" s="112"/>
      <c r="L91" s="112">
        <f t="shared" si="30"/>
        <v>955</v>
      </c>
      <c r="M91" s="109">
        <v>2.5</v>
      </c>
      <c r="N91" s="109">
        <f t="shared" si="31"/>
        <v>2387.5</v>
      </c>
      <c r="O91" s="126">
        <f>'MSPL-3(Lot)'!I125</f>
        <v>0</v>
      </c>
      <c r="P91" s="126">
        <f t="shared" si="32"/>
        <v>2387.5</v>
      </c>
      <c r="Q91" s="109">
        <f t="shared" si="33"/>
        <v>0</v>
      </c>
      <c r="R91" s="109">
        <f t="shared" si="34"/>
        <v>955</v>
      </c>
      <c r="S91" s="126">
        <f>'MSPL-3(Lot)'!M125</f>
        <v>0</v>
      </c>
      <c r="T91" s="126">
        <f t="shared" si="35"/>
        <v>955</v>
      </c>
      <c r="U91" s="109">
        <f>'MSPL-3(Lot)'!O125</f>
        <v>0</v>
      </c>
      <c r="V91" s="109">
        <f t="shared" si="36"/>
        <v>955</v>
      </c>
      <c r="W91" s="126">
        <f t="shared" si="37"/>
        <v>0</v>
      </c>
      <c r="X91" s="109">
        <f t="shared" si="38"/>
        <v>0</v>
      </c>
      <c r="Y91" s="109">
        <f t="shared" si="39"/>
        <v>0</v>
      </c>
      <c r="Z91" s="109">
        <f t="shared" si="40"/>
        <v>8.5950000000000006</v>
      </c>
      <c r="AA91" s="109">
        <f t="shared" si="41"/>
        <v>0.11460000000000001</v>
      </c>
      <c r="AB91" s="109">
        <f t="shared" si="42"/>
        <v>0</v>
      </c>
      <c r="AC91" s="109">
        <f t="shared" si="43"/>
        <v>0.11460000000000001</v>
      </c>
    </row>
    <row r="92" spans="1:29">
      <c r="A92" s="109">
        <v>12</v>
      </c>
      <c r="B92" s="110" t="s">
        <v>47</v>
      </c>
      <c r="C92" s="111" t="s">
        <v>190</v>
      </c>
      <c r="D92" s="112">
        <v>14</v>
      </c>
      <c r="E92" s="112"/>
      <c r="F92" s="112">
        <v>32437</v>
      </c>
      <c r="G92" s="112"/>
      <c r="H92" s="112"/>
      <c r="I92" s="112"/>
      <c r="J92" s="112"/>
      <c r="K92" s="112"/>
      <c r="L92" s="112">
        <f t="shared" si="30"/>
        <v>32437</v>
      </c>
      <c r="M92" s="109">
        <v>4</v>
      </c>
      <c r="N92" s="109">
        <f t="shared" si="31"/>
        <v>129748</v>
      </c>
      <c r="O92" s="126">
        <f>'MSPL-3(Lot)'!I126</f>
        <v>0</v>
      </c>
      <c r="P92" s="126">
        <f t="shared" si="32"/>
        <v>129748</v>
      </c>
      <c r="Q92" s="109">
        <f t="shared" si="33"/>
        <v>0</v>
      </c>
      <c r="R92" s="109">
        <f t="shared" si="34"/>
        <v>32437</v>
      </c>
      <c r="S92" s="126">
        <f>'MSPL-3(Lot)'!M126</f>
        <v>0</v>
      </c>
      <c r="T92" s="126">
        <f t="shared" si="35"/>
        <v>32437</v>
      </c>
      <c r="U92" s="109">
        <f>'MSPL-3(Lot)'!O126</f>
        <v>0</v>
      </c>
      <c r="V92" s="109">
        <f t="shared" si="36"/>
        <v>32437</v>
      </c>
      <c r="W92" s="126">
        <f t="shared" si="37"/>
        <v>0</v>
      </c>
      <c r="X92" s="109">
        <f t="shared" si="38"/>
        <v>0</v>
      </c>
      <c r="Y92" s="109">
        <f t="shared" si="39"/>
        <v>0</v>
      </c>
      <c r="Z92" s="109">
        <f t="shared" si="40"/>
        <v>454.11799999999999</v>
      </c>
      <c r="AA92" s="109">
        <f t="shared" si="41"/>
        <v>6.0549066666666667</v>
      </c>
      <c r="AB92" s="109">
        <f t="shared" si="42"/>
        <v>0</v>
      </c>
      <c r="AC92" s="109">
        <f t="shared" si="43"/>
        <v>6.0549066666666667</v>
      </c>
    </row>
    <row r="93" spans="1:29">
      <c r="A93" s="109">
        <v>13</v>
      </c>
      <c r="B93" s="110" t="s">
        <v>193</v>
      </c>
      <c r="C93" s="111" t="s">
        <v>190</v>
      </c>
      <c r="D93" s="112">
        <v>17</v>
      </c>
      <c r="E93" s="112"/>
      <c r="F93" s="112">
        <v>3636</v>
      </c>
      <c r="G93" s="112"/>
      <c r="H93" s="112"/>
      <c r="I93" s="112"/>
      <c r="J93" s="112"/>
      <c r="K93" s="112"/>
      <c r="L93" s="112">
        <f t="shared" si="30"/>
        <v>3636</v>
      </c>
      <c r="M93" s="109">
        <v>4.5</v>
      </c>
      <c r="N93" s="109">
        <f t="shared" si="31"/>
        <v>16362</v>
      </c>
      <c r="O93" s="126">
        <f>'MSPL-3(Lot)'!I127</f>
        <v>0</v>
      </c>
      <c r="P93" s="126">
        <f t="shared" si="32"/>
        <v>16362</v>
      </c>
      <c r="Q93" s="109">
        <f t="shared" si="33"/>
        <v>0</v>
      </c>
      <c r="R93" s="109">
        <f t="shared" si="34"/>
        <v>3636</v>
      </c>
      <c r="S93" s="126">
        <f>'MSPL-3(Lot)'!M127</f>
        <v>0</v>
      </c>
      <c r="T93" s="126">
        <f t="shared" si="35"/>
        <v>3636</v>
      </c>
      <c r="U93" s="109">
        <f>'MSPL-3(Lot)'!O127</f>
        <v>0</v>
      </c>
      <c r="V93" s="109">
        <f t="shared" si="36"/>
        <v>3636</v>
      </c>
      <c r="W93" s="126">
        <f t="shared" si="37"/>
        <v>0</v>
      </c>
      <c r="X93" s="109">
        <f t="shared" si="38"/>
        <v>0</v>
      </c>
      <c r="Y93" s="109">
        <f t="shared" si="39"/>
        <v>0</v>
      </c>
      <c r="Z93" s="109">
        <f t="shared" si="40"/>
        <v>61.811999999999998</v>
      </c>
      <c r="AA93" s="109">
        <f t="shared" si="41"/>
        <v>0.82416</v>
      </c>
      <c r="AB93" s="109">
        <f t="shared" si="42"/>
        <v>0</v>
      </c>
      <c r="AC93" s="109">
        <f t="shared" si="43"/>
        <v>0.82416</v>
      </c>
    </row>
    <row r="94" spans="1:29">
      <c r="A94" s="109">
        <v>14</v>
      </c>
      <c r="B94" s="110" t="s">
        <v>48</v>
      </c>
      <c r="C94" s="111" t="s">
        <v>190</v>
      </c>
      <c r="D94" s="112">
        <v>14.5</v>
      </c>
      <c r="E94" s="112"/>
      <c r="F94" s="112">
        <v>28103</v>
      </c>
      <c r="G94" s="112"/>
      <c r="H94" s="112"/>
      <c r="I94" s="112"/>
      <c r="J94" s="112"/>
      <c r="K94" s="112"/>
      <c r="L94" s="112">
        <f t="shared" si="30"/>
        <v>28103</v>
      </c>
      <c r="M94" s="109">
        <v>4.25</v>
      </c>
      <c r="N94" s="109">
        <f t="shared" si="31"/>
        <v>119437.75</v>
      </c>
      <c r="O94" s="126">
        <f>'MSPL-3(Lot)'!I128</f>
        <v>0</v>
      </c>
      <c r="P94" s="126">
        <f t="shared" si="32"/>
        <v>119437.75</v>
      </c>
      <c r="Q94" s="109">
        <f t="shared" si="33"/>
        <v>0</v>
      </c>
      <c r="R94" s="109">
        <f t="shared" si="34"/>
        <v>28103</v>
      </c>
      <c r="S94" s="126">
        <f>'MSPL-3(Lot)'!M128</f>
        <v>0</v>
      </c>
      <c r="T94" s="126">
        <f t="shared" si="35"/>
        <v>28103</v>
      </c>
      <c r="U94" s="109">
        <f>'MSPL-3(Lot)'!O128</f>
        <v>0</v>
      </c>
      <c r="V94" s="109">
        <f t="shared" si="36"/>
        <v>28103</v>
      </c>
      <c r="W94" s="126">
        <f t="shared" si="37"/>
        <v>0</v>
      </c>
      <c r="X94" s="109">
        <f t="shared" si="38"/>
        <v>0</v>
      </c>
      <c r="Y94" s="109">
        <f t="shared" si="39"/>
        <v>0</v>
      </c>
      <c r="Z94" s="109">
        <f t="shared" si="40"/>
        <v>407.49349999999998</v>
      </c>
      <c r="AA94" s="109">
        <f t="shared" si="41"/>
        <v>5.4332466666666663</v>
      </c>
      <c r="AB94" s="109">
        <f t="shared" si="42"/>
        <v>0</v>
      </c>
      <c r="AC94" s="109">
        <f t="shared" si="43"/>
        <v>5.4332466666666663</v>
      </c>
    </row>
    <row r="95" spans="1:29" s="43" customFormat="1">
      <c r="A95" s="109">
        <v>15</v>
      </c>
      <c r="B95" s="110" t="s">
        <v>49</v>
      </c>
      <c r="C95" s="111" t="s">
        <v>190</v>
      </c>
      <c r="D95" s="112">
        <v>11</v>
      </c>
      <c r="E95" s="112"/>
      <c r="F95" s="112">
        <v>8901</v>
      </c>
      <c r="G95" s="112"/>
      <c r="H95" s="112"/>
      <c r="I95" s="112"/>
      <c r="J95" s="112"/>
      <c r="K95" s="112"/>
      <c r="L95" s="112">
        <f t="shared" si="30"/>
        <v>8901</v>
      </c>
      <c r="M95" s="109">
        <v>3.5</v>
      </c>
      <c r="N95" s="109">
        <f t="shared" si="31"/>
        <v>31153.5</v>
      </c>
      <c r="O95" s="126">
        <f>'MSPL-3(Lot)'!I129</f>
        <v>0</v>
      </c>
      <c r="P95" s="126">
        <f t="shared" si="32"/>
        <v>31153.5</v>
      </c>
      <c r="Q95" s="109">
        <f t="shared" si="33"/>
        <v>0</v>
      </c>
      <c r="R95" s="109">
        <f t="shared" si="34"/>
        <v>8901</v>
      </c>
      <c r="S95" s="126">
        <f>'MSPL-3(Lot)'!M129</f>
        <v>0</v>
      </c>
      <c r="T95" s="126">
        <f t="shared" si="35"/>
        <v>8901</v>
      </c>
      <c r="U95" s="109">
        <f>'MSPL-3(Lot)'!O129</f>
        <v>0</v>
      </c>
      <c r="V95" s="109">
        <f t="shared" si="36"/>
        <v>8901</v>
      </c>
      <c r="W95" s="126">
        <f t="shared" si="37"/>
        <v>0</v>
      </c>
      <c r="X95" s="109">
        <f t="shared" si="38"/>
        <v>0</v>
      </c>
      <c r="Y95" s="109">
        <f t="shared" si="39"/>
        <v>0</v>
      </c>
      <c r="Z95" s="109">
        <f t="shared" si="40"/>
        <v>97.911000000000001</v>
      </c>
      <c r="AA95" s="109">
        <f t="shared" si="41"/>
        <v>1.30548</v>
      </c>
      <c r="AB95" s="109">
        <f t="shared" si="42"/>
        <v>0</v>
      </c>
      <c r="AC95" s="109">
        <f t="shared" si="43"/>
        <v>1.30548</v>
      </c>
    </row>
    <row r="96" spans="1:29">
      <c r="A96" s="109">
        <v>16</v>
      </c>
      <c r="B96" s="110" t="s">
        <v>76</v>
      </c>
      <c r="C96" s="111" t="s">
        <v>190</v>
      </c>
      <c r="D96" s="112">
        <v>12.5</v>
      </c>
      <c r="E96" s="112"/>
      <c r="F96" s="112">
        <v>31</v>
      </c>
      <c r="G96" s="112"/>
      <c r="H96" s="112"/>
      <c r="I96" s="112"/>
      <c r="J96" s="112"/>
      <c r="K96" s="112"/>
      <c r="L96" s="112">
        <f t="shared" si="30"/>
        <v>31</v>
      </c>
      <c r="M96" s="109">
        <v>3.25</v>
      </c>
      <c r="N96" s="109">
        <f t="shared" si="31"/>
        <v>100.75</v>
      </c>
      <c r="O96" s="126">
        <f>'MSPL-3(Lot)'!I130</f>
        <v>0</v>
      </c>
      <c r="P96" s="126">
        <f t="shared" si="32"/>
        <v>100.75</v>
      </c>
      <c r="Q96" s="109">
        <f t="shared" si="33"/>
        <v>0</v>
      </c>
      <c r="R96" s="109">
        <f t="shared" si="34"/>
        <v>31</v>
      </c>
      <c r="S96" s="126">
        <f>'MSPL-3(Lot)'!M130</f>
        <v>0</v>
      </c>
      <c r="T96" s="126">
        <f t="shared" si="35"/>
        <v>31</v>
      </c>
      <c r="U96" s="109">
        <f>'MSPL-3(Lot)'!O130</f>
        <v>0</v>
      </c>
      <c r="V96" s="109">
        <f t="shared" si="36"/>
        <v>31</v>
      </c>
      <c r="W96" s="126">
        <f t="shared" si="37"/>
        <v>0</v>
      </c>
      <c r="X96" s="109">
        <f t="shared" si="38"/>
        <v>0</v>
      </c>
      <c r="Y96" s="109">
        <f t="shared" si="39"/>
        <v>0</v>
      </c>
      <c r="Z96" s="109">
        <f t="shared" si="40"/>
        <v>0.38750000000000001</v>
      </c>
      <c r="AA96" s="109">
        <f t="shared" si="41"/>
        <v>5.1666666666666666E-3</v>
      </c>
      <c r="AB96" s="109">
        <f t="shared" si="42"/>
        <v>0</v>
      </c>
      <c r="AC96" s="109">
        <f t="shared" si="43"/>
        <v>5.1666666666666666E-3</v>
      </c>
    </row>
    <row r="97" spans="1:29" s="43" customFormat="1">
      <c r="A97" s="109">
        <v>17</v>
      </c>
      <c r="B97" s="110" t="s">
        <v>51</v>
      </c>
      <c r="C97" s="111" t="s">
        <v>190</v>
      </c>
      <c r="D97" s="112">
        <v>13.5</v>
      </c>
      <c r="E97" s="112"/>
      <c r="F97" s="112">
        <v>7</v>
      </c>
      <c r="G97" s="112"/>
      <c r="H97" s="112"/>
      <c r="I97" s="112"/>
      <c r="J97" s="112"/>
      <c r="K97" s="112"/>
      <c r="L97" s="112">
        <f t="shared" si="30"/>
        <v>7</v>
      </c>
      <c r="M97" s="109">
        <v>3.75</v>
      </c>
      <c r="N97" s="109">
        <f t="shared" si="31"/>
        <v>26.25</v>
      </c>
      <c r="O97" s="126">
        <f>'MSPL-3(Lot)'!I131</f>
        <v>0</v>
      </c>
      <c r="P97" s="126">
        <f t="shared" si="32"/>
        <v>26.25</v>
      </c>
      <c r="Q97" s="109">
        <f t="shared" si="33"/>
        <v>0</v>
      </c>
      <c r="R97" s="109">
        <f t="shared" si="34"/>
        <v>7</v>
      </c>
      <c r="S97" s="126">
        <f>'MSPL-3(Lot)'!M131</f>
        <v>0</v>
      </c>
      <c r="T97" s="126">
        <f t="shared" si="35"/>
        <v>7</v>
      </c>
      <c r="U97" s="109">
        <f>'MSPL-3(Lot)'!O131</f>
        <v>0</v>
      </c>
      <c r="V97" s="109">
        <f t="shared" si="36"/>
        <v>7</v>
      </c>
      <c r="W97" s="126">
        <f t="shared" si="37"/>
        <v>0</v>
      </c>
      <c r="X97" s="109">
        <f t="shared" si="38"/>
        <v>0</v>
      </c>
      <c r="Y97" s="109">
        <f t="shared" si="39"/>
        <v>0</v>
      </c>
      <c r="Z97" s="109">
        <f t="shared" si="40"/>
        <v>9.4500000000000001E-2</v>
      </c>
      <c r="AA97" s="109">
        <f t="shared" si="41"/>
        <v>1.2600000000000001E-3</v>
      </c>
      <c r="AB97" s="109">
        <f t="shared" si="42"/>
        <v>0</v>
      </c>
      <c r="AC97" s="109">
        <f t="shared" si="43"/>
        <v>1.2600000000000001E-3</v>
      </c>
    </row>
    <row r="98" spans="1:29">
      <c r="A98" s="109">
        <v>18</v>
      </c>
      <c r="B98" s="110" t="s">
        <v>112</v>
      </c>
      <c r="C98" s="111" t="s">
        <v>190</v>
      </c>
      <c r="D98" s="112">
        <v>7</v>
      </c>
      <c r="E98" s="112"/>
      <c r="F98" s="112">
        <v>0</v>
      </c>
      <c r="G98" s="112"/>
      <c r="H98" s="112"/>
      <c r="I98" s="112"/>
      <c r="J98" s="112"/>
      <c r="K98" s="112"/>
      <c r="L98" s="112">
        <f t="shared" si="30"/>
        <v>0</v>
      </c>
      <c r="M98" s="109">
        <v>2.5</v>
      </c>
      <c r="N98" s="109">
        <f t="shared" si="31"/>
        <v>0</v>
      </c>
      <c r="O98" s="126">
        <f>'MSPL-3(Lot)'!I132</f>
        <v>0</v>
      </c>
      <c r="P98" s="126">
        <f t="shared" si="32"/>
        <v>0</v>
      </c>
      <c r="Q98" s="109">
        <f t="shared" si="33"/>
        <v>0</v>
      </c>
      <c r="R98" s="109">
        <f t="shared" si="34"/>
        <v>0</v>
      </c>
      <c r="S98" s="126">
        <f>'MSPL-3(Lot)'!M132</f>
        <v>0</v>
      </c>
      <c r="T98" s="126">
        <f t="shared" si="35"/>
        <v>0</v>
      </c>
      <c r="U98" s="109">
        <f>'MSPL-3(Lot)'!O132</f>
        <v>0</v>
      </c>
      <c r="V98" s="109">
        <f t="shared" si="36"/>
        <v>0</v>
      </c>
      <c r="W98" s="126">
        <f t="shared" si="37"/>
        <v>0</v>
      </c>
      <c r="X98" s="109">
        <f t="shared" si="38"/>
        <v>0</v>
      </c>
      <c r="Y98" s="109">
        <f t="shared" si="39"/>
        <v>0</v>
      </c>
      <c r="Z98" s="109">
        <f t="shared" si="40"/>
        <v>0</v>
      </c>
      <c r="AA98" s="109">
        <f t="shared" si="41"/>
        <v>0</v>
      </c>
      <c r="AB98" s="109">
        <f t="shared" si="42"/>
        <v>0</v>
      </c>
      <c r="AC98" s="109">
        <f t="shared" si="43"/>
        <v>0</v>
      </c>
    </row>
    <row r="99" spans="1:29" s="43" customFormat="1">
      <c r="A99" s="109">
        <v>19</v>
      </c>
      <c r="B99" s="110" t="s">
        <v>217</v>
      </c>
      <c r="C99" s="111" t="s">
        <v>190</v>
      </c>
      <c r="D99" s="112">
        <v>14.5</v>
      </c>
      <c r="E99" s="112"/>
      <c r="F99" s="112">
        <v>0</v>
      </c>
      <c r="G99" s="112"/>
      <c r="H99" s="112"/>
      <c r="I99" s="112"/>
      <c r="J99" s="112"/>
      <c r="K99" s="112"/>
      <c r="L99" s="112">
        <f t="shared" si="30"/>
        <v>0</v>
      </c>
      <c r="M99" s="109">
        <v>4.25</v>
      </c>
      <c r="N99" s="109">
        <f t="shared" si="31"/>
        <v>0</v>
      </c>
      <c r="O99" s="126">
        <f>'MSPL-3(Lot)'!I133</f>
        <v>0</v>
      </c>
      <c r="P99" s="126">
        <f t="shared" si="32"/>
        <v>0</v>
      </c>
      <c r="Q99" s="109">
        <f t="shared" si="33"/>
        <v>0</v>
      </c>
      <c r="R99" s="109">
        <f t="shared" si="34"/>
        <v>0</v>
      </c>
      <c r="S99" s="126">
        <f>'MSPL-3(Lot)'!M133</f>
        <v>0</v>
      </c>
      <c r="T99" s="126">
        <f t="shared" si="35"/>
        <v>0</v>
      </c>
      <c r="U99" s="109">
        <f>'MSPL-3(Lot)'!O133</f>
        <v>0</v>
      </c>
      <c r="V99" s="109">
        <f t="shared" si="36"/>
        <v>0</v>
      </c>
      <c r="W99" s="126">
        <f t="shared" si="37"/>
        <v>0</v>
      </c>
      <c r="X99" s="109">
        <f t="shared" si="38"/>
        <v>0</v>
      </c>
      <c r="Y99" s="109">
        <f t="shared" si="39"/>
        <v>0</v>
      </c>
      <c r="Z99" s="109">
        <f t="shared" si="40"/>
        <v>0</v>
      </c>
      <c r="AA99" s="109">
        <f t="shared" si="41"/>
        <v>0</v>
      </c>
      <c r="AB99" s="109">
        <f t="shared" si="42"/>
        <v>0</v>
      </c>
      <c r="AC99" s="109">
        <f t="shared" si="43"/>
        <v>0</v>
      </c>
    </row>
    <row r="100" spans="1:29" s="43" customFormat="1">
      <c r="A100" s="109">
        <v>20</v>
      </c>
      <c r="B100" s="110" t="s">
        <v>149</v>
      </c>
      <c r="C100" s="111" t="s">
        <v>190</v>
      </c>
      <c r="D100" s="112">
        <v>7.5</v>
      </c>
      <c r="E100" s="112"/>
      <c r="F100" s="112">
        <v>0</v>
      </c>
      <c r="G100" s="112"/>
      <c r="H100" s="112"/>
      <c r="I100" s="112"/>
      <c r="J100" s="112"/>
      <c r="K100" s="112"/>
      <c r="L100" s="112">
        <f t="shared" si="30"/>
        <v>0</v>
      </c>
      <c r="M100" s="109">
        <v>2.75</v>
      </c>
      <c r="N100" s="109">
        <f t="shared" si="31"/>
        <v>0</v>
      </c>
      <c r="O100" s="126">
        <f>'MSPL-3(Lot)'!I134</f>
        <v>0</v>
      </c>
      <c r="P100" s="126">
        <f t="shared" si="32"/>
        <v>0</v>
      </c>
      <c r="Q100" s="109">
        <f t="shared" si="33"/>
        <v>0</v>
      </c>
      <c r="R100" s="109">
        <f t="shared" si="34"/>
        <v>0</v>
      </c>
      <c r="S100" s="126">
        <f>'MSPL-3(Lot)'!M134</f>
        <v>0</v>
      </c>
      <c r="T100" s="126">
        <f t="shared" si="35"/>
        <v>0</v>
      </c>
      <c r="U100" s="109">
        <f>'MSPL-3(Lot)'!O134</f>
        <v>0</v>
      </c>
      <c r="V100" s="109">
        <f t="shared" si="36"/>
        <v>0</v>
      </c>
      <c r="W100" s="126">
        <f t="shared" si="37"/>
        <v>0</v>
      </c>
      <c r="X100" s="109">
        <f t="shared" si="38"/>
        <v>0</v>
      </c>
      <c r="Y100" s="109">
        <f t="shared" si="39"/>
        <v>0</v>
      </c>
      <c r="Z100" s="109">
        <f t="shared" si="40"/>
        <v>0</v>
      </c>
      <c r="AA100" s="109">
        <f t="shared" si="41"/>
        <v>0</v>
      </c>
      <c r="AB100" s="109">
        <f t="shared" si="42"/>
        <v>0</v>
      </c>
      <c r="AC100" s="109">
        <f t="shared" si="43"/>
        <v>0</v>
      </c>
    </row>
    <row r="101" spans="1:29" s="43" customFormat="1">
      <c r="A101" s="109">
        <v>21</v>
      </c>
      <c r="B101" s="110" t="s">
        <v>99</v>
      </c>
      <c r="C101" s="111" t="s">
        <v>190</v>
      </c>
      <c r="D101" s="112">
        <v>12.5</v>
      </c>
      <c r="E101" s="112"/>
      <c r="F101" s="112">
        <v>0</v>
      </c>
      <c r="G101" s="112"/>
      <c r="H101" s="112"/>
      <c r="I101" s="112"/>
      <c r="J101" s="112"/>
      <c r="K101" s="112"/>
      <c r="L101" s="112">
        <f t="shared" si="30"/>
        <v>0</v>
      </c>
      <c r="M101" s="109">
        <v>3.25</v>
      </c>
      <c r="N101" s="109">
        <f t="shared" si="31"/>
        <v>0</v>
      </c>
      <c r="O101" s="126">
        <f>'MSPL-3(Lot)'!I135</f>
        <v>0</v>
      </c>
      <c r="P101" s="126">
        <f t="shared" si="32"/>
        <v>0</v>
      </c>
      <c r="Q101" s="109">
        <f t="shared" si="33"/>
        <v>0</v>
      </c>
      <c r="R101" s="109">
        <f t="shared" si="34"/>
        <v>0</v>
      </c>
      <c r="S101" s="126">
        <f>'MSPL-3(Lot)'!M135</f>
        <v>0</v>
      </c>
      <c r="T101" s="126">
        <f t="shared" si="35"/>
        <v>0</v>
      </c>
      <c r="U101" s="109">
        <f>'MSPL-3(Lot)'!O135</f>
        <v>0</v>
      </c>
      <c r="V101" s="109">
        <f t="shared" si="36"/>
        <v>0</v>
      </c>
      <c r="W101" s="126">
        <f t="shared" si="37"/>
        <v>0</v>
      </c>
      <c r="X101" s="109">
        <f t="shared" si="38"/>
        <v>0</v>
      </c>
      <c r="Y101" s="109">
        <f t="shared" si="39"/>
        <v>0</v>
      </c>
      <c r="Z101" s="109">
        <f t="shared" si="40"/>
        <v>0</v>
      </c>
      <c r="AA101" s="109">
        <f t="shared" si="41"/>
        <v>0</v>
      </c>
      <c r="AB101" s="109">
        <f t="shared" si="42"/>
        <v>0</v>
      </c>
      <c r="AC101" s="109">
        <f t="shared" si="43"/>
        <v>0</v>
      </c>
    </row>
    <row r="102" spans="1:29">
      <c r="A102" s="467" t="s">
        <v>67</v>
      </c>
      <c r="B102" s="468"/>
      <c r="C102" s="468"/>
      <c r="D102" s="469"/>
      <c r="E102" s="115"/>
      <c r="F102" s="115">
        <f>SUM(F81:F101)</f>
        <v>407322</v>
      </c>
      <c r="G102" s="115">
        <f t="shared" ref="G102:AC102" si="44">SUM(G81:G101)</f>
        <v>0</v>
      </c>
      <c r="H102" s="115">
        <f t="shared" si="44"/>
        <v>0</v>
      </c>
      <c r="I102" s="115">
        <f t="shared" si="44"/>
        <v>0</v>
      </c>
      <c r="J102" s="115">
        <f t="shared" si="44"/>
        <v>0</v>
      </c>
      <c r="K102" s="115">
        <f t="shared" si="44"/>
        <v>0</v>
      </c>
      <c r="L102" s="115">
        <f t="shared" si="44"/>
        <v>407322</v>
      </c>
      <c r="M102" s="115">
        <f t="shared" si="44"/>
        <v>75</v>
      </c>
      <c r="N102" s="115">
        <f t="shared" si="44"/>
        <v>1567424.75</v>
      </c>
      <c r="O102" s="115">
        <f t="shared" si="44"/>
        <v>0</v>
      </c>
      <c r="P102" s="115">
        <f t="shared" si="44"/>
        <v>1567424.75</v>
      </c>
      <c r="Q102" s="115">
        <f t="shared" si="44"/>
        <v>0</v>
      </c>
      <c r="R102" s="115">
        <f t="shared" si="44"/>
        <v>407322</v>
      </c>
      <c r="S102" s="115">
        <f t="shared" si="44"/>
        <v>0</v>
      </c>
      <c r="T102" s="115">
        <f t="shared" si="44"/>
        <v>407322</v>
      </c>
      <c r="U102" s="115">
        <f t="shared" si="44"/>
        <v>0</v>
      </c>
      <c r="V102" s="115">
        <f t="shared" si="44"/>
        <v>407322</v>
      </c>
      <c r="W102" s="115">
        <f t="shared" si="44"/>
        <v>0</v>
      </c>
      <c r="X102" s="115">
        <f t="shared" si="44"/>
        <v>0</v>
      </c>
      <c r="Y102" s="254">
        <f t="shared" si="44"/>
        <v>0</v>
      </c>
      <c r="Z102" s="115">
        <f t="shared" si="44"/>
        <v>5418.2295000000004</v>
      </c>
      <c r="AA102" s="115">
        <f t="shared" si="44"/>
        <v>72.243060000000014</v>
      </c>
      <c r="AB102" s="115">
        <f t="shared" si="44"/>
        <v>0</v>
      </c>
      <c r="AC102" s="115">
        <f t="shared" si="44"/>
        <v>72.243060000000014</v>
      </c>
    </row>
    <row r="103" spans="1:29" s="11" customFormat="1" ht="15.75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  <c r="AB103" s="65"/>
      <c r="AC103" s="65"/>
    </row>
    <row r="104" spans="1:29" s="11" customFormat="1" ht="15.75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6"/>
      <c r="AA104" s="66"/>
      <c r="AB104" s="66"/>
      <c r="AC104" s="66"/>
    </row>
    <row r="105" spans="1:29" s="11" customFormat="1" ht="15.75">
      <c r="A105" s="61"/>
      <c r="B105" s="61"/>
      <c r="C105" s="61"/>
      <c r="D105" s="61"/>
      <c r="E105" s="61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462" t="s">
        <v>254</v>
      </c>
      <c r="AA105" s="462"/>
      <c r="AB105" s="462"/>
      <c r="AC105" s="462"/>
    </row>
    <row r="106" spans="1:29" s="11" customFormat="1" ht="15.75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  <c r="AB106" s="65"/>
      <c r="AC106" s="65"/>
    </row>
    <row r="107" spans="1:29" s="11" customFormat="1" ht="15.75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  <c r="AB107" s="65"/>
      <c r="AC107" s="65"/>
    </row>
    <row r="108" spans="1:29" s="11" customFormat="1" ht="15.75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</row>
    <row r="109" spans="1:29" s="11" customFormat="1" ht="15.75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  <c r="AB109" s="65"/>
      <c r="AC109" s="65"/>
    </row>
    <row r="110" spans="1:29" s="11" customFormat="1" ht="15.75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  <c r="AB110" s="65"/>
      <c r="AC110" s="65"/>
    </row>
    <row r="111" spans="1:29" s="11" customFormat="1" ht="15.75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  <c r="AB111" s="65"/>
      <c r="AC111" s="65"/>
    </row>
    <row r="112" spans="1:29" s="1" customFormat="1" ht="24" customHeight="1">
      <c r="A112" s="388" t="s">
        <v>342</v>
      </c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388"/>
      <c r="P112" s="388"/>
      <c r="Q112" s="388"/>
      <c r="R112" s="388"/>
      <c r="S112" s="388"/>
      <c r="T112" s="388"/>
      <c r="U112" s="388"/>
      <c r="V112" s="388"/>
      <c r="W112" s="388"/>
      <c r="X112" s="388"/>
      <c r="Y112" s="388"/>
      <c r="Z112" s="388"/>
      <c r="AA112" s="388"/>
      <c r="AB112" s="388"/>
      <c r="AC112" s="388"/>
    </row>
    <row r="113" spans="1:29" s="1" customFormat="1" ht="17.25" customHeight="1">
      <c r="A113" s="379" t="s">
        <v>343</v>
      </c>
      <c r="B113" s="379"/>
      <c r="C113" s="379"/>
      <c r="D113" s="379"/>
      <c r="E113" s="379"/>
      <c r="F113" s="379"/>
      <c r="G113" s="379"/>
      <c r="H113" s="379"/>
      <c r="I113" s="379"/>
      <c r="J113" s="379"/>
      <c r="K113" s="379"/>
      <c r="L113" s="379"/>
      <c r="M113" s="379"/>
      <c r="N113" s="379"/>
      <c r="O113" s="379"/>
      <c r="P113" s="379"/>
      <c r="Q113" s="379"/>
      <c r="R113" s="379"/>
      <c r="S113" s="379"/>
      <c r="T113" s="379"/>
      <c r="U113" s="379"/>
      <c r="V113" s="379"/>
      <c r="W113" s="379"/>
      <c r="X113" s="379"/>
      <c r="Y113" s="379"/>
      <c r="Z113" s="379"/>
      <c r="AA113" s="379"/>
      <c r="AB113" s="379"/>
      <c r="AC113" s="379"/>
    </row>
    <row r="114" spans="1:29" s="1" customFormat="1" ht="15.75" customHeight="1">
      <c r="A114" s="313" t="s">
        <v>274</v>
      </c>
      <c r="B114" s="313"/>
      <c r="C114" s="313"/>
      <c r="D114" s="313"/>
      <c r="E114" s="313"/>
      <c r="F114" s="313"/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  <c r="T114" s="313"/>
      <c r="U114" s="313"/>
      <c r="V114" s="313"/>
      <c r="W114" s="313"/>
      <c r="X114" s="313"/>
      <c r="Y114" s="313"/>
      <c r="Z114" s="313"/>
      <c r="AA114" s="313"/>
      <c r="AB114" s="313"/>
      <c r="AC114" s="313"/>
    </row>
    <row r="115" spans="1:29" ht="20.25">
      <c r="A115" s="379" t="s">
        <v>224</v>
      </c>
      <c r="B115" s="379"/>
      <c r="C115" s="379"/>
      <c r="D115" s="379"/>
      <c r="E115" s="379"/>
      <c r="F115" s="379"/>
      <c r="G115" s="379"/>
      <c r="H115" s="379"/>
      <c r="I115" s="379"/>
      <c r="J115" s="379"/>
      <c r="K115" s="379"/>
      <c r="L115" s="379"/>
      <c r="M115" s="379"/>
      <c r="N115" s="379"/>
      <c r="O115" s="379"/>
      <c r="P115" s="379"/>
      <c r="Q115" s="379"/>
      <c r="R115" s="379"/>
      <c r="S115" s="379"/>
      <c r="T115" s="379"/>
      <c r="U115" s="379"/>
      <c r="V115" s="379"/>
      <c r="W115" s="379"/>
      <c r="X115" s="379"/>
      <c r="Y115" s="379"/>
      <c r="Z115" s="379"/>
      <c r="AA115" s="379"/>
      <c r="AB115" s="379"/>
      <c r="AC115" s="379"/>
    </row>
    <row r="116" spans="1:29" ht="15" customHeight="1">
      <c r="A116" s="392" t="s">
        <v>15</v>
      </c>
      <c r="B116" s="392" t="s">
        <v>64</v>
      </c>
      <c r="C116" s="392" t="s">
        <v>65</v>
      </c>
      <c r="D116" s="471" t="s">
        <v>66</v>
      </c>
      <c r="E116" s="116"/>
      <c r="F116" s="463" t="s">
        <v>203</v>
      </c>
      <c r="G116" s="463"/>
      <c r="H116" s="463"/>
      <c r="I116" s="463"/>
      <c r="J116" s="463"/>
      <c r="K116" s="463"/>
      <c r="L116" s="392" t="s">
        <v>88</v>
      </c>
      <c r="M116" s="83" t="s">
        <v>157</v>
      </c>
      <c r="N116" s="382" t="s">
        <v>84</v>
      </c>
      <c r="O116" s="382" t="s">
        <v>138</v>
      </c>
      <c r="P116" s="382"/>
      <c r="Q116" s="473" t="s">
        <v>139</v>
      </c>
      <c r="R116" s="473"/>
      <c r="S116" s="474" t="s">
        <v>86</v>
      </c>
      <c r="T116" s="474"/>
      <c r="U116" s="474" t="s">
        <v>25</v>
      </c>
      <c r="V116" s="474"/>
      <c r="W116" s="474" t="s">
        <v>87</v>
      </c>
      <c r="X116" s="475" t="s">
        <v>561</v>
      </c>
      <c r="Y116" s="481" t="s">
        <v>560</v>
      </c>
      <c r="Z116" s="476" t="s">
        <v>140</v>
      </c>
      <c r="AA116" s="476"/>
      <c r="AB116" s="476"/>
      <c r="AC116" s="476"/>
    </row>
    <row r="117" spans="1:29">
      <c r="A117" s="393"/>
      <c r="B117" s="393"/>
      <c r="C117" s="393"/>
      <c r="D117" s="472"/>
      <c r="E117" s="104"/>
      <c r="F117" s="105" t="s">
        <v>335</v>
      </c>
      <c r="G117" s="105"/>
      <c r="H117" s="105"/>
      <c r="I117" s="105"/>
      <c r="J117" s="105"/>
      <c r="K117" s="105"/>
      <c r="L117" s="393"/>
      <c r="M117" s="83"/>
      <c r="N117" s="382"/>
      <c r="O117" s="83" t="s">
        <v>85</v>
      </c>
      <c r="P117" s="83" t="s">
        <v>70</v>
      </c>
      <c r="Q117" s="106" t="s">
        <v>85</v>
      </c>
      <c r="R117" s="106" t="s">
        <v>70</v>
      </c>
      <c r="S117" s="83" t="s">
        <v>86</v>
      </c>
      <c r="T117" s="107" t="s">
        <v>70</v>
      </c>
      <c r="U117" s="107" t="s">
        <v>25</v>
      </c>
      <c r="V117" s="107" t="s">
        <v>70</v>
      </c>
      <c r="W117" s="474"/>
      <c r="X117" s="475"/>
      <c r="Y117" s="482"/>
      <c r="Z117" s="108" t="s">
        <v>155</v>
      </c>
      <c r="AA117" s="108" t="s">
        <v>156</v>
      </c>
      <c r="AB117" s="108" t="s">
        <v>141</v>
      </c>
      <c r="AC117" s="108" t="s">
        <v>70</v>
      </c>
    </row>
    <row r="118" spans="1:29">
      <c r="A118" s="117">
        <v>1</v>
      </c>
      <c r="B118" s="118" t="s">
        <v>28</v>
      </c>
      <c r="C118" s="119" t="s">
        <v>190</v>
      </c>
      <c r="D118" s="120">
        <v>14</v>
      </c>
      <c r="E118" s="120"/>
      <c r="F118" s="120">
        <v>53320</v>
      </c>
      <c r="G118" s="120"/>
      <c r="H118" s="120"/>
      <c r="I118" s="120"/>
      <c r="J118" s="120"/>
      <c r="K118" s="120"/>
      <c r="L118" s="117">
        <f>SUM(F118:K118)</f>
        <v>53320</v>
      </c>
      <c r="M118" s="117">
        <v>4</v>
      </c>
      <c r="N118" s="117">
        <f>M118*L118</f>
        <v>213280</v>
      </c>
      <c r="O118" s="126">
        <f>'MSPL-3(Lot)'!I151</f>
        <v>0</v>
      </c>
      <c r="P118" s="126">
        <f>N118-O118</f>
        <v>213280</v>
      </c>
      <c r="Q118" s="117">
        <f>O118/M118</f>
        <v>0</v>
      </c>
      <c r="R118" s="117">
        <f>L118-Q118</f>
        <v>53320</v>
      </c>
      <c r="S118" s="126">
        <f>'MSPL-3(Lot)'!M151</f>
        <v>0</v>
      </c>
      <c r="T118" s="126">
        <f>L118-S118</f>
        <v>53320</v>
      </c>
      <c r="U118" s="117">
        <f>'MSPL-3(Lot)'!O151</f>
        <v>0</v>
      </c>
      <c r="V118" s="117">
        <f>L118-U118</f>
        <v>53320</v>
      </c>
      <c r="W118" s="126">
        <f>S118-U118</f>
        <v>0</v>
      </c>
      <c r="X118" s="117">
        <f>D118*S118/1000</f>
        <v>0</v>
      </c>
      <c r="Y118" s="117">
        <f>Q118-S118</f>
        <v>0</v>
      </c>
      <c r="Z118" s="117">
        <f>D118*L118/1000</f>
        <v>746.48</v>
      </c>
      <c r="AA118" s="117">
        <f>Z118/75</f>
        <v>9.9530666666666665</v>
      </c>
      <c r="AB118" s="117">
        <f>D118*Q118/1000/75</f>
        <v>0</v>
      </c>
      <c r="AC118" s="117">
        <f>AA118-AB118</f>
        <v>9.9530666666666665</v>
      </c>
    </row>
    <row r="119" spans="1:29">
      <c r="A119" s="117">
        <v>2</v>
      </c>
      <c r="B119" s="118" t="s">
        <v>200</v>
      </c>
      <c r="C119" s="119" t="s">
        <v>190</v>
      </c>
      <c r="D119" s="120">
        <v>17.5</v>
      </c>
      <c r="E119" s="120"/>
      <c r="F119" s="120">
        <v>53320</v>
      </c>
      <c r="G119" s="120"/>
      <c r="H119" s="120"/>
      <c r="I119" s="120"/>
      <c r="J119" s="120"/>
      <c r="K119" s="120"/>
      <c r="L119" s="117">
        <f t="shared" ref="L119:L132" si="45">SUM(F119:K119)</f>
        <v>53320</v>
      </c>
      <c r="M119" s="117">
        <v>4.75</v>
      </c>
      <c r="N119" s="117">
        <f t="shared" ref="N119:N132" si="46">M119*L119</f>
        <v>253270</v>
      </c>
      <c r="O119" s="126">
        <f>'MSPL-3(Lot)'!I152</f>
        <v>0</v>
      </c>
      <c r="P119" s="126">
        <f t="shared" ref="P119:P132" si="47">N119-O119</f>
        <v>253270</v>
      </c>
      <c r="Q119" s="117">
        <f t="shared" ref="Q119:Q132" si="48">O119/M119</f>
        <v>0</v>
      </c>
      <c r="R119" s="117">
        <f t="shared" ref="R119:R132" si="49">L119-Q119</f>
        <v>53320</v>
      </c>
      <c r="S119" s="126">
        <f>'MSPL-3(Lot)'!M152</f>
        <v>0</v>
      </c>
      <c r="T119" s="126">
        <f t="shared" ref="T119:T132" si="50">L119-S119</f>
        <v>53320</v>
      </c>
      <c r="U119" s="117">
        <f>'MSPL-3(Lot)'!O152</f>
        <v>0</v>
      </c>
      <c r="V119" s="117">
        <f t="shared" ref="V119:V132" si="51">L119-U119</f>
        <v>53320</v>
      </c>
      <c r="W119" s="126">
        <f t="shared" ref="W119:W132" si="52">S119-U119</f>
        <v>0</v>
      </c>
      <c r="X119" s="117">
        <f t="shared" ref="X119:X132" si="53">D119*S119/1000</f>
        <v>0</v>
      </c>
      <c r="Y119" s="117">
        <f t="shared" ref="Y119:Y132" si="54">Q119-S119</f>
        <v>0</v>
      </c>
      <c r="Z119" s="117">
        <f t="shared" ref="Z119:Z132" si="55">D119*L119/1000</f>
        <v>933.1</v>
      </c>
      <c r="AA119" s="117">
        <f t="shared" ref="AA119:AA132" si="56">Z119/75</f>
        <v>12.441333333333334</v>
      </c>
      <c r="AB119" s="117">
        <f t="shared" ref="AB119:AB132" si="57">D119*Q119/1000/75</f>
        <v>0</v>
      </c>
      <c r="AC119" s="117">
        <f t="shared" ref="AC119:AC132" si="58">AA119-AB119</f>
        <v>12.441333333333334</v>
      </c>
    </row>
    <row r="120" spans="1:29">
      <c r="A120" s="117">
        <v>3</v>
      </c>
      <c r="B120" s="118" t="s">
        <v>183</v>
      </c>
      <c r="C120" s="119" t="s">
        <v>190</v>
      </c>
      <c r="D120" s="120">
        <v>14.5</v>
      </c>
      <c r="E120" s="120"/>
      <c r="F120" s="120">
        <v>53320</v>
      </c>
      <c r="G120" s="120"/>
      <c r="H120" s="120"/>
      <c r="I120" s="120"/>
      <c r="J120" s="120"/>
      <c r="K120" s="120"/>
      <c r="L120" s="117">
        <f t="shared" si="45"/>
        <v>53320</v>
      </c>
      <c r="M120" s="117">
        <v>4.25</v>
      </c>
      <c r="N120" s="117">
        <f t="shared" si="46"/>
        <v>226610</v>
      </c>
      <c r="O120" s="126">
        <f>'MSPL-3(Lot)'!I153</f>
        <v>0</v>
      </c>
      <c r="P120" s="126">
        <f t="shared" si="47"/>
        <v>226610</v>
      </c>
      <c r="Q120" s="117">
        <f t="shared" si="48"/>
        <v>0</v>
      </c>
      <c r="R120" s="117">
        <f t="shared" si="49"/>
        <v>53320</v>
      </c>
      <c r="S120" s="126">
        <f>'MSPL-3(Lot)'!M153</f>
        <v>0</v>
      </c>
      <c r="T120" s="126">
        <f t="shared" si="50"/>
        <v>53320</v>
      </c>
      <c r="U120" s="117">
        <f>'MSPL-3(Lot)'!O153</f>
        <v>0</v>
      </c>
      <c r="V120" s="117">
        <f t="shared" si="51"/>
        <v>53320</v>
      </c>
      <c r="W120" s="126">
        <f t="shared" si="52"/>
        <v>0</v>
      </c>
      <c r="X120" s="117">
        <f t="shared" si="53"/>
        <v>0</v>
      </c>
      <c r="Y120" s="117">
        <f t="shared" si="54"/>
        <v>0</v>
      </c>
      <c r="Z120" s="117">
        <f t="shared" si="55"/>
        <v>773.14</v>
      </c>
      <c r="AA120" s="117">
        <f t="shared" si="56"/>
        <v>10.308533333333333</v>
      </c>
      <c r="AB120" s="117">
        <f t="shared" si="57"/>
        <v>0</v>
      </c>
      <c r="AC120" s="117">
        <f t="shared" si="58"/>
        <v>10.308533333333333</v>
      </c>
    </row>
    <row r="121" spans="1:29">
      <c r="A121" s="117">
        <v>4</v>
      </c>
      <c r="B121" s="118" t="s">
        <v>201</v>
      </c>
      <c r="C121" s="119" t="s">
        <v>190</v>
      </c>
      <c r="D121" s="120">
        <v>17.5</v>
      </c>
      <c r="E121" s="120"/>
      <c r="F121" s="120">
        <v>53320</v>
      </c>
      <c r="G121" s="120"/>
      <c r="H121" s="120"/>
      <c r="I121" s="120"/>
      <c r="J121" s="120"/>
      <c r="K121" s="120"/>
      <c r="L121" s="117">
        <f t="shared" si="45"/>
        <v>53320</v>
      </c>
      <c r="M121" s="117">
        <v>4.75</v>
      </c>
      <c r="N121" s="117">
        <f t="shared" si="46"/>
        <v>253270</v>
      </c>
      <c r="O121" s="126">
        <f>'MSPL-3(Lot)'!I154</f>
        <v>0</v>
      </c>
      <c r="P121" s="126">
        <f t="shared" si="47"/>
        <v>253270</v>
      </c>
      <c r="Q121" s="117">
        <f t="shared" si="48"/>
        <v>0</v>
      </c>
      <c r="R121" s="117">
        <f t="shared" si="49"/>
        <v>53320</v>
      </c>
      <c r="S121" s="126">
        <f>'MSPL-3(Lot)'!M154</f>
        <v>0</v>
      </c>
      <c r="T121" s="126">
        <f t="shared" si="50"/>
        <v>53320</v>
      </c>
      <c r="U121" s="117">
        <f>'MSPL-3(Lot)'!O154</f>
        <v>0</v>
      </c>
      <c r="V121" s="117">
        <f t="shared" si="51"/>
        <v>53320</v>
      </c>
      <c r="W121" s="126">
        <f t="shared" si="52"/>
        <v>0</v>
      </c>
      <c r="X121" s="117">
        <f t="shared" si="53"/>
        <v>0</v>
      </c>
      <c r="Y121" s="117">
        <f t="shared" si="54"/>
        <v>0</v>
      </c>
      <c r="Z121" s="117">
        <f t="shared" si="55"/>
        <v>933.1</v>
      </c>
      <c r="AA121" s="117">
        <f t="shared" si="56"/>
        <v>12.441333333333334</v>
      </c>
      <c r="AB121" s="117">
        <f t="shared" si="57"/>
        <v>0</v>
      </c>
      <c r="AC121" s="117">
        <f t="shared" si="58"/>
        <v>12.441333333333334</v>
      </c>
    </row>
    <row r="122" spans="1:29">
      <c r="A122" s="117">
        <v>5</v>
      </c>
      <c r="B122" s="118" t="s">
        <v>45</v>
      </c>
      <c r="C122" s="119" t="s">
        <v>190</v>
      </c>
      <c r="D122" s="120">
        <v>13.5</v>
      </c>
      <c r="E122" s="120"/>
      <c r="F122" s="120">
        <v>53320</v>
      </c>
      <c r="G122" s="120"/>
      <c r="H122" s="120"/>
      <c r="I122" s="120"/>
      <c r="J122" s="120"/>
      <c r="K122" s="120"/>
      <c r="L122" s="117">
        <f t="shared" si="45"/>
        <v>53320</v>
      </c>
      <c r="M122" s="117">
        <v>3.75</v>
      </c>
      <c r="N122" s="117">
        <f t="shared" si="46"/>
        <v>199950</v>
      </c>
      <c r="O122" s="126">
        <f>'MSPL-3(Lot)'!I155</f>
        <v>0</v>
      </c>
      <c r="P122" s="126">
        <f t="shared" si="47"/>
        <v>199950</v>
      </c>
      <c r="Q122" s="117">
        <f t="shared" si="48"/>
        <v>0</v>
      </c>
      <c r="R122" s="117">
        <f t="shared" si="49"/>
        <v>53320</v>
      </c>
      <c r="S122" s="126">
        <f>'MSPL-3(Lot)'!M155</f>
        <v>0</v>
      </c>
      <c r="T122" s="126">
        <f t="shared" si="50"/>
        <v>53320</v>
      </c>
      <c r="U122" s="117">
        <f>'MSPL-3(Lot)'!O155</f>
        <v>0</v>
      </c>
      <c r="V122" s="117">
        <f t="shared" si="51"/>
        <v>53320</v>
      </c>
      <c r="W122" s="126">
        <f t="shared" si="52"/>
        <v>0</v>
      </c>
      <c r="X122" s="117">
        <f t="shared" si="53"/>
        <v>0</v>
      </c>
      <c r="Y122" s="117">
        <f t="shared" si="54"/>
        <v>0</v>
      </c>
      <c r="Z122" s="117">
        <f t="shared" si="55"/>
        <v>719.82</v>
      </c>
      <c r="AA122" s="117">
        <f t="shared" si="56"/>
        <v>9.5975999999999999</v>
      </c>
      <c r="AB122" s="117">
        <f t="shared" si="57"/>
        <v>0</v>
      </c>
      <c r="AC122" s="117">
        <f t="shared" si="58"/>
        <v>9.5975999999999999</v>
      </c>
    </row>
    <row r="123" spans="1:29">
      <c r="A123" s="117">
        <v>6</v>
      </c>
      <c r="B123" s="118" t="s">
        <v>56</v>
      </c>
      <c r="C123" s="119" t="s">
        <v>190</v>
      </c>
      <c r="D123" s="120">
        <v>13.5</v>
      </c>
      <c r="E123" s="120"/>
      <c r="F123" s="120">
        <v>53320</v>
      </c>
      <c r="G123" s="120"/>
      <c r="H123" s="120"/>
      <c r="I123" s="120"/>
      <c r="J123" s="120"/>
      <c r="K123" s="120"/>
      <c r="L123" s="117">
        <f t="shared" si="45"/>
        <v>53320</v>
      </c>
      <c r="M123" s="117">
        <v>3.75</v>
      </c>
      <c r="N123" s="117">
        <f t="shared" si="46"/>
        <v>199950</v>
      </c>
      <c r="O123" s="126">
        <f>'MSPL-3(Lot)'!I156</f>
        <v>0</v>
      </c>
      <c r="P123" s="126">
        <f t="shared" si="47"/>
        <v>199950</v>
      </c>
      <c r="Q123" s="117">
        <f t="shared" si="48"/>
        <v>0</v>
      </c>
      <c r="R123" s="117">
        <f t="shared" si="49"/>
        <v>53320</v>
      </c>
      <c r="S123" s="126">
        <f>'MSPL-3(Lot)'!M156</f>
        <v>0</v>
      </c>
      <c r="T123" s="126">
        <f t="shared" si="50"/>
        <v>53320</v>
      </c>
      <c r="U123" s="117">
        <f>'MSPL-3(Lot)'!O156</f>
        <v>0</v>
      </c>
      <c r="V123" s="117">
        <f t="shared" si="51"/>
        <v>53320</v>
      </c>
      <c r="W123" s="126">
        <f t="shared" si="52"/>
        <v>0</v>
      </c>
      <c r="X123" s="117">
        <f t="shared" si="53"/>
        <v>0</v>
      </c>
      <c r="Y123" s="117">
        <f t="shared" si="54"/>
        <v>0</v>
      </c>
      <c r="Z123" s="117">
        <f t="shared" si="55"/>
        <v>719.82</v>
      </c>
      <c r="AA123" s="117">
        <f t="shared" si="56"/>
        <v>9.5975999999999999</v>
      </c>
      <c r="AB123" s="117">
        <f t="shared" si="57"/>
        <v>0</v>
      </c>
      <c r="AC123" s="117">
        <f t="shared" si="58"/>
        <v>9.5975999999999999</v>
      </c>
    </row>
    <row r="124" spans="1:29">
      <c r="A124" s="117">
        <v>7</v>
      </c>
      <c r="B124" s="118" t="s">
        <v>27</v>
      </c>
      <c r="C124" s="119" t="s">
        <v>190</v>
      </c>
      <c r="D124" s="120">
        <v>14.5</v>
      </c>
      <c r="E124" s="120"/>
      <c r="F124" s="120">
        <v>53414</v>
      </c>
      <c r="G124" s="120"/>
      <c r="H124" s="120"/>
      <c r="I124" s="120"/>
      <c r="J124" s="120"/>
      <c r="K124" s="120"/>
      <c r="L124" s="117">
        <f t="shared" si="45"/>
        <v>53414</v>
      </c>
      <c r="M124" s="117">
        <v>4.25</v>
      </c>
      <c r="N124" s="117">
        <f t="shared" si="46"/>
        <v>227009.5</v>
      </c>
      <c r="O124" s="126">
        <f>'MSPL-3(Lot)'!I157</f>
        <v>0</v>
      </c>
      <c r="P124" s="126">
        <f t="shared" si="47"/>
        <v>227009.5</v>
      </c>
      <c r="Q124" s="117">
        <f t="shared" si="48"/>
        <v>0</v>
      </c>
      <c r="R124" s="117">
        <f t="shared" si="49"/>
        <v>53414</v>
      </c>
      <c r="S124" s="126">
        <f>'MSPL-3(Lot)'!M157</f>
        <v>0</v>
      </c>
      <c r="T124" s="126">
        <f t="shared" si="50"/>
        <v>53414</v>
      </c>
      <c r="U124" s="117">
        <f>'MSPL-3(Lot)'!O157</f>
        <v>0</v>
      </c>
      <c r="V124" s="117">
        <f t="shared" si="51"/>
        <v>53414</v>
      </c>
      <c r="W124" s="126">
        <f t="shared" si="52"/>
        <v>0</v>
      </c>
      <c r="X124" s="117">
        <f t="shared" si="53"/>
        <v>0</v>
      </c>
      <c r="Y124" s="117">
        <f>Q124-S124</f>
        <v>0</v>
      </c>
      <c r="Z124" s="117">
        <f t="shared" si="55"/>
        <v>774.50300000000004</v>
      </c>
      <c r="AA124" s="117">
        <f t="shared" si="56"/>
        <v>10.326706666666666</v>
      </c>
      <c r="AB124" s="117">
        <f t="shared" si="57"/>
        <v>0</v>
      </c>
      <c r="AC124" s="117">
        <f t="shared" si="58"/>
        <v>10.326706666666666</v>
      </c>
    </row>
    <row r="125" spans="1:29">
      <c r="A125" s="117">
        <v>8</v>
      </c>
      <c r="B125" s="118" t="s">
        <v>175</v>
      </c>
      <c r="C125" s="119" t="s">
        <v>190</v>
      </c>
      <c r="D125" s="120">
        <v>15</v>
      </c>
      <c r="E125" s="120"/>
      <c r="F125" s="120">
        <v>53320</v>
      </c>
      <c r="G125" s="120"/>
      <c r="H125" s="120"/>
      <c r="I125" s="120"/>
      <c r="J125" s="120"/>
      <c r="K125" s="120"/>
      <c r="L125" s="117">
        <f t="shared" si="45"/>
        <v>53320</v>
      </c>
      <c r="M125" s="117">
        <v>4.5</v>
      </c>
      <c r="N125" s="117">
        <f t="shared" si="46"/>
        <v>239940</v>
      </c>
      <c r="O125" s="126">
        <f>'MSPL-3(Lot)'!I158</f>
        <v>0</v>
      </c>
      <c r="P125" s="126">
        <f t="shared" si="47"/>
        <v>239940</v>
      </c>
      <c r="Q125" s="117">
        <f t="shared" si="48"/>
        <v>0</v>
      </c>
      <c r="R125" s="117">
        <f t="shared" si="49"/>
        <v>53320</v>
      </c>
      <c r="S125" s="126">
        <f>'MSPL-3(Lot)'!M158</f>
        <v>0</v>
      </c>
      <c r="T125" s="126">
        <f t="shared" si="50"/>
        <v>53320</v>
      </c>
      <c r="U125" s="117">
        <f>'MSPL-3(Lot)'!O158</f>
        <v>0</v>
      </c>
      <c r="V125" s="117">
        <f t="shared" si="51"/>
        <v>53320</v>
      </c>
      <c r="W125" s="126">
        <f t="shared" si="52"/>
        <v>0</v>
      </c>
      <c r="X125" s="117">
        <f t="shared" si="53"/>
        <v>0</v>
      </c>
      <c r="Y125" s="117">
        <f t="shared" si="54"/>
        <v>0</v>
      </c>
      <c r="Z125" s="117">
        <f t="shared" si="55"/>
        <v>799.8</v>
      </c>
      <c r="AA125" s="117">
        <f t="shared" si="56"/>
        <v>10.664</v>
      </c>
      <c r="AB125" s="117">
        <f t="shared" si="57"/>
        <v>0</v>
      </c>
      <c r="AC125" s="117">
        <f t="shared" si="58"/>
        <v>10.664</v>
      </c>
    </row>
    <row r="126" spans="1:29">
      <c r="A126" s="117">
        <v>9</v>
      </c>
      <c r="B126" s="118" t="s">
        <v>31</v>
      </c>
      <c r="C126" s="119" t="s">
        <v>190</v>
      </c>
      <c r="D126" s="120">
        <v>20</v>
      </c>
      <c r="E126" s="120"/>
      <c r="F126" s="120">
        <v>53320</v>
      </c>
      <c r="G126" s="120"/>
      <c r="H126" s="120"/>
      <c r="I126" s="120"/>
      <c r="J126" s="120"/>
      <c r="K126" s="120"/>
      <c r="L126" s="117">
        <f t="shared" si="45"/>
        <v>53320</v>
      </c>
      <c r="M126" s="117">
        <v>5</v>
      </c>
      <c r="N126" s="117">
        <f t="shared" si="46"/>
        <v>266600</v>
      </c>
      <c r="O126" s="126">
        <f>'MSPL-3(Lot)'!I159</f>
        <v>0</v>
      </c>
      <c r="P126" s="126">
        <f t="shared" si="47"/>
        <v>266600</v>
      </c>
      <c r="Q126" s="117">
        <f t="shared" si="48"/>
        <v>0</v>
      </c>
      <c r="R126" s="117">
        <f t="shared" si="49"/>
        <v>53320</v>
      </c>
      <c r="S126" s="126">
        <f>'MSPL-3(Lot)'!M159</f>
        <v>0</v>
      </c>
      <c r="T126" s="126">
        <f t="shared" si="50"/>
        <v>53320</v>
      </c>
      <c r="U126" s="117">
        <f>'MSPL-3(Lot)'!O159</f>
        <v>0</v>
      </c>
      <c r="V126" s="117">
        <f t="shared" si="51"/>
        <v>53320</v>
      </c>
      <c r="W126" s="126">
        <f t="shared" si="52"/>
        <v>0</v>
      </c>
      <c r="X126" s="117">
        <f t="shared" si="53"/>
        <v>0</v>
      </c>
      <c r="Y126" s="117">
        <f t="shared" si="54"/>
        <v>0</v>
      </c>
      <c r="Z126" s="117">
        <f t="shared" si="55"/>
        <v>1066.4000000000001</v>
      </c>
      <c r="AA126" s="117">
        <f t="shared" si="56"/>
        <v>14.218666666666667</v>
      </c>
      <c r="AB126" s="117">
        <f t="shared" si="57"/>
        <v>0</v>
      </c>
      <c r="AC126" s="117">
        <f t="shared" si="58"/>
        <v>14.218666666666667</v>
      </c>
    </row>
    <row r="127" spans="1:29">
      <c r="A127" s="117">
        <v>10</v>
      </c>
      <c r="B127" s="118" t="s">
        <v>202</v>
      </c>
      <c r="C127" s="119" t="s">
        <v>190</v>
      </c>
      <c r="D127" s="120">
        <v>8</v>
      </c>
      <c r="E127" s="120"/>
      <c r="F127" s="120">
        <v>53320</v>
      </c>
      <c r="G127" s="120"/>
      <c r="H127" s="120"/>
      <c r="I127" s="120"/>
      <c r="J127" s="120"/>
      <c r="K127" s="120"/>
      <c r="L127" s="117">
        <f t="shared" si="45"/>
        <v>53320</v>
      </c>
      <c r="M127" s="117">
        <v>2</v>
      </c>
      <c r="N127" s="117">
        <f t="shared" si="46"/>
        <v>106640</v>
      </c>
      <c r="O127" s="126">
        <f>'MSPL-3(Lot)'!I160</f>
        <v>0</v>
      </c>
      <c r="P127" s="126">
        <f t="shared" si="47"/>
        <v>106640</v>
      </c>
      <c r="Q127" s="117">
        <f t="shared" si="48"/>
        <v>0</v>
      </c>
      <c r="R127" s="117">
        <f t="shared" si="49"/>
        <v>53320</v>
      </c>
      <c r="S127" s="126">
        <f>'MSPL-3(Lot)'!M160</f>
        <v>0</v>
      </c>
      <c r="T127" s="126">
        <f t="shared" si="50"/>
        <v>53320</v>
      </c>
      <c r="U127" s="117">
        <f>'MSPL-3(Lot)'!O160</f>
        <v>0</v>
      </c>
      <c r="V127" s="117">
        <f t="shared" si="51"/>
        <v>53320</v>
      </c>
      <c r="W127" s="126">
        <f t="shared" si="52"/>
        <v>0</v>
      </c>
      <c r="X127" s="117">
        <f t="shared" si="53"/>
        <v>0</v>
      </c>
      <c r="Y127" s="117">
        <f t="shared" si="54"/>
        <v>0</v>
      </c>
      <c r="Z127" s="117">
        <f t="shared" si="55"/>
        <v>426.56</v>
      </c>
      <c r="AA127" s="117">
        <f t="shared" si="56"/>
        <v>5.6874666666666664</v>
      </c>
      <c r="AB127" s="117">
        <f t="shared" si="57"/>
        <v>0</v>
      </c>
      <c r="AC127" s="117">
        <f t="shared" si="58"/>
        <v>5.6874666666666664</v>
      </c>
    </row>
    <row r="128" spans="1:29">
      <c r="A128" s="117">
        <v>11</v>
      </c>
      <c r="B128" s="118" t="s">
        <v>32</v>
      </c>
      <c r="C128" s="119" t="s">
        <v>190</v>
      </c>
      <c r="D128" s="120">
        <v>17</v>
      </c>
      <c r="E128" s="120"/>
      <c r="F128" s="120">
        <v>53320</v>
      </c>
      <c r="G128" s="120"/>
      <c r="H128" s="120"/>
      <c r="I128" s="120"/>
      <c r="J128" s="120"/>
      <c r="K128" s="120"/>
      <c r="L128" s="117">
        <f t="shared" si="45"/>
        <v>53320</v>
      </c>
      <c r="M128" s="117">
        <v>4.5</v>
      </c>
      <c r="N128" s="117">
        <f t="shared" si="46"/>
        <v>239940</v>
      </c>
      <c r="O128" s="126">
        <f>'MSPL-3(Lot)'!I161</f>
        <v>0</v>
      </c>
      <c r="P128" s="126">
        <f t="shared" si="47"/>
        <v>239940</v>
      </c>
      <c r="Q128" s="117">
        <f t="shared" si="48"/>
        <v>0</v>
      </c>
      <c r="R128" s="117">
        <f t="shared" si="49"/>
        <v>53320</v>
      </c>
      <c r="S128" s="126">
        <f>'MSPL-3(Lot)'!M161</f>
        <v>0</v>
      </c>
      <c r="T128" s="126">
        <f t="shared" si="50"/>
        <v>53320</v>
      </c>
      <c r="U128" s="117">
        <f>'MSPL-3(Lot)'!O161</f>
        <v>0</v>
      </c>
      <c r="V128" s="117">
        <f t="shared" si="51"/>
        <v>53320</v>
      </c>
      <c r="W128" s="126">
        <f t="shared" si="52"/>
        <v>0</v>
      </c>
      <c r="X128" s="117">
        <f t="shared" si="53"/>
        <v>0</v>
      </c>
      <c r="Y128" s="117">
        <f t="shared" si="54"/>
        <v>0</v>
      </c>
      <c r="Z128" s="117">
        <f t="shared" si="55"/>
        <v>906.44</v>
      </c>
      <c r="AA128" s="117">
        <f t="shared" si="56"/>
        <v>12.085866666666668</v>
      </c>
      <c r="AB128" s="117">
        <f t="shared" si="57"/>
        <v>0</v>
      </c>
      <c r="AC128" s="117">
        <f t="shared" si="58"/>
        <v>12.085866666666668</v>
      </c>
    </row>
    <row r="129" spans="1:29">
      <c r="A129" s="117">
        <v>12</v>
      </c>
      <c r="B129" s="118" t="s">
        <v>44</v>
      </c>
      <c r="C129" s="119" t="s">
        <v>190</v>
      </c>
      <c r="D129" s="120">
        <v>9</v>
      </c>
      <c r="E129" s="120"/>
      <c r="F129" s="120">
        <v>53320</v>
      </c>
      <c r="G129" s="120"/>
      <c r="H129" s="120"/>
      <c r="I129" s="120"/>
      <c r="J129" s="120"/>
      <c r="K129" s="120"/>
      <c r="L129" s="117">
        <f t="shared" si="45"/>
        <v>53320</v>
      </c>
      <c r="M129" s="117">
        <v>2.5</v>
      </c>
      <c r="N129" s="117">
        <f t="shared" si="46"/>
        <v>133300</v>
      </c>
      <c r="O129" s="126">
        <f>'MSPL-3(Lot)'!I162</f>
        <v>0</v>
      </c>
      <c r="P129" s="126">
        <f t="shared" si="47"/>
        <v>133300</v>
      </c>
      <c r="Q129" s="117">
        <f t="shared" si="48"/>
        <v>0</v>
      </c>
      <c r="R129" s="117">
        <f t="shared" si="49"/>
        <v>53320</v>
      </c>
      <c r="S129" s="126">
        <f>'MSPL-3(Lot)'!M162</f>
        <v>0</v>
      </c>
      <c r="T129" s="126">
        <f t="shared" si="50"/>
        <v>53320</v>
      </c>
      <c r="U129" s="117">
        <f>'MSPL-3(Lot)'!O162</f>
        <v>0</v>
      </c>
      <c r="V129" s="117">
        <f t="shared" si="51"/>
        <v>53320</v>
      </c>
      <c r="W129" s="126">
        <f t="shared" si="52"/>
        <v>0</v>
      </c>
      <c r="X129" s="117">
        <f t="shared" si="53"/>
        <v>0</v>
      </c>
      <c r="Y129" s="117">
        <f t="shared" si="54"/>
        <v>0</v>
      </c>
      <c r="Z129" s="117">
        <f t="shared" si="55"/>
        <v>479.88</v>
      </c>
      <c r="AA129" s="117">
        <f t="shared" si="56"/>
        <v>6.3983999999999996</v>
      </c>
      <c r="AB129" s="117">
        <f t="shared" si="57"/>
        <v>0</v>
      </c>
      <c r="AC129" s="117">
        <f t="shared" si="58"/>
        <v>6.3983999999999996</v>
      </c>
    </row>
    <row r="130" spans="1:29">
      <c r="A130" s="117">
        <v>13</v>
      </c>
      <c r="B130" s="118" t="s">
        <v>43</v>
      </c>
      <c r="C130" s="119" t="s">
        <v>190</v>
      </c>
      <c r="D130" s="120">
        <v>9</v>
      </c>
      <c r="E130" s="120"/>
      <c r="F130" s="120">
        <v>2854</v>
      </c>
      <c r="G130" s="120"/>
      <c r="H130" s="120"/>
      <c r="I130" s="120"/>
      <c r="J130" s="120"/>
      <c r="K130" s="120"/>
      <c r="L130" s="117">
        <f t="shared" si="45"/>
        <v>2854</v>
      </c>
      <c r="M130" s="117">
        <v>2.5</v>
      </c>
      <c r="N130" s="117">
        <f t="shared" si="46"/>
        <v>7135</v>
      </c>
      <c r="O130" s="126">
        <f>'MSPL-3(Lot)'!I163</f>
        <v>0</v>
      </c>
      <c r="P130" s="126">
        <f t="shared" si="47"/>
        <v>7135</v>
      </c>
      <c r="Q130" s="117">
        <f t="shared" si="48"/>
        <v>0</v>
      </c>
      <c r="R130" s="117">
        <f t="shared" si="49"/>
        <v>2854</v>
      </c>
      <c r="S130" s="126">
        <f>'MSPL-3(Lot)'!M163</f>
        <v>0</v>
      </c>
      <c r="T130" s="126">
        <f t="shared" si="50"/>
        <v>2854</v>
      </c>
      <c r="U130" s="117">
        <f>'MSPL-3(Lot)'!O163</f>
        <v>0</v>
      </c>
      <c r="V130" s="117">
        <f t="shared" si="51"/>
        <v>2854</v>
      </c>
      <c r="W130" s="126">
        <f t="shared" si="52"/>
        <v>0</v>
      </c>
      <c r="X130" s="117">
        <f t="shared" si="53"/>
        <v>0</v>
      </c>
      <c r="Y130" s="117">
        <f t="shared" si="54"/>
        <v>0</v>
      </c>
      <c r="Z130" s="117">
        <f t="shared" si="55"/>
        <v>25.686</v>
      </c>
      <c r="AA130" s="117">
        <f t="shared" si="56"/>
        <v>0.34248000000000001</v>
      </c>
      <c r="AB130" s="117">
        <f t="shared" si="57"/>
        <v>0</v>
      </c>
      <c r="AC130" s="117">
        <f t="shared" si="58"/>
        <v>0.34248000000000001</v>
      </c>
    </row>
    <row r="131" spans="1:29">
      <c r="A131" s="117">
        <v>15</v>
      </c>
      <c r="B131" s="118" t="s">
        <v>47</v>
      </c>
      <c r="C131" s="119" t="s">
        <v>190</v>
      </c>
      <c r="D131" s="120">
        <v>14</v>
      </c>
      <c r="E131" s="120"/>
      <c r="F131" s="120">
        <v>50026</v>
      </c>
      <c r="G131" s="120"/>
      <c r="H131" s="120"/>
      <c r="I131" s="120"/>
      <c r="J131" s="120"/>
      <c r="K131" s="120"/>
      <c r="L131" s="117">
        <f t="shared" si="45"/>
        <v>50026</v>
      </c>
      <c r="M131" s="117">
        <v>4</v>
      </c>
      <c r="N131" s="117">
        <f t="shared" si="46"/>
        <v>200104</v>
      </c>
      <c r="O131" s="126">
        <f>'MSPL-3(Lot)'!I164</f>
        <v>0</v>
      </c>
      <c r="P131" s="126">
        <f t="shared" si="47"/>
        <v>200104</v>
      </c>
      <c r="Q131" s="117">
        <f t="shared" si="48"/>
        <v>0</v>
      </c>
      <c r="R131" s="117">
        <f t="shared" si="49"/>
        <v>50026</v>
      </c>
      <c r="S131" s="126">
        <f>'MSPL-3(Lot)'!M164</f>
        <v>0</v>
      </c>
      <c r="T131" s="126">
        <f t="shared" si="50"/>
        <v>50026</v>
      </c>
      <c r="U131" s="117">
        <f>'MSPL-3(Lot)'!O164</f>
        <v>0</v>
      </c>
      <c r="V131" s="117">
        <f t="shared" si="51"/>
        <v>50026</v>
      </c>
      <c r="W131" s="126">
        <f t="shared" si="52"/>
        <v>0</v>
      </c>
      <c r="X131" s="117">
        <f t="shared" si="53"/>
        <v>0</v>
      </c>
      <c r="Y131" s="117">
        <f t="shared" si="54"/>
        <v>0</v>
      </c>
      <c r="Z131" s="117">
        <f t="shared" si="55"/>
        <v>700.36400000000003</v>
      </c>
      <c r="AA131" s="117">
        <f t="shared" si="56"/>
        <v>9.3381866666666671</v>
      </c>
      <c r="AB131" s="117">
        <f t="shared" si="57"/>
        <v>0</v>
      </c>
      <c r="AC131" s="117">
        <f t="shared" si="58"/>
        <v>9.3381866666666671</v>
      </c>
    </row>
    <row r="132" spans="1:29">
      <c r="A132" s="117">
        <v>16</v>
      </c>
      <c r="B132" s="118" t="s">
        <v>78</v>
      </c>
      <c r="C132" s="119" t="s">
        <v>190</v>
      </c>
      <c r="D132" s="120">
        <v>17</v>
      </c>
      <c r="E132" s="120"/>
      <c r="F132" s="120">
        <v>440</v>
      </c>
      <c r="G132" s="120"/>
      <c r="H132" s="120"/>
      <c r="I132" s="120"/>
      <c r="J132" s="120"/>
      <c r="K132" s="120"/>
      <c r="L132" s="117">
        <f t="shared" si="45"/>
        <v>440</v>
      </c>
      <c r="M132" s="117">
        <v>4.5</v>
      </c>
      <c r="N132" s="117">
        <f t="shared" si="46"/>
        <v>1980</v>
      </c>
      <c r="O132" s="126">
        <f>'MSPL-3(Lot)'!I165</f>
        <v>0</v>
      </c>
      <c r="P132" s="126">
        <f t="shared" si="47"/>
        <v>1980</v>
      </c>
      <c r="Q132" s="117">
        <f t="shared" si="48"/>
        <v>0</v>
      </c>
      <c r="R132" s="117">
        <f t="shared" si="49"/>
        <v>440</v>
      </c>
      <c r="S132" s="126">
        <f>'MSPL-3(Lot)'!M165</f>
        <v>0</v>
      </c>
      <c r="T132" s="126">
        <f t="shared" si="50"/>
        <v>440</v>
      </c>
      <c r="U132" s="117">
        <f>'MSPL-3(Lot)'!O165</f>
        <v>0</v>
      </c>
      <c r="V132" s="117">
        <f t="shared" si="51"/>
        <v>440</v>
      </c>
      <c r="W132" s="126">
        <f t="shared" si="52"/>
        <v>0</v>
      </c>
      <c r="X132" s="117">
        <f t="shared" si="53"/>
        <v>0</v>
      </c>
      <c r="Y132" s="117">
        <f t="shared" si="54"/>
        <v>0</v>
      </c>
      <c r="Z132" s="117">
        <f t="shared" si="55"/>
        <v>7.48</v>
      </c>
      <c r="AA132" s="117">
        <f t="shared" si="56"/>
        <v>9.973333333333334E-2</v>
      </c>
      <c r="AB132" s="117">
        <f t="shared" si="57"/>
        <v>0</v>
      </c>
      <c r="AC132" s="117">
        <f t="shared" si="58"/>
        <v>9.973333333333334E-2</v>
      </c>
    </row>
    <row r="133" spans="1:29">
      <c r="A133" s="467" t="s">
        <v>67</v>
      </c>
      <c r="B133" s="468"/>
      <c r="C133" s="468"/>
      <c r="D133" s="469"/>
      <c r="E133" s="115"/>
      <c r="F133" s="115">
        <f>SUM(F118:F132)</f>
        <v>693254</v>
      </c>
      <c r="G133" s="115">
        <f t="shared" ref="G133:AC133" si="59">SUM(G118:G132)</f>
        <v>0</v>
      </c>
      <c r="H133" s="115">
        <f t="shared" si="59"/>
        <v>0</v>
      </c>
      <c r="I133" s="115">
        <f t="shared" si="59"/>
        <v>0</v>
      </c>
      <c r="J133" s="115">
        <f t="shared" si="59"/>
        <v>0</v>
      </c>
      <c r="K133" s="115">
        <f t="shared" si="59"/>
        <v>0</v>
      </c>
      <c r="L133" s="115">
        <f t="shared" si="59"/>
        <v>693254</v>
      </c>
      <c r="M133" s="115">
        <f t="shared" si="59"/>
        <v>59</v>
      </c>
      <c r="N133" s="115">
        <f t="shared" si="59"/>
        <v>2768978.5</v>
      </c>
      <c r="O133" s="115">
        <f t="shared" si="59"/>
        <v>0</v>
      </c>
      <c r="P133" s="115">
        <f t="shared" si="59"/>
        <v>2768978.5</v>
      </c>
      <c r="Q133" s="115">
        <f t="shared" si="59"/>
        <v>0</v>
      </c>
      <c r="R133" s="115">
        <f t="shared" si="59"/>
        <v>693254</v>
      </c>
      <c r="S133" s="115">
        <f t="shared" si="59"/>
        <v>0</v>
      </c>
      <c r="T133" s="115">
        <f t="shared" si="59"/>
        <v>693254</v>
      </c>
      <c r="U133" s="115">
        <f t="shared" si="59"/>
        <v>0</v>
      </c>
      <c r="V133" s="115">
        <f t="shared" si="59"/>
        <v>693254</v>
      </c>
      <c r="W133" s="115">
        <f t="shared" si="59"/>
        <v>0</v>
      </c>
      <c r="X133" s="115">
        <f t="shared" si="59"/>
        <v>0</v>
      </c>
      <c r="Y133" s="254">
        <f t="shared" si="59"/>
        <v>0</v>
      </c>
      <c r="Z133" s="115">
        <f t="shared" si="59"/>
        <v>10012.572999999997</v>
      </c>
      <c r="AA133" s="115">
        <f t="shared" si="59"/>
        <v>133.50097333333332</v>
      </c>
      <c r="AB133" s="115">
        <f t="shared" si="59"/>
        <v>0</v>
      </c>
      <c r="AC133" s="115">
        <f t="shared" si="59"/>
        <v>133.50097333333332</v>
      </c>
    </row>
    <row r="134" spans="1:29" s="11" customFormat="1" ht="15.75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  <c r="AB134" s="65"/>
      <c r="AC134" s="65"/>
    </row>
    <row r="135" spans="1:29" s="11" customFormat="1" ht="15.75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6"/>
      <c r="AA135" s="66"/>
      <c r="AB135" s="66"/>
      <c r="AC135" s="66"/>
    </row>
    <row r="136" spans="1:29" s="11" customFormat="1" ht="15.75">
      <c r="A136" s="61"/>
      <c r="B136" s="61"/>
      <c r="C136" s="61"/>
      <c r="D136" s="61"/>
      <c r="E136" s="61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462" t="s">
        <v>254</v>
      </c>
      <c r="AA136" s="462"/>
      <c r="AB136" s="462"/>
      <c r="AC136" s="462"/>
    </row>
    <row r="137" spans="1:29" s="11" customFormat="1" ht="15.7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  <c r="AB137" s="65"/>
      <c r="AC137" s="65"/>
    </row>
    <row r="138" spans="1:29" s="11" customFormat="1" ht="15.7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  <c r="AB138" s="65"/>
      <c r="AC138" s="65"/>
    </row>
    <row r="139" spans="1:29" s="11" customFormat="1" ht="15.75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  <c r="AB139" s="65"/>
      <c r="AC139" s="65"/>
    </row>
    <row r="140" spans="1:29" s="11" customFormat="1" ht="15.7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  <c r="AB140" s="65"/>
      <c r="AC140" s="65"/>
    </row>
    <row r="141" spans="1:29" s="11" customFormat="1" ht="15.7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  <c r="AB141" s="65"/>
      <c r="AC141" s="65"/>
    </row>
    <row r="142" spans="1:29" s="11" customFormat="1" ht="15.7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  <c r="AB142" s="65"/>
      <c r="AC142" s="65"/>
    </row>
    <row r="143" spans="1:29" s="11" customFormat="1" ht="15.7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  <c r="AB143" s="65"/>
      <c r="AC143" s="65"/>
    </row>
    <row r="144" spans="1:29" s="11" customFormat="1" ht="15.7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  <c r="AB144" s="65"/>
      <c r="AC144" s="65"/>
    </row>
    <row r="145" spans="1:29" s="11" customFormat="1" ht="15.75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  <c r="AB145" s="65"/>
      <c r="AC145" s="65"/>
    </row>
    <row r="146" spans="1:29" s="11" customFormat="1" ht="15.75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  <c r="AB146" s="65"/>
      <c r="AC146" s="65"/>
    </row>
    <row r="147" spans="1:29" s="11" customFormat="1" ht="15.75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  <c r="AB147" s="65"/>
      <c r="AC147" s="65"/>
    </row>
    <row r="148" spans="1:29" s="11" customFormat="1" ht="15.75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  <c r="AB148" s="65"/>
      <c r="AC148" s="65"/>
    </row>
    <row r="149" spans="1:29" s="1" customFormat="1" ht="24" customHeight="1">
      <c r="A149" s="388" t="s">
        <v>342</v>
      </c>
      <c r="B149" s="388"/>
      <c r="C149" s="388"/>
      <c r="D149" s="388"/>
      <c r="E149" s="388"/>
      <c r="F149" s="388"/>
      <c r="G149" s="388"/>
      <c r="H149" s="388"/>
      <c r="I149" s="388"/>
      <c r="J149" s="388"/>
      <c r="K149" s="388"/>
      <c r="L149" s="388"/>
      <c r="M149" s="388"/>
      <c r="N149" s="388"/>
      <c r="O149" s="388"/>
      <c r="P149" s="388"/>
      <c r="Q149" s="388"/>
      <c r="R149" s="388"/>
      <c r="S149" s="388"/>
      <c r="T149" s="388"/>
      <c r="U149" s="388"/>
      <c r="V149" s="388"/>
      <c r="W149" s="388"/>
      <c r="X149" s="388"/>
      <c r="Y149" s="388"/>
      <c r="Z149" s="388"/>
      <c r="AA149" s="388"/>
      <c r="AB149" s="388"/>
      <c r="AC149" s="388"/>
    </row>
    <row r="150" spans="1:29" s="1" customFormat="1" ht="17.25" customHeight="1">
      <c r="A150" s="379" t="s">
        <v>343</v>
      </c>
      <c r="B150" s="379"/>
      <c r="C150" s="379"/>
      <c r="D150" s="379"/>
      <c r="E150" s="379"/>
      <c r="F150" s="379"/>
      <c r="G150" s="379"/>
      <c r="H150" s="379"/>
      <c r="I150" s="379"/>
      <c r="J150" s="379"/>
      <c r="K150" s="379"/>
      <c r="L150" s="379"/>
      <c r="M150" s="379"/>
      <c r="N150" s="379"/>
      <c r="O150" s="379"/>
      <c r="P150" s="379"/>
      <c r="Q150" s="379"/>
      <c r="R150" s="379"/>
      <c r="S150" s="379"/>
      <c r="T150" s="379"/>
      <c r="U150" s="379"/>
      <c r="V150" s="379"/>
      <c r="W150" s="379"/>
      <c r="X150" s="379"/>
      <c r="Y150" s="379"/>
      <c r="Z150" s="379"/>
      <c r="AA150" s="379"/>
      <c r="AB150" s="379"/>
      <c r="AC150" s="379"/>
    </row>
    <row r="151" spans="1:29" s="1" customFormat="1" ht="15.75" customHeight="1">
      <c r="A151" s="313" t="s">
        <v>274</v>
      </c>
      <c r="B151" s="313"/>
      <c r="C151" s="313"/>
      <c r="D151" s="313"/>
      <c r="E151" s="313"/>
      <c r="F151" s="313"/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  <c r="T151" s="313"/>
      <c r="U151" s="313"/>
      <c r="V151" s="313"/>
      <c r="W151" s="313"/>
      <c r="X151" s="313"/>
      <c r="Y151" s="313"/>
      <c r="Z151" s="313"/>
      <c r="AA151" s="313"/>
      <c r="AB151" s="313"/>
      <c r="AC151" s="313"/>
    </row>
    <row r="152" spans="1:29" ht="20.25">
      <c r="A152" s="379" t="s">
        <v>332</v>
      </c>
      <c r="B152" s="470"/>
      <c r="C152" s="470"/>
      <c r="D152" s="470"/>
      <c r="E152" s="470"/>
      <c r="F152" s="470"/>
      <c r="G152" s="470"/>
      <c r="H152" s="470"/>
      <c r="I152" s="470"/>
      <c r="J152" s="470"/>
      <c r="K152" s="470"/>
      <c r="L152" s="470"/>
      <c r="M152" s="470"/>
      <c r="N152" s="470"/>
      <c r="O152" s="470"/>
      <c r="P152" s="470"/>
      <c r="Q152" s="470"/>
      <c r="R152" s="470"/>
      <c r="S152" s="470"/>
      <c r="T152" s="470"/>
      <c r="U152" s="470"/>
      <c r="V152" s="470"/>
      <c r="W152" s="470"/>
      <c r="X152" s="470"/>
      <c r="Y152" s="470"/>
      <c r="Z152" s="470"/>
      <c r="AA152" s="470"/>
      <c r="AB152" s="470"/>
      <c r="AC152" s="470"/>
    </row>
    <row r="153" spans="1:29" ht="15" customHeight="1">
      <c r="A153" s="392" t="s">
        <v>15</v>
      </c>
      <c r="B153" s="392" t="s">
        <v>64</v>
      </c>
      <c r="C153" s="392" t="s">
        <v>65</v>
      </c>
      <c r="D153" s="471" t="s">
        <v>66</v>
      </c>
      <c r="E153" s="116"/>
      <c r="F153" s="463"/>
      <c r="G153" s="463"/>
      <c r="H153" s="463"/>
      <c r="I153" s="463"/>
      <c r="J153" s="463"/>
      <c r="K153" s="463"/>
      <c r="L153" s="392" t="s">
        <v>88</v>
      </c>
      <c r="M153" s="83" t="s">
        <v>157</v>
      </c>
      <c r="N153" s="382" t="s">
        <v>84</v>
      </c>
      <c r="O153" s="382" t="s">
        <v>138</v>
      </c>
      <c r="P153" s="382"/>
      <c r="Q153" s="473" t="s">
        <v>139</v>
      </c>
      <c r="R153" s="473"/>
      <c r="S153" s="474" t="s">
        <v>86</v>
      </c>
      <c r="T153" s="474"/>
      <c r="U153" s="474" t="s">
        <v>25</v>
      </c>
      <c r="V153" s="474"/>
      <c r="W153" s="474" t="s">
        <v>87</v>
      </c>
      <c r="X153" s="475" t="s">
        <v>561</v>
      </c>
      <c r="Y153" s="481" t="s">
        <v>560</v>
      </c>
      <c r="Z153" s="476" t="s">
        <v>140</v>
      </c>
      <c r="AA153" s="476"/>
      <c r="AB153" s="476"/>
      <c r="AC153" s="476"/>
    </row>
    <row r="154" spans="1:29">
      <c r="A154" s="393"/>
      <c r="B154" s="393"/>
      <c r="C154" s="393"/>
      <c r="D154" s="472"/>
      <c r="E154" s="104"/>
      <c r="F154" s="105" t="s">
        <v>336</v>
      </c>
      <c r="G154" s="105" t="s">
        <v>337</v>
      </c>
      <c r="H154" s="105" t="s">
        <v>338</v>
      </c>
      <c r="I154" s="105" t="s">
        <v>339</v>
      </c>
      <c r="J154" s="105" t="s">
        <v>340</v>
      </c>
      <c r="K154" s="105" t="s">
        <v>341</v>
      </c>
      <c r="L154" s="393"/>
      <c r="M154" s="83"/>
      <c r="N154" s="382"/>
      <c r="O154" s="83" t="s">
        <v>85</v>
      </c>
      <c r="P154" s="83" t="s">
        <v>70</v>
      </c>
      <c r="Q154" s="106" t="s">
        <v>85</v>
      </c>
      <c r="R154" s="106" t="s">
        <v>70</v>
      </c>
      <c r="S154" s="83" t="s">
        <v>86</v>
      </c>
      <c r="T154" s="107" t="s">
        <v>70</v>
      </c>
      <c r="U154" s="107" t="s">
        <v>25</v>
      </c>
      <c r="V154" s="107" t="s">
        <v>70</v>
      </c>
      <c r="W154" s="474"/>
      <c r="X154" s="475"/>
      <c r="Y154" s="482"/>
      <c r="Z154" s="108" t="s">
        <v>155</v>
      </c>
      <c r="AA154" s="108" t="s">
        <v>156</v>
      </c>
      <c r="AB154" s="108" t="s">
        <v>141</v>
      </c>
      <c r="AC154" s="108" t="s">
        <v>70</v>
      </c>
    </row>
    <row r="155" spans="1:29">
      <c r="A155" s="117">
        <v>1</v>
      </c>
      <c r="B155" s="121" t="s">
        <v>225</v>
      </c>
      <c r="C155" s="119" t="s">
        <v>196</v>
      </c>
      <c r="D155" s="120">
        <v>17</v>
      </c>
      <c r="E155" s="120"/>
      <c r="F155" s="120">
        <v>42967</v>
      </c>
      <c r="G155" s="120">
        <v>42200</v>
      </c>
      <c r="H155" s="120">
        <v>38925</v>
      </c>
      <c r="I155" s="120">
        <v>55030</v>
      </c>
      <c r="J155" s="120">
        <v>47410</v>
      </c>
      <c r="K155" s="120">
        <v>40140</v>
      </c>
      <c r="L155" s="117">
        <f>SUM(F155:K155)</f>
        <v>266672</v>
      </c>
      <c r="M155" s="117">
        <v>4.5</v>
      </c>
      <c r="N155" s="117">
        <f>M155*L155</f>
        <v>1200024</v>
      </c>
      <c r="O155" s="126">
        <f>'MSPL-3(Lot)'!I187+'MSPL-3(Lot)'!I224+'MSPL-3(Lot)'!I262+'MSPL-3(Lot)'!I299+'MSPL-3(Lot)'!I335+'MSPL-3(Lot)'!I372</f>
        <v>0</v>
      </c>
      <c r="P155" s="126">
        <f>N155-O155</f>
        <v>1200024</v>
      </c>
      <c r="Q155" s="117">
        <f>O155/M155</f>
        <v>0</v>
      </c>
      <c r="R155" s="117">
        <f>L155-Q155</f>
        <v>266672</v>
      </c>
      <c r="S155" s="126">
        <f>'MSPL-3(Lot)'!M187+'MSPL-3(Lot)'!M224+'MSPL-3(Lot)'!M262+'MSPL-3(Lot)'!M299+'MSPL-3(Lot)'!M335+'MSPL-3(Lot)'!M372</f>
        <v>0</v>
      </c>
      <c r="T155" s="126">
        <f>L155-S155</f>
        <v>266672</v>
      </c>
      <c r="U155" s="117">
        <f>'MSPL-3(Lot)'!O187+'MSPL-3(Lot)'!O224+'MSPL-3(Lot)'!O262+'MSPL-3(Lot)'!O299+'MSPL-3(Lot)'!O335+'MSPL-3(Lot)'!O372</f>
        <v>0</v>
      </c>
      <c r="V155" s="117">
        <f>L155-U155</f>
        <v>266672</v>
      </c>
      <c r="W155" s="126">
        <f>S155-U155</f>
        <v>0</v>
      </c>
      <c r="X155" s="117">
        <f>D155*S155/1000</f>
        <v>0</v>
      </c>
      <c r="Y155" s="117">
        <f>Q155-S155</f>
        <v>0</v>
      </c>
      <c r="Z155" s="117">
        <f>D155*L155/1000</f>
        <v>4533.424</v>
      </c>
      <c r="AA155" s="117">
        <f>Z155/75</f>
        <v>60.445653333333333</v>
      </c>
      <c r="AB155" s="117">
        <f>D155*Q155/1000/75</f>
        <v>0</v>
      </c>
      <c r="AC155" s="117">
        <f>AA155-AB155</f>
        <v>60.445653333333333</v>
      </c>
    </row>
    <row r="156" spans="1:29">
      <c r="A156" s="117">
        <v>2</v>
      </c>
      <c r="B156" s="121" t="s">
        <v>173</v>
      </c>
      <c r="C156" s="119" t="s">
        <v>196</v>
      </c>
      <c r="D156" s="120">
        <v>8</v>
      </c>
      <c r="E156" s="120"/>
      <c r="F156" s="120">
        <v>42967</v>
      </c>
      <c r="G156" s="120">
        <v>42200</v>
      </c>
      <c r="H156" s="120">
        <v>38925</v>
      </c>
      <c r="I156" s="120">
        <v>55030</v>
      </c>
      <c r="J156" s="120">
        <v>47410</v>
      </c>
      <c r="K156" s="120">
        <v>40140</v>
      </c>
      <c r="L156" s="117">
        <f t="shared" ref="L156:L176" si="60">SUM(F156:K156)</f>
        <v>266672</v>
      </c>
      <c r="M156" s="117">
        <v>2</v>
      </c>
      <c r="N156" s="117">
        <f t="shared" ref="N156:N176" si="61">M156*L156</f>
        <v>533344</v>
      </c>
      <c r="O156" s="126">
        <f>'MSPL-3(Lot)'!I188+'MSPL-3(Lot)'!I225+'MSPL-3(Lot)'!I263+'MSPL-3(Lot)'!I300+'MSPL-3(Lot)'!I336+'MSPL-3(Lot)'!I373</f>
        <v>0</v>
      </c>
      <c r="P156" s="126">
        <f t="shared" ref="P156:P176" si="62">N156-O156</f>
        <v>533344</v>
      </c>
      <c r="Q156" s="117">
        <f t="shared" ref="Q156:Q176" si="63">O156/M156</f>
        <v>0</v>
      </c>
      <c r="R156" s="117">
        <f t="shared" ref="R156:R176" si="64">L156-Q156</f>
        <v>266672</v>
      </c>
      <c r="S156" s="126">
        <f>'MSPL-3(Lot)'!M188+'MSPL-3(Lot)'!M225+'MSPL-3(Lot)'!M263+'MSPL-3(Lot)'!M300+'MSPL-3(Lot)'!M336+'MSPL-3(Lot)'!M373</f>
        <v>0</v>
      </c>
      <c r="T156" s="126">
        <f t="shared" ref="T156:T176" si="65">L156-S156</f>
        <v>266672</v>
      </c>
      <c r="U156" s="117">
        <f>'MSPL-3(Lot)'!O188+'MSPL-3(Lot)'!O225+'MSPL-3(Lot)'!O263+'MSPL-3(Lot)'!O300+'MSPL-3(Lot)'!O336+'MSPL-3(Lot)'!O373</f>
        <v>0</v>
      </c>
      <c r="V156" s="117">
        <f t="shared" ref="V156:V176" si="66">L156-U156</f>
        <v>266672</v>
      </c>
      <c r="W156" s="126">
        <f t="shared" ref="W156:W176" si="67">S156-U156</f>
        <v>0</v>
      </c>
      <c r="X156" s="117">
        <f t="shared" ref="X156:X176" si="68">D156*S156/1000</f>
        <v>0</v>
      </c>
      <c r="Y156" s="117">
        <f t="shared" ref="Y156:Y176" si="69">Q156-S156</f>
        <v>0</v>
      </c>
      <c r="Z156" s="117">
        <f t="shared" ref="Z156:Z176" si="70">D156*L156/1000</f>
        <v>2133.3760000000002</v>
      </c>
      <c r="AA156" s="117">
        <f t="shared" ref="AA156:AA176" si="71">Z156/75</f>
        <v>28.445013333333335</v>
      </c>
      <c r="AB156" s="117">
        <f t="shared" ref="AB156:AB176" si="72">D156*Q156/1000/75</f>
        <v>0</v>
      </c>
      <c r="AC156" s="117">
        <f t="shared" ref="AC156:AC176" si="73">AA156-AB156</f>
        <v>28.445013333333335</v>
      </c>
    </row>
    <row r="157" spans="1:29">
      <c r="A157" s="117">
        <v>3</v>
      </c>
      <c r="B157" s="121" t="s">
        <v>56</v>
      </c>
      <c r="C157" s="119" t="s">
        <v>196</v>
      </c>
      <c r="D157" s="120">
        <v>17.5</v>
      </c>
      <c r="E157" s="120"/>
      <c r="F157" s="120">
        <v>42967</v>
      </c>
      <c r="G157" s="120">
        <v>42200</v>
      </c>
      <c r="H157" s="120">
        <v>38925</v>
      </c>
      <c r="I157" s="120">
        <v>55030</v>
      </c>
      <c r="J157" s="120">
        <v>47410</v>
      </c>
      <c r="K157" s="120">
        <v>40140</v>
      </c>
      <c r="L157" s="117">
        <f t="shared" si="60"/>
        <v>266672</v>
      </c>
      <c r="M157" s="117">
        <v>4.75</v>
      </c>
      <c r="N157" s="117">
        <f t="shared" si="61"/>
        <v>1266692</v>
      </c>
      <c r="O157" s="126">
        <f>'MSPL-3(Lot)'!I189+'MSPL-3(Lot)'!I226+'MSPL-3(Lot)'!I264+'MSPL-3(Lot)'!I301+'MSPL-3(Lot)'!I337+'MSPL-3(Lot)'!I374</f>
        <v>0</v>
      </c>
      <c r="P157" s="126">
        <f t="shared" si="62"/>
        <v>1266692</v>
      </c>
      <c r="Q157" s="117">
        <f t="shared" si="63"/>
        <v>0</v>
      </c>
      <c r="R157" s="117">
        <f t="shared" si="64"/>
        <v>266672</v>
      </c>
      <c r="S157" s="126">
        <f>'MSPL-3(Lot)'!M189+'MSPL-3(Lot)'!M226+'MSPL-3(Lot)'!M264+'MSPL-3(Lot)'!M301+'MSPL-3(Lot)'!M337+'MSPL-3(Lot)'!M374</f>
        <v>0</v>
      </c>
      <c r="T157" s="126">
        <f t="shared" si="65"/>
        <v>266672</v>
      </c>
      <c r="U157" s="117">
        <f>'MSPL-3(Lot)'!O189+'MSPL-3(Lot)'!O226+'MSPL-3(Lot)'!O264+'MSPL-3(Lot)'!O301+'MSPL-3(Lot)'!O337+'MSPL-3(Lot)'!O374</f>
        <v>0</v>
      </c>
      <c r="V157" s="117">
        <f t="shared" si="66"/>
        <v>266672</v>
      </c>
      <c r="W157" s="126">
        <f t="shared" si="67"/>
        <v>0</v>
      </c>
      <c r="X157" s="117">
        <f t="shared" si="68"/>
        <v>0</v>
      </c>
      <c r="Y157" s="117">
        <f>Q157-S157</f>
        <v>0</v>
      </c>
      <c r="Z157" s="117">
        <f t="shared" si="70"/>
        <v>4666.76</v>
      </c>
      <c r="AA157" s="117">
        <f t="shared" si="71"/>
        <v>62.223466666666667</v>
      </c>
      <c r="AB157" s="117">
        <f t="shared" si="72"/>
        <v>0</v>
      </c>
      <c r="AC157" s="117">
        <f t="shared" si="73"/>
        <v>62.223466666666667</v>
      </c>
    </row>
    <row r="158" spans="1:29">
      <c r="A158" s="117">
        <v>4</v>
      </c>
      <c r="B158" s="121" t="s">
        <v>27</v>
      </c>
      <c r="C158" s="119" t="s">
        <v>196</v>
      </c>
      <c r="D158" s="120">
        <v>20</v>
      </c>
      <c r="E158" s="120"/>
      <c r="F158" s="120">
        <v>42967</v>
      </c>
      <c r="G158" s="120">
        <v>42200</v>
      </c>
      <c r="H158" s="120">
        <v>38925</v>
      </c>
      <c r="I158" s="120">
        <v>55030</v>
      </c>
      <c r="J158" s="120">
        <v>47410</v>
      </c>
      <c r="K158" s="120">
        <v>40140</v>
      </c>
      <c r="L158" s="117">
        <f t="shared" si="60"/>
        <v>266672</v>
      </c>
      <c r="M158" s="117">
        <v>5</v>
      </c>
      <c r="N158" s="117">
        <f t="shared" si="61"/>
        <v>1333360</v>
      </c>
      <c r="O158" s="126">
        <f>'MSPL-3(Lot)'!I190+'MSPL-3(Lot)'!I227+'MSPL-3(Lot)'!I265+'MSPL-3(Lot)'!I302+'MSPL-3(Lot)'!I338+'MSPL-3(Lot)'!I375</f>
        <v>0</v>
      </c>
      <c r="P158" s="126">
        <f t="shared" si="62"/>
        <v>1333360</v>
      </c>
      <c r="Q158" s="117">
        <f t="shared" si="63"/>
        <v>0</v>
      </c>
      <c r="R158" s="117">
        <f t="shared" si="64"/>
        <v>266672</v>
      </c>
      <c r="S158" s="126">
        <f>'MSPL-3(Lot)'!M190+'MSPL-3(Lot)'!M227+'MSPL-3(Lot)'!M265+'MSPL-3(Lot)'!M302+'MSPL-3(Lot)'!M338+'MSPL-3(Lot)'!M375</f>
        <v>0</v>
      </c>
      <c r="T158" s="126">
        <f t="shared" si="65"/>
        <v>266672</v>
      </c>
      <c r="U158" s="117">
        <f>'MSPL-3(Lot)'!O190+'MSPL-3(Lot)'!O227+'MSPL-3(Lot)'!O265+'MSPL-3(Lot)'!O302+'MSPL-3(Lot)'!O338+'MSPL-3(Lot)'!O375</f>
        <v>0</v>
      </c>
      <c r="V158" s="117">
        <f t="shared" si="66"/>
        <v>266672</v>
      </c>
      <c r="W158" s="126">
        <f t="shared" si="67"/>
        <v>0</v>
      </c>
      <c r="X158" s="117">
        <f t="shared" si="68"/>
        <v>0</v>
      </c>
      <c r="Y158" s="117">
        <f t="shared" si="69"/>
        <v>0</v>
      </c>
      <c r="Z158" s="117">
        <f t="shared" si="70"/>
        <v>5333.44</v>
      </c>
      <c r="AA158" s="117">
        <f t="shared" si="71"/>
        <v>71.112533333333332</v>
      </c>
      <c r="AB158" s="117">
        <f t="shared" si="72"/>
        <v>0</v>
      </c>
      <c r="AC158" s="117">
        <f t="shared" si="73"/>
        <v>71.112533333333332</v>
      </c>
    </row>
    <row r="159" spans="1:29">
      <c r="A159" s="117">
        <v>5</v>
      </c>
      <c r="B159" s="121" t="s">
        <v>175</v>
      </c>
      <c r="C159" s="119" t="s">
        <v>196</v>
      </c>
      <c r="D159" s="120">
        <v>31</v>
      </c>
      <c r="E159" s="120"/>
      <c r="F159" s="120">
        <v>42967</v>
      </c>
      <c r="G159" s="120">
        <v>42200</v>
      </c>
      <c r="H159" s="120">
        <v>38925</v>
      </c>
      <c r="I159" s="120">
        <v>55030</v>
      </c>
      <c r="J159" s="120">
        <v>47410</v>
      </c>
      <c r="K159" s="120">
        <v>40140</v>
      </c>
      <c r="L159" s="117">
        <f t="shared" si="60"/>
        <v>266672</v>
      </c>
      <c r="M159" s="117">
        <v>8.5</v>
      </c>
      <c r="N159" s="117">
        <f t="shared" si="61"/>
        <v>2266712</v>
      </c>
      <c r="O159" s="126">
        <f>'MSPL-3(Lot)'!I191+'MSPL-3(Lot)'!I228+'MSPL-3(Lot)'!I266+'MSPL-3(Lot)'!I303+'MSPL-3(Lot)'!I339+'MSPL-3(Lot)'!I376</f>
        <v>0</v>
      </c>
      <c r="P159" s="126">
        <f t="shared" si="62"/>
        <v>2266712</v>
      </c>
      <c r="Q159" s="117">
        <f t="shared" si="63"/>
        <v>0</v>
      </c>
      <c r="R159" s="117">
        <f t="shared" si="64"/>
        <v>266672</v>
      </c>
      <c r="S159" s="126">
        <f>'MSPL-3(Lot)'!M191+'MSPL-3(Lot)'!M228+'MSPL-3(Lot)'!M266+'MSPL-3(Lot)'!M303+'MSPL-3(Lot)'!M339+'MSPL-3(Lot)'!M376</f>
        <v>0</v>
      </c>
      <c r="T159" s="126">
        <f t="shared" si="65"/>
        <v>266672</v>
      </c>
      <c r="U159" s="117">
        <f>'MSPL-3(Lot)'!O191+'MSPL-3(Lot)'!O228+'MSPL-3(Lot)'!O266+'MSPL-3(Lot)'!O303+'MSPL-3(Lot)'!O339+'MSPL-3(Lot)'!O376</f>
        <v>0</v>
      </c>
      <c r="V159" s="117">
        <f t="shared" si="66"/>
        <v>266672</v>
      </c>
      <c r="W159" s="126">
        <f t="shared" si="67"/>
        <v>0</v>
      </c>
      <c r="X159" s="117">
        <f t="shared" si="68"/>
        <v>0</v>
      </c>
      <c r="Y159" s="117">
        <f t="shared" si="69"/>
        <v>0</v>
      </c>
      <c r="Z159" s="117">
        <f t="shared" si="70"/>
        <v>8266.8320000000003</v>
      </c>
      <c r="AA159" s="117">
        <f t="shared" si="71"/>
        <v>110.22442666666667</v>
      </c>
      <c r="AB159" s="117">
        <f t="shared" si="72"/>
        <v>0</v>
      </c>
      <c r="AC159" s="117">
        <f t="shared" si="73"/>
        <v>110.22442666666667</v>
      </c>
    </row>
    <row r="160" spans="1:29">
      <c r="A160" s="117">
        <v>6</v>
      </c>
      <c r="B160" s="121" t="s">
        <v>31</v>
      </c>
      <c r="C160" s="119" t="s">
        <v>196</v>
      </c>
      <c r="D160" s="120">
        <v>23.5</v>
      </c>
      <c r="E160" s="120"/>
      <c r="F160" s="120">
        <v>42967</v>
      </c>
      <c r="G160" s="120">
        <v>42200</v>
      </c>
      <c r="H160" s="120">
        <v>38925</v>
      </c>
      <c r="I160" s="120">
        <v>55030</v>
      </c>
      <c r="J160" s="120">
        <v>47410</v>
      </c>
      <c r="K160" s="120">
        <v>40140</v>
      </c>
      <c r="L160" s="117">
        <f t="shared" si="60"/>
        <v>266672</v>
      </c>
      <c r="M160" s="117">
        <v>6.75</v>
      </c>
      <c r="N160" s="117">
        <f t="shared" si="61"/>
        <v>1800036</v>
      </c>
      <c r="O160" s="126">
        <f>'MSPL-3(Lot)'!I192+'MSPL-3(Lot)'!I229+'MSPL-3(Lot)'!I267+'MSPL-3(Lot)'!I304+'MSPL-3(Lot)'!I340+'MSPL-3(Lot)'!I377</f>
        <v>0</v>
      </c>
      <c r="P160" s="126">
        <f t="shared" si="62"/>
        <v>1800036</v>
      </c>
      <c r="Q160" s="117">
        <f t="shared" si="63"/>
        <v>0</v>
      </c>
      <c r="R160" s="117">
        <f t="shared" si="64"/>
        <v>266672</v>
      </c>
      <c r="S160" s="126">
        <f>'MSPL-3(Lot)'!M192+'MSPL-3(Lot)'!M229+'MSPL-3(Lot)'!M267+'MSPL-3(Lot)'!M304+'MSPL-3(Lot)'!M340+'MSPL-3(Lot)'!M377</f>
        <v>0</v>
      </c>
      <c r="T160" s="126">
        <f t="shared" si="65"/>
        <v>266672</v>
      </c>
      <c r="U160" s="117">
        <f>'MSPL-3(Lot)'!O192+'MSPL-3(Lot)'!O229+'MSPL-3(Lot)'!O267+'MSPL-3(Lot)'!O304+'MSPL-3(Lot)'!O340+'MSPL-3(Lot)'!O377</f>
        <v>0</v>
      </c>
      <c r="V160" s="117">
        <f t="shared" si="66"/>
        <v>266672</v>
      </c>
      <c r="W160" s="126">
        <f t="shared" si="67"/>
        <v>0</v>
      </c>
      <c r="X160" s="117">
        <f t="shared" si="68"/>
        <v>0</v>
      </c>
      <c r="Y160" s="117">
        <f t="shared" si="69"/>
        <v>0</v>
      </c>
      <c r="Z160" s="117">
        <f t="shared" si="70"/>
        <v>6266.7920000000004</v>
      </c>
      <c r="AA160" s="117">
        <f t="shared" si="71"/>
        <v>83.557226666666665</v>
      </c>
      <c r="AB160" s="117">
        <f t="shared" si="72"/>
        <v>0</v>
      </c>
      <c r="AC160" s="117">
        <f t="shared" si="73"/>
        <v>83.557226666666665</v>
      </c>
    </row>
    <row r="161" spans="1:29">
      <c r="A161" s="117">
        <v>7</v>
      </c>
      <c r="B161" s="121" t="s">
        <v>72</v>
      </c>
      <c r="C161" s="119" t="s">
        <v>196</v>
      </c>
      <c r="D161" s="120">
        <v>18.5</v>
      </c>
      <c r="E161" s="120"/>
      <c r="F161" s="120">
        <v>42967</v>
      </c>
      <c r="G161" s="120">
        <v>42200</v>
      </c>
      <c r="H161" s="120">
        <v>38925</v>
      </c>
      <c r="I161" s="120">
        <v>55030</v>
      </c>
      <c r="J161" s="120">
        <v>47410</v>
      </c>
      <c r="K161" s="120">
        <v>40140</v>
      </c>
      <c r="L161" s="117">
        <f t="shared" si="60"/>
        <v>266672</v>
      </c>
      <c r="M161" s="117">
        <v>5.25</v>
      </c>
      <c r="N161" s="117">
        <f t="shared" si="61"/>
        <v>1400028</v>
      </c>
      <c r="O161" s="126">
        <f>'MSPL-3(Lot)'!I193+'MSPL-3(Lot)'!I230+'MSPL-3(Lot)'!I268+'MSPL-3(Lot)'!I305+'MSPL-3(Lot)'!I341+'MSPL-3(Lot)'!I378</f>
        <v>0</v>
      </c>
      <c r="P161" s="126">
        <f t="shared" si="62"/>
        <v>1400028</v>
      </c>
      <c r="Q161" s="117">
        <f t="shared" si="63"/>
        <v>0</v>
      </c>
      <c r="R161" s="117">
        <f t="shared" si="64"/>
        <v>266672</v>
      </c>
      <c r="S161" s="126">
        <f>'MSPL-3(Lot)'!M193+'MSPL-3(Lot)'!M230+'MSPL-3(Lot)'!M268+'MSPL-3(Lot)'!M305+'MSPL-3(Lot)'!M341+'MSPL-3(Lot)'!M378</f>
        <v>0</v>
      </c>
      <c r="T161" s="126">
        <f t="shared" si="65"/>
        <v>266672</v>
      </c>
      <c r="U161" s="117">
        <f>'MSPL-3(Lot)'!O193+'MSPL-3(Lot)'!O230+'MSPL-3(Lot)'!O268+'MSPL-3(Lot)'!O305+'MSPL-3(Lot)'!O341+'MSPL-3(Lot)'!O378</f>
        <v>0</v>
      </c>
      <c r="V161" s="117">
        <f t="shared" si="66"/>
        <v>266672</v>
      </c>
      <c r="W161" s="126">
        <f t="shared" si="67"/>
        <v>0</v>
      </c>
      <c r="X161" s="117">
        <f t="shared" si="68"/>
        <v>0</v>
      </c>
      <c r="Y161" s="117">
        <f t="shared" si="69"/>
        <v>0</v>
      </c>
      <c r="Z161" s="117">
        <f t="shared" si="70"/>
        <v>4933.4319999999998</v>
      </c>
      <c r="AA161" s="117">
        <f t="shared" si="71"/>
        <v>65.779093333333336</v>
      </c>
      <c r="AB161" s="117">
        <f t="shared" si="72"/>
        <v>0</v>
      </c>
      <c r="AC161" s="117">
        <f t="shared" si="73"/>
        <v>65.779093333333336</v>
      </c>
    </row>
    <row r="162" spans="1:29">
      <c r="A162" s="117">
        <v>8</v>
      </c>
      <c r="B162" s="121" t="s">
        <v>32</v>
      </c>
      <c r="C162" s="119" t="s">
        <v>196</v>
      </c>
      <c r="D162" s="120">
        <v>20</v>
      </c>
      <c r="E162" s="120"/>
      <c r="F162" s="120">
        <v>42967</v>
      </c>
      <c r="G162" s="120">
        <v>42200</v>
      </c>
      <c r="H162" s="120">
        <v>38925</v>
      </c>
      <c r="I162" s="120">
        <v>55030</v>
      </c>
      <c r="J162" s="120">
        <v>47410</v>
      </c>
      <c r="K162" s="120">
        <v>40140</v>
      </c>
      <c r="L162" s="117">
        <f t="shared" si="60"/>
        <v>266672</v>
      </c>
      <c r="M162" s="117">
        <v>5</v>
      </c>
      <c r="N162" s="117">
        <f t="shared" si="61"/>
        <v>1333360</v>
      </c>
      <c r="O162" s="126">
        <f>'MSPL-3(Lot)'!I194+'MSPL-3(Lot)'!I231+'MSPL-3(Lot)'!I269+'MSPL-3(Lot)'!I306+'MSPL-3(Lot)'!I342+'MSPL-3(Lot)'!I379</f>
        <v>0</v>
      </c>
      <c r="P162" s="126">
        <f t="shared" si="62"/>
        <v>1333360</v>
      </c>
      <c r="Q162" s="117">
        <f t="shared" si="63"/>
        <v>0</v>
      </c>
      <c r="R162" s="117">
        <f t="shared" si="64"/>
        <v>266672</v>
      </c>
      <c r="S162" s="126">
        <f>'MSPL-3(Lot)'!M194+'MSPL-3(Lot)'!M231+'MSPL-3(Lot)'!M269+'MSPL-3(Lot)'!M306+'MSPL-3(Lot)'!M342+'MSPL-3(Lot)'!M379</f>
        <v>0</v>
      </c>
      <c r="T162" s="126">
        <f t="shared" si="65"/>
        <v>266672</v>
      </c>
      <c r="U162" s="117">
        <f>'MSPL-3(Lot)'!O194+'MSPL-3(Lot)'!O231+'MSPL-3(Lot)'!O269+'MSPL-3(Lot)'!O306+'MSPL-3(Lot)'!O342+'MSPL-3(Lot)'!O379</f>
        <v>0</v>
      </c>
      <c r="V162" s="117">
        <f t="shared" si="66"/>
        <v>266672</v>
      </c>
      <c r="W162" s="126">
        <f t="shared" si="67"/>
        <v>0</v>
      </c>
      <c r="X162" s="117">
        <f t="shared" si="68"/>
        <v>0</v>
      </c>
      <c r="Y162" s="117">
        <f t="shared" si="69"/>
        <v>0</v>
      </c>
      <c r="Z162" s="117">
        <f t="shared" si="70"/>
        <v>5333.44</v>
      </c>
      <c r="AA162" s="117">
        <f t="shared" si="71"/>
        <v>71.112533333333332</v>
      </c>
      <c r="AB162" s="117">
        <f t="shared" si="72"/>
        <v>0</v>
      </c>
      <c r="AC162" s="117">
        <f t="shared" si="73"/>
        <v>71.112533333333332</v>
      </c>
    </row>
    <row r="163" spans="1:29">
      <c r="A163" s="117">
        <v>9</v>
      </c>
      <c r="B163" s="121" t="s">
        <v>43</v>
      </c>
      <c r="C163" s="119" t="s">
        <v>196</v>
      </c>
      <c r="D163" s="120">
        <v>9</v>
      </c>
      <c r="E163" s="120"/>
      <c r="F163" s="120">
        <v>4000</v>
      </c>
      <c r="G163" s="120">
        <v>2000</v>
      </c>
      <c r="H163" s="120">
        <v>190</v>
      </c>
      <c r="I163" s="120">
        <v>1750</v>
      </c>
      <c r="J163" s="120">
        <v>4400</v>
      </c>
      <c r="K163" s="120">
        <v>1305</v>
      </c>
      <c r="L163" s="117">
        <f t="shared" si="60"/>
        <v>13645</v>
      </c>
      <c r="M163" s="117">
        <v>2.5</v>
      </c>
      <c r="N163" s="117">
        <f t="shared" si="61"/>
        <v>34112.5</v>
      </c>
      <c r="O163" s="126">
        <f>'MSPL-3(Lot)'!I195+'MSPL-3(Lot)'!I232+'MSPL-3(Lot)'!I270+'MSPL-3(Lot)'!I307+'MSPL-3(Lot)'!I343+'MSPL-3(Lot)'!I380</f>
        <v>0</v>
      </c>
      <c r="P163" s="126">
        <f t="shared" si="62"/>
        <v>34112.5</v>
      </c>
      <c r="Q163" s="117">
        <f t="shared" si="63"/>
        <v>0</v>
      </c>
      <c r="R163" s="117">
        <f t="shared" si="64"/>
        <v>13645</v>
      </c>
      <c r="S163" s="126">
        <f>'MSPL-3(Lot)'!M195+'MSPL-3(Lot)'!M232+'MSPL-3(Lot)'!M270+'MSPL-3(Lot)'!M307+'MSPL-3(Lot)'!M343+'MSPL-3(Lot)'!M380</f>
        <v>0</v>
      </c>
      <c r="T163" s="126">
        <f t="shared" si="65"/>
        <v>13645</v>
      </c>
      <c r="U163" s="117">
        <f>'MSPL-3(Lot)'!O195+'MSPL-3(Lot)'!O232+'MSPL-3(Lot)'!O270+'MSPL-3(Lot)'!O307+'MSPL-3(Lot)'!O343+'MSPL-3(Lot)'!O380</f>
        <v>0</v>
      </c>
      <c r="V163" s="117">
        <f t="shared" si="66"/>
        <v>13645</v>
      </c>
      <c r="W163" s="126">
        <f t="shared" si="67"/>
        <v>0</v>
      </c>
      <c r="X163" s="117">
        <f t="shared" si="68"/>
        <v>0</v>
      </c>
      <c r="Y163" s="117">
        <f t="shared" si="69"/>
        <v>0</v>
      </c>
      <c r="Z163" s="117">
        <f t="shared" si="70"/>
        <v>122.80500000000001</v>
      </c>
      <c r="AA163" s="117">
        <f t="shared" si="71"/>
        <v>1.6374000000000002</v>
      </c>
      <c r="AB163" s="117">
        <f t="shared" si="72"/>
        <v>0</v>
      </c>
      <c r="AC163" s="117">
        <f t="shared" si="73"/>
        <v>1.6374000000000002</v>
      </c>
    </row>
    <row r="164" spans="1:29">
      <c r="A164" s="117">
        <v>10</v>
      </c>
      <c r="B164" s="121" t="s">
        <v>73</v>
      </c>
      <c r="C164" s="119" t="s">
        <v>196</v>
      </c>
      <c r="D164" s="120">
        <v>10.5</v>
      </c>
      <c r="E164" s="120"/>
      <c r="F164" s="120">
        <v>42967</v>
      </c>
      <c r="G164" s="120">
        <v>42200</v>
      </c>
      <c r="H164" s="120">
        <v>38925</v>
      </c>
      <c r="I164" s="120">
        <v>55030</v>
      </c>
      <c r="J164" s="120">
        <v>47410</v>
      </c>
      <c r="K164" s="120">
        <v>40140</v>
      </c>
      <c r="L164" s="117">
        <f t="shared" si="60"/>
        <v>266672</v>
      </c>
      <c r="M164" s="117">
        <v>3.25</v>
      </c>
      <c r="N164" s="117">
        <f t="shared" si="61"/>
        <v>866684</v>
      </c>
      <c r="O164" s="126">
        <f>'MSPL-3(Lot)'!I196+'MSPL-3(Lot)'!I233+'MSPL-3(Lot)'!I271+'MSPL-3(Lot)'!I308+'MSPL-3(Lot)'!I344+'MSPL-3(Lot)'!I381</f>
        <v>0</v>
      </c>
      <c r="P164" s="126">
        <f t="shared" si="62"/>
        <v>866684</v>
      </c>
      <c r="Q164" s="117">
        <f t="shared" si="63"/>
        <v>0</v>
      </c>
      <c r="R164" s="117">
        <f t="shared" si="64"/>
        <v>266672</v>
      </c>
      <c r="S164" s="126">
        <f>'MSPL-3(Lot)'!M196+'MSPL-3(Lot)'!M233+'MSPL-3(Lot)'!M271+'MSPL-3(Lot)'!M308+'MSPL-3(Lot)'!M344+'MSPL-3(Lot)'!M381</f>
        <v>0</v>
      </c>
      <c r="T164" s="126">
        <f t="shared" si="65"/>
        <v>266672</v>
      </c>
      <c r="U164" s="117">
        <f>'MSPL-3(Lot)'!O196+'MSPL-3(Lot)'!O233+'MSPL-3(Lot)'!O271+'MSPL-3(Lot)'!O308+'MSPL-3(Lot)'!O344+'MSPL-3(Lot)'!O381</f>
        <v>0</v>
      </c>
      <c r="V164" s="117">
        <f t="shared" si="66"/>
        <v>266672</v>
      </c>
      <c r="W164" s="126">
        <f t="shared" si="67"/>
        <v>0</v>
      </c>
      <c r="X164" s="117">
        <f t="shared" si="68"/>
        <v>0</v>
      </c>
      <c r="Y164" s="117">
        <f t="shared" si="69"/>
        <v>0</v>
      </c>
      <c r="Z164" s="117">
        <f t="shared" si="70"/>
        <v>2800.056</v>
      </c>
      <c r="AA164" s="117">
        <f t="shared" si="71"/>
        <v>37.33408</v>
      </c>
      <c r="AB164" s="117">
        <f t="shared" si="72"/>
        <v>0</v>
      </c>
      <c r="AC164" s="117">
        <f t="shared" si="73"/>
        <v>37.33408</v>
      </c>
    </row>
    <row r="165" spans="1:29">
      <c r="A165" s="117">
        <v>11</v>
      </c>
      <c r="B165" s="121" t="s">
        <v>74</v>
      </c>
      <c r="C165" s="119" t="s">
        <v>196</v>
      </c>
      <c r="D165" s="120">
        <v>9</v>
      </c>
      <c r="E165" s="120"/>
      <c r="F165" s="120">
        <v>2250</v>
      </c>
      <c r="G165" s="120">
        <v>0</v>
      </c>
      <c r="H165" s="120">
        <v>86</v>
      </c>
      <c r="I165" s="120">
        <v>400</v>
      </c>
      <c r="J165" s="120">
        <v>0</v>
      </c>
      <c r="K165" s="120">
        <v>670</v>
      </c>
      <c r="L165" s="117">
        <f t="shared" si="60"/>
        <v>3406</v>
      </c>
      <c r="M165" s="117">
        <v>2.5</v>
      </c>
      <c r="N165" s="117">
        <f t="shared" si="61"/>
        <v>8515</v>
      </c>
      <c r="O165" s="126">
        <f>'MSPL-3(Lot)'!I197+'MSPL-3(Lot)'!I234+'MSPL-3(Lot)'!I272+'MSPL-3(Lot)'!I309+'MSPL-3(Lot)'!I345+'MSPL-3(Lot)'!I382</f>
        <v>0</v>
      </c>
      <c r="P165" s="126">
        <f t="shared" si="62"/>
        <v>8515</v>
      </c>
      <c r="Q165" s="117">
        <f t="shared" si="63"/>
        <v>0</v>
      </c>
      <c r="R165" s="117">
        <f t="shared" si="64"/>
        <v>3406</v>
      </c>
      <c r="S165" s="126">
        <f>'MSPL-3(Lot)'!M197+'MSPL-3(Lot)'!M234+'MSPL-3(Lot)'!M272+'MSPL-3(Lot)'!M309+'MSPL-3(Lot)'!M345+'MSPL-3(Lot)'!M382</f>
        <v>0</v>
      </c>
      <c r="T165" s="126">
        <f t="shared" si="65"/>
        <v>3406</v>
      </c>
      <c r="U165" s="117">
        <f>'MSPL-3(Lot)'!O197+'MSPL-3(Lot)'!O234+'MSPL-3(Lot)'!O272+'MSPL-3(Lot)'!O309+'MSPL-3(Lot)'!O345+'MSPL-3(Lot)'!O382</f>
        <v>0</v>
      </c>
      <c r="V165" s="117">
        <f t="shared" si="66"/>
        <v>3406</v>
      </c>
      <c r="W165" s="126">
        <f t="shared" si="67"/>
        <v>0</v>
      </c>
      <c r="X165" s="117">
        <f t="shared" si="68"/>
        <v>0</v>
      </c>
      <c r="Y165" s="117">
        <f t="shared" si="69"/>
        <v>0</v>
      </c>
      <c r="Z165" s="117">
        <f t="shared" si="70"/>
        <v>30.654</v>
      </c>
      <c r="AA165" s="117">
        <f t="shared" si="71"/>
        <v>0.40871999999999997</v>
      </c>
      <c r="AB165" s="117">
        <f t="shared" si="72"/>
        <v>0</v>
      </c>
      <c r="AC165" s="117">
        <f t="shared" si="73"/>
        <v>0.40871999999999997</v>
      </c>
    </row>
    <row r="166" spans="1:29">
      <c r="A166" s="117">
        <v>12</v>
      </c>
      <c r="B166" s="121" t="s">
        <v>192</v>
      </c>
      <c r="C166" s="119" t="s">
        <v>196</v>
      </c>
      <c r="D166" s="120">
        <v>10.5</v>
      </c>
      <c r="E166" s="120"/>
      <c r="F166" s="120">
        <v>1050</v>
      </c>
      <c r="G166" s="120">
        <v>0</v>
      </c>
      <c r="H166" s="120">
        <v>120</v>
      </c>
      <c r="I166" s="120">
        <v>400</v>
      </c>
      <c r="J166" s="120">
        <v>0</v>
      </c>
      <c r="K166" s="120">
        <v>600</v>
      </c>
      <c r="L166" s="117">
        <f t="shared" si="60"/>
        <v>2170</v>
      </c>
      <c r="M166" s="117">
        <v>3.25</v>
      </c>
      <c r="N166" s="117">
        <f t="shared" si="61"/>
        <v>7052.5</v>
      </c>
      <c r="O166" s="126">
        <f>'MSPL-3(Lot)'!I198+'MSPL-3(Lot)'!I235+'MSPL-3(Lot)'!I273+'MSPL-3(Lot)'!I310+'MSPL-3(Lot)'!I346+'MSPL-3(Lot)'!I383</f>
        <v>0</v>
      </c>
      <c r="P166" s="126">
        <f t="shared" si="62"/>
        <v>7052.5</v>
      </c>
      <c r="Q166" s="117">
        <f t="shared" si="63"/>
        <v>0</v>
      </c>
      <c r="R166" s="117">
        <f t="shared" si="64"/>
        <v>2170</v>
      </c>
      <c r="S166" s="126">
        <f>'MSPL-3(Lot)'!M198+'MSPL-3(Lot)'!M235+'MSPL-3(Lot)'!M273+'MSPL-3(Lot)'!M310+'MSPL-3(Lot)'!M346+'MSPL-3(Lot)'!M383</f>
        <v>0</v>
      </c>
      <c r="T166" s="126">
        <f t="shared" si="65"/>
        <v>2170</v>
      </c>
      <c r="U166" s="117">
        <f>'MSPL-3(Lot)'!O198+'MSPL-3(Lot)'!O235+'MSPL-3(Lot)'!O273+'MSPL-3(Lot)'!O310+'MSPL-3(Lot)'!O346+'MSPL-3(Lot)'!O383</f>
        <v>0</v>
      </c>
      <c r="V166" s="117">
        <f t="shared" si="66"/>
        <v>2170</v>
      </c>
      <c r="W166" s="126">
        <f t="shared" si="67"/>
        <v>0</v>
      </c>
      <c r="X166" s="117">
        <f t="shared" si="68"/>
        <v>0</v>
      </c>
      <c r="Y166" s="117">
        <f t="shared" si="69"/>
        <v>0</v>
      </c>
      <c r="Z166" s="117">
        <f t="shared" si="70"/>
        <v>22.785</v>
      </c>
      <c r="AA166" s="117">
        <f t="shared" si="71"/>
        <v>0.30380000000000001</v>
      </c>
      <c r="AB166" s="117">
        <f t="shared" si="72"/>
        <v>0</v>
      </c>
      <c r="AC166" s="117">
        <f t="shared" si="73"/>
        <v>0.30380000000000001</v>
      </c>
    </row>
    <row r="167" spans="1:29">
      <c r="A167" s="117">
        <v>13</v>
      </c>
      <c r="B167" s="121" t="s">
        <v>47</v>
      </c>
      <c r="C167" s="119" t="s">
        <v>196</v>
      </c>
      <c r="D167" s="120">
        <v>17</v>
      </c>
      <c r="E167" s="120"/>
      <c r="F167" s="120">
        <v>27326</v>
      </c>
      <c r="G167" s="120">
        <v>36140</v>
      </c>
      <c r="H167" s="120">
        <v>29555</v>
      </c>
      <c r="I167" s="120">
        <v>49460</v>
      </c>
      <c r="J167" s="120">
        <v>41100</v>
      </c>
      <c r="K167" s="120">
        <v>34610</v>
      </c>
      <c r="L167" s="117">
        <f t="shared" si="60"/>
        <v>218191</v>
      </c>
      <c r="M167" s="117">
        <v>4.5</v>
      </c>
      <c r="N167" s="117">
        <f t="shared" si="61"/>
        <v>981859.5</v>
      </c>
      <c r="O167" s="126">
        <f>'MSPL-3(Lot)'!I199+'MSPL-3(Lot)'!I236+'MSPL-3(Lot)'!I274+'MSPL-3(Lot)'!I311+'MSPL-3(Lot)'!I347+'MSPL-3(Lot)'!I384</f>
        <v>0</v>
      </c>
      <c r="P167" s="126">
        <f t="shared" si="62"/>
        <v>981859.5</v>
      </c>
      <c r="Q167" s="117">
        <f t="shared" si="63"/>
        <v>0</v>
      </c>
      <c r="R167" s="117">
        <f t="shared" si="64"/>
        <v>218191</v>
      </c>
      <c r="S167" s="126">
        <f>'MSPL-3(Lot)'!M199+'MSPL-3(Lot)'!M236+'MSPL-3(Lot)'!M274+'MSPL-3(Lot)'!M311+'MSPL-3(Lot)'!M347+'MSPL-3(Lot)'!M384</f>
        <v>0</v>
      </c>
      <c r="T167" s="126">
        <f t="shared" si="65"/>
        <v>218191</v>
      </c>
      <c r="U167" s="117">
        <f>'MSPL-3(Lot)'!O199+'MSPL-3(Lot)'!O236+'MSPL-3(Lot)'!O274+'MSPL-3(Lot)'!O311+'MSPL-3(Lot)'!O347+'MSPL-3(Lot)'!O384</f>
        <v>0</v>
      </c>
      <c r="V167" s="117">
        <f t="shared" si="66"/>
        <v>218191</v>
      </c>
      <c r="W167" s="126">
        <f t="shared" si="67"/>
        <v>0</v>
      </c>
      <c r="X167" s="117">
        <f t="shared" si="68"/>
        <v>0</v>
      </c>
      <c r="Y167" s="117">
        <f t="shared" si="69"/>
        <v>0</v>
      </c>
      <c r="Z167" s="117">
        <f t="shared" si="70"/>
        <v>3709.2469999999998</v>
      </c>
      <c r="AA167" s="117">
        <f t="shared" si="71"/>
        <v>49.456626666666665</v>
      </c>
      <c r="AB167" s="117">
        <f t="shared" si="72"/>
        <v>0</v>
      </c>
      <c r="AC167" s="117">
        <f t="shared" si="73"/>
        <v>49.456626666666665</v>
      </c>
    </row>
    <row r="168" spans="1:29">
      <c r="A168" s="117">
        <v>14</v>
      </c>
      <c r="B168" s="121" t="s">
        <v>226</v>
      </c>
      <c r="C168" s="119" t="s">
        <v>196</v>
      </c>
      <c r="D168" s="120">
        <v>17</v>
      </c>
      <c r="E168" s="120"/>
      <c r="F168" s="120">
        <v>8341</v>
      </c>
      <c r="G168" s="120">
        <v>4060</v>
      </c>
      <c r="H168" s="120">
        <v>8974</v>
      </c>
      <c r="I168" s="120">
        <v>3020</v>
      </c>
      <c r="J168" s="120">
        <v>1910</v>
      </c>
      <c r="K168" s="120">
        <v>2995</v>
      </c>
      <c r="L168" s="117">
        <f t="shared" si="60"/>
        <v>29300</v>
      </c>
      <c r="M168" s="117">
        <v>4.5</v>
      </c>
      <c r="N168" s="117">
        <f t="shared" si="61"/>
        <v>131850</v>
      </c>
      <c r="O168" s="126">
        <f>'MSPL-3(Lot)'!I200+'MSPL-3(Lot)'!I237+'MSPL-3(Lot)'!I275+'MSPL-3(Lot)'!I312+'MSPL-3(Lot)'!I348+'MSPL-3(Lot)'!I385</f>
        <v>0</v>
      </c>
      <c r="P168" s="126">
        <f t="shared" si="62"/>
        <v>131850</v>
      </c>
      <c r="Q168" s="117">
        <f t="shared" si="63"/>
        <v>0</v>
      </c>
      <c r="R168" s="117">
        <f t="shared" si="64"/>
        <v>29300</v>
      </c>
      <c r="S168" s="126">
        <f>'MSPL-3(Lot)'!M200+'MSPL-3(Lot)'!M237+'MSPL-3(Lot)'!M275+'MSPL-3(Lot)'!M312+'MSPL-3(Lot)'!M348+'MSPL-3(Lot)'!M385</f>
        <v>0</v>
      </c>
      <c r="T168" s="126">
        <f t="shared" si="65"/>
        <v>29300</v>
      </c>
      <c r="U168" s="117">
        <f>'MSPL-3(Lot)'!O200+'MSPL-3(Lot)'!O237+'MSPL-3(Lot)'!O275+'MSPL-3(Lot)'!O312+'MSPL-3(Lot)'!O348+'MSPL-3(Lot)'!O385</f>
        <v>0</v>
      </c>
      <c r="V168" s="117">
        <f t="shared" si="66"/>
        <v>29300</v>
      </c>
      <c r="W168" s="126">
        <f t="shared" si="67"/>
        <v>0</v>
      </c>
      <c r="X168" s="117">
        <f t="shared" si="68"/>
        <v>0</v>
      </c>
      <c r="Y168" s="117">
        <f t="shared" si="69"/>
        <v>0</v>
      </c>
      <c r="Z168" s="117">
        <f t="shared" si="70"/>
        <v>498.1</v>
      </c>
      <c r="AA168" s="117">
        <f t="shared" si="71"/>
        <v>6.6413333333333338</v>
      </c>
      <c r="AB168" s="117">
        <f t="shared" si="72"/>
        <v>0</v>
      </c>
      <c r="AC168" s="117">
        <f t="shared" si="73"/>
        <v>6.6413333333333338</v>
      </c>
    </row>
    <row r="169" spans="1:29">
      <c r="A169" s="117">
        <v>15</v>
      </c>
      <c r="B169" s="121" t="s">
        <v>180</v>
      </c>
      <c r="C169" s="119" t="s">
        <v>196</v>
      </c>
      <c r="D169" s="120">
        <v>17.5</v>
      </c>
      <c r="E169" s="120"/>
      <c r="F169" s="120">
        <v>31938</v>
      </c>
      <c r="G169" s="120">
        <v>37810</v>
      </c>
      <c r="H169" s="120">
        <v>27030</v>
      </c>
      <c r="I169" s="120">
        <v>46080</v>
      </c>
      <c r="J169" s="120">
        <v>34025</v>
      </c>
      <c r="K169" s="120">
        <v>37985</v>
      </c>
      <c r="L169" s="117">
        <f t="shared" si="60"/>
        <v>214868</v>
      </c>
      <c r="M169" s="117">
        <v>4.75</v>
      </c>
      <c r="N169" s="117">
        <f t="shared" si="61"/>
        <v>1020623</v>
      </c>
      <c r="O169" s="126">
        <f>'MSPL-3(Lot)'!I201+'MSPL-3(Lot)'!I238+'MSPL-3(Lot)'!I276+'MSPL-3(Lot)'!I313+'MSPL-3(Lot)'!I349+'MSPL-3(Lot)'!I386</f>
        <v>0</v>
      </c>
      <c r="P169" s="126">
        <f t="shared" si="62"/>
        <v>1020623</v>
      </c>
      <c r="Q169" s="117">
        <f t="shared" si="63"/>
        <v>0</v>
      </c>
      <c r="R169" s="117">
        <f t="shared" si="64"/>
        <v>214868</v>
      </c>
      <c r="S169" s="126">
        <f>'MSPL-3(Lot)'!M201+'MSPL-3(Lot)'!M238+'MSPL-3(Lot)'!M276+'MSPL-3(Lot)'!M313+'MSPL-3(Lot)'!M349+'MSPL-3(Lot)'!M386</f>
        <v>0</v>
      </c>
      <c r="T169" s="126">
        <f t="shared" si="65"/>
        <v>214868</v>
      </c>
      <c r="U169" s="117">
        <f>'MSPL-3(Lot)'!O201+'MSPL-3(Lot)'!O238+'MSPL-3(Lot)'!O276+'MSPL-3(Lot)'!O313+'MSPL-3(Lot)'!O349+'MSPL-3(Lot)'!O386</f>
        <v>0</v>
      </c>
      <c r="V169" s="117">
        <f t="shared" si="66"/>
        <v>214868</v>
      </c>
      <c r="W169" s="126">
        <f t="shared" si="67"/>
        <v>0</v>
      </c>
      <c r="X169" s="117">
        <f t="shared" si="68"/>
        <v>0</v>
      </c>
      <c r="Y169" s="117">
        <f t="shared" si="69"/>
        <v>0</v>
      </c>
      <c r="Z169" s="117">
        <f t="shared" si="70"/>
        <v>3760.19</v>
      </c>
      <c r="AA169" s="117">
        <f t="shared" si="71"/>
        <v>50.135866666666665</v>
      </c>
      <c r="AB169" s="117">
        <f t="shared" si="72"/>
        <v>0</v>
      </c>
      <c r="AC169" s="117">
        <f t="shared" si="73"/>
        <v>50.135866666666665</v>
      </c>
    </row>
    <row r="170" spans="1:29" s="43" customFormat="1">
      <c r="A170" s="117">
        <v>16</v>
      </c>
      <c r="B170" s="121" t="s">
        <v>181</v>
      </c>
      <c r="C170" s="119" t="s">
        <v>196</v>
      </c>
      <c r="D170" s="120">
        <v>14.5</v>
      </c>
      <c r="E170" s="120"/>
      <c r="F170" s="120">
        <v>8464</v>
      </c>
      <c r="G170" s="120">
        <v>4380</v>
      </c>
      <c r="H170" s="120">
        <v>11182</v>
      </c>
      <c r="I170" s="120">
        <v>8566</v>
      </c>
      <c r="J170" s="120">
        <v>12878</v>
      </c>
      <c r="K170" s="120">
        <v>2138</v>
      </c>
      <c r="L170" s="117">
        <f t="shared" si="60"/>
        <v>47608</v>
      </c>
      <c r="M170" s="117">
        <v>4.25</v>
      </c>
      <c r="N170" s="117">
        <f t="shared" si="61"/>
        <v>202334</v>
      </c>
      <c r="O170" s="126">
        <f>'MSPL-3(Lot)'!I202+'MSPL-3(Lot)'!I239+'MSPL-3(Lot)'!I277+'MSPL-3(Lot)'!I314+'MSPL-3(Lot)'!I350+'MSPL-3(Lot)'!I387</f>
        <v>0</v>
      </c>
      <c r="P170" s="126">
        <f t="shared" si="62"/>
        <v>202334</v>
      </c>
      <c r="Q170" s="117">
        <f t="shared" si="63"/>
        <v>0</v>
      </c>
      <c r="R170" s="117">
        <f t="shared" si="64"/>
        <v>47608</v>
      </c>
      <c r="S170" s="126">
        <f>'MSPL-3(Lot)'!M202+'MSPL-3(Lot)'!M239+'MSPL-3(Lot)'!M277+'MSPL-3(Lot)'!M314+'MSPL-3(Lot)'!M350+'MSPL-3(Lot)'!M387</f>
        <v>0</v>
      </c>
      <c r="T170" s="126">
        <f t="shared" si="65"/>
        <v>47608</v>
      </c>
      <c r="U170" s="117">
        <f>'MSPL-3(Lot)'!O202+'MSPL-3(Lot)'!O239+'MSPL-3(Lot)'!O277+'MSPL-3(Lot)'!O314+'MSPL-3(Lot)'!O350+'MSPL-3(Lot)'!O387</f>
        <v>0</v>
      </c>
      <c r="V170" s="117">
        <f t="shared" si="66"/>
        <v>47608</v>
      </c>
      <c r="W170" s="126">
        <f t="shared" si="67"/>
        <v>0</v>
      </c>
      <c r="X170" s="117">
        <f t="shared" si="68"/>
        <v>0</v>
      </c>
      <c r="Y170" s="117">
        <f t="shared" si="69"/>
        <v>0</v>
      </c>
      <c r="Z170" s="117">
        <f t="shared" si="70"/>
        <v>690.31600000000003</v>
      </c>
      <c r="AA170" s="117">
        <f t="shared" si="71"/>
        <v>9.2042133333333336</v>
      </c>
      <c r="AB170" s="117">
        <f t="shared" si="72"/>
        <v>0</v>
      </c>
      <c r="AC170" s="117">
        <f t="shared" si="73"/>
        <v>9.2042133333333336</v>
      </c>
    </row>
    <row r="171" spans="1:29" s="43" customFormat="1">
      <c r="A171" s="117">
        <v>17</v>
      </c>
      <c r="B171" s="121" t="s">
        <v>76</v>
      </c>
      <c r="C171" s="119" t="s">
        <v>196</v>
      </c>
      <c r="D171" s="120">
        <v>14</v>
      </c>
      <c r="E171" s="120"/>
      <c r="F171" s="120">
        <v>1205</v>
      </c>
      <c r="G171" s="120">
        <v>15</v>
      </c>
      <c r="H171" s="120">
        <v>688</v>
      </c>
      <c r="I171" s="120">
        <v>339</v>
      </c>
      <c r="J171" s="120">
        <v>497</v>
      </c>
      <c r="K171" s="120">
        <v>19</v>
      </c>
      <c r="L171" s="117">
        <f t="shared" si="60"/>
        <v>2763</v>
      </c>
      <c r="M171" s="117">
        <v>4</v>
      </c>
      <c r="N171" s="117">
        <f t="shared" si="61"/>
        <v>11052</v>
      </c>
      <c r="O171" s="126">
        <f>'MSPL-3(Lot)'!I203+'MSPL-3(Lot)'!I240+'MSPL-3(Lot)'!I278+'MSPL-3(Lot)'!I315+'MSPL-3(Lot)'!I351+'MSPL-3(Lot)'!I388</f>
        <v>0</v>
      </c>
      <c r="P171" s="126">
        <f t="shared" si="62"/>
        <v>11052</v>
      </c>
      <c r="Q171" s="117">
        <f t="shared" si="63"/>
        <v>0</v>
      </c>
      <c r="R171" s="117">
        <f t="shared" si="64"/>
        <v>2763</v>
      </c>
      <c r="S171" s="126">
        <f>'MSPL-3(Lot)'!M203+'MSPL-3(Lot)'!M240+'MSPL-3(Lot)'!M278+'MSPL-3(Lot)'!M315+'MSPL-3(Lot)'!M351+'MSPL-3(Lot)'!M388</f>
        <v>0</v>
      </c>
      <c r="T171" s="126">
        <f t="shared" si="65"/>
        <v>2763</v>
      </c>
      <c r="U171" s="117">
        <f>'MSPL-3(Lot)'!O203+'MSPL-3(Lot)'!O240+'MSPL-3(Lot)'!O278+'MSPL-3(Lot)'!O315+'MSPL-3(Lot)'!O351+'MSPL-3(Lot)'!O388</f>
        <v>0</v>
      </c>
      <c r="V171" s="117">
        <f t="shared" si="66"/>
        <v>2763</v>
      </c>
      <c r="W171" s="126">
        <f t="shared" si="67"/>
        <v>0</v>
      </c>
      <c r="X171" s="117">
        <f t="shared" si="68"/>
        <v>0</v>
      </c>
      <c r="Y171" s="117">
        <f t="shared" si="69"/>
        <v>0</v>
      </c>
      <c r="Z171" s="117">
        <f t="shared" si="70"/>
        <v>38.682000000000002</v>
      </c>
      <c r="AA171" s="117">
        <f t="shared" si="71"/>
        <v>0.51576</v>
      </c>
      <c r="AB171" s="117">
        <f t="shared" si="72"/>
        <v>0</v>
      </c>
      <c r="AC171" s="117">
        <f t="shared" si="73"/>
        <v>0.51576</v>
      </c>
    </row>
    <row r="172" spans="1:29" s="43" customFormat="1">
      <c r="A172" s="117">
        <v>18</v>
      </c>
      <c r="B172" s="121" t="s">
        <v>51</v>
      </c>
      <c r="C172" s="119" t="s">
        <v>196</v>
      </c>
      <c r="D172" s="120">
        <v>17</v>
      </c>
      <c r="E172" s="120"/>
      <c r="F172" s="120">
        <v>1610</v>
      </c>
      <c r="G172" s="120">
        <v>35</v>
      </c>
      <c r="H172" s="120">
        <v>25</v>
      </c>
      <c r="I172" s="120">
        <v>50</v>
      </c>
      <c r="J172" s="120">
        <v>0</v>
      </c>
      <c r="K172" s="120">
        <v>0</v>
      </c>
      <c r="L172" s="117">
        <f t="shared" si="60"/>
        <v>1720</v>
      </c>
      <c r="M172" s="117">
        <v>4.5</v>
      </c>
      <c r="N172" s="117">
        <f t="shared" si="61"/>
        <v>7740</v>
      </c>
      <c r="O172" s="126">
        <f>'MSPL-3(Lot)'!I204+'MSPL-3(Lot)'!I241+'MSPL-3(Lot)'!I279+'MSPL-3(Lot)'!I316+'MSPL-3(Lot)'!I352+'MSPL-3(Lot)'!I389</f>
        <v>0</v>
      </c>
      <c r="P172" s="126">
        <f t="shared" si="62"/>
        <v>7740</v>
      </c>
      <c r="Q172" s="117">
        <f t="shared" si="63"/>
        <v>0</v>
      </c>
      <c r="R172" s="117">
        <f t="shared" si="64"/>
        <v>1720</v>
      </c>
      <c r="S172" s="126">
        <f>'MSPL-3(Lot)'!M204+'MSPL-3(Lot)'!M241+'MSPL-3(Lot)'!M279+'MSPL-3(Lot)'!M316+'MSPL-3(Lot)'!M352+'MSPL-3(Lot)'!M389</f>
        <v>0</v>
      </c>
      <c r="T172" s="126">
        <f t="shared" si="65"/>
        <v>1720</v>
      </c>
      <c r="U172" s="117">
        <f>'MSPL-3(Lot)'!O204+'MSPL-3(Lot)'!O241+'MSPL-3(Lot)'!O279+'MSPL-3(Lot)'!O316+'MSPL-3(Lot)'!O352+'MSPL-3(Lot)'!O389</f>
        <v>0</v>
      </c>
      <c r="V172" s="117">
        <f t="shared" si="66"/>
        <v>1720</v>
      </c>
      <c r="W172" s="126">
        <f t="shared" si="67"/>
        <v>0</v>
      </c>
      <c r="X172" s="117">
        <f t="shared" si="68"/>
        <v>0</v>
      </c>
      <c r="Y172" s="117">
        <f t="shared" si="69"/>
        <v>0</v>
      </c>
      <c r="Z172" s="117">
        <f t="shared" si="70"/>
        <v>29.24</v>
      </c>
      <c r="AA172" s="117">
        <f t="shared" si="71"/>
        <v>0.38986666666666664</v>
      </c>
      <c r="AB172" s="117">
        <f t="shared" si="72"/>
        <v>0</v>
      </c>
      <c r="AC172" s="117">
        <f t="shared" si="73"/>
        <v>0.38986666666666664</v>
      </c>
    </row>
    <row r="173" spans="1:29" s="43" customFormat="1">
      <c r="A173" s="117">
        <v>19</v>
      </c>
      <c r="B173" s="121" t="s">
        <v>112</v>
      </c>
      <c r="C173" s="119" t="s">
        <v>196</v>
      </c>
      <c r="D173" s="120">
        <v>15</v>
      </c>
      <c r="E173" s="120"/>
      <c r="F173" s="120">
        <v>0</v>
      </c>
      <c r="G173" s="120">
        <v>0</v>
      </c>
      <c r="H173" s="120">
        <v>0</v>
      </c>
      <c r="I173" s="120">
        <v>0</v>
      </c>
      <c r="J173" s="120">
        <v>0</v>
      </c>
      <c r="K173" s="120">
        <v>0</v>
      </c>
      <c r="L173" s="117">
        <f t="shared" si="60"/>
        <v>0</v>
      </c>
      <c r="M173" s="117">
        <v>4.5</v>
      </c>
      <c r="N173" s="117">
        <f t="shared" si="61"/>
        <v>0</v>
      </c>
      <c r="O173" s="126">
        <f>'MSPL-3(Lot)'!I205+'MSPL-3(Lot)'!I242+'MSPL-3(Lot)'!I280+'MSPL-3(Lot)'!I317+'MSPL-3(Lot)'!I353+'MSPL-3(Lot)'!I390</f>
        <v>0</v>
      </c>
      <c r="P173" s="126">
        <f t="shared" si="62"/>
        <v>0</v>
      </c>
      <c r="Q173" s="117">
        <f t="shared" si="63"/>
        <v>0</v>
      </c>
      <c r="R173" s="117">
        <f t="shared" si="64"/>
        <v>0</v>
      </c>
      <c r="S173" s="126">
        <f>'MSPL-3(Lot)'!M205+'MSPL-3(Lot)'!M242+'MSPL-3(Lot)'!M280+'MSPL-3(Lot)'!M317+'MSPL-3(Lot)'!M353+'MSPL-3(Lot)'!M390</f>
        <v>0</v>
      </c>
      <c r="T173" s="126">
        <f t="shared" si="65"/>
        <v>0</v>
      </c>
      <c r="U173" s="117">
        <f>'MSPL-3(Lot)'!O205+'MSPL-3(Lot)'!O242+'MSPL-3(Lot)'!O280+'MSPL-3(Lot)'!O317+'MSPL-3(Lot)'!O353+'MSPL-3(Lot)'!O390</f>
        <v>0</v>
      </c>
      <c r="V173" s="117">
        <f t="shared" si="66"/>
        <v>0</v>
      </c>
      <c r="W173" s="126">
        <f t="shared" si="67"/>
        <v>0</v>
      </c>
      <c r="X173" s="117">
        <f t="shared" si="68"/>
        <v>0</v>
      </c>
      <c r="Y173" s="117">
        <f t="shared" si="69"/>
        <v>0</v>
      </c>
      <c r="Z173" s="117">
        <f t="shared" si="70"/>
        <v>0</v>
      </c>
      <c r="AA173" s="117">
        <f t="shared" si="71"/>
        <v>0</v>
      </c>
      <c r="AB173" s="117">
        <f t="shared" si="72"/>
        <v>0</v>
      </c>
      <c r="AC173" s="117">
        <f t="shared" si="73"/>
        <v>0</v>
      </c>
    </row>
    <row r="174" spans="1:29" s="43" customFormat="1">
      <c r="A174" s="117">
        <v>20</v>
      </c>
      <c r="B174" s="121" t="s">
        <v>217</v>
      </c>
      <c r="C174" s="119" t="s">
        <v>196</v>
      </c>
      <c r="D174" s="120">
        <v>18.5</v>
      </c>
      <c r="E174" s="120"/>
      <c r="F174" s="120">
        <v>20</v>
      </c>
      <c r="G174" s="120">
        <v>0</v>
      </c>
      <c r="H174" s="120">
        <v>0</v>
      </c>
      <c r="I174" s="120">
        <v>0</v>
      </c>
      <c r="J174" s="120">
        <v>0</v>
      </c>
      <c r="K174" s="120">
        <v>0</v>
      </c>
      <c r="L174" s="117">
        <f t="shared" si="60"/>
        <v>20</v>
      </c>
      <c r="M174" s="117">
        <v>5.25</v>
      </c>
      <c r="N174" s="117">
        <f t="shared" si="61"/>
        <v>105</v>
      </c>
      <c r="O174" s="126">
        <f>'MSPL-3(Lot)'!I206+'MSPL-3(Lot)'!I243+'MSPL-3(Lot)'!I281+'MSPL-3(Lot)'!I318+'MSPL-3(Lot)'!I354+'MSPL-3(Lot)'!I391</f>
        <v>0</v>
      </c>
      <c r="P174" s="126">
        <f t="shared" si="62"/>
        <v>105</v>
      </c>
      <c r="Q174" s="117">
        <f t="shared" si="63"/>
        <v>0</v>
      </c>
      <c r="R174" s="117">
        <f t="shared" si="64"/>
        <v>20</v>
      </c>
      <c r="S174" s="126">
        <f>'MSPL-3(Lot)'!M206+'MSPL-3(Lot)'!M243+'MSPL-3(Lot)'!M281+'MSPL-3(Lot)'!M318+'MSPL-3(Lot)'!M354+'MSPL-3(Lot)'!M391</f>
        <v>0</v>
      </c>
      <c r="T174" s="126">
        <f t="shared" si="65"/>
        <v>20</v>
      </c>
      <c r="U174" s="117">
        <f>'MSPL-3(Lot)'!O206+'MSPL-3(Lot)'!O243+'MSPL-3(Lot)'!O281+'MSPL-3(Lot)'!O318+'MSPL-3(Lot)'!O354+'MSPL-3(Lot)'!O391</f>
        <v>0</v>
      </c>
      <c r="V174" s="117">
        <f t="shared" si="66"/>
        <v>20</v>
      </c>
      <c r="W174" s="126">
        <f t="shared" si="67"/>
        <v>0</v>
      </c>
      <c r="X174" s="117">
        <f t="shared" si="68"/>
        <v>0</v>
      </c>
      <c r="Y174" s="117">
        <f t="shared" si="69"/>
        <v>0</v>
      </c>
      <c r="Z174" s="117">
        <f t="shared" si="70"/>
        <v>0.37</v>
      </c>
      <c r="AA174" s="117">
        <f t="shared" si="71"/>
        <v>4.933333333333333E-3</v>
      </c>
      <c r="AB174" s="117">
        <f t="shared" si="72"/>
        <v>0</v>
      </c>
      <c r="AC174" s="117">
        <f t="shared" si="73"/>
        <v>4.933333333333333E-3</v>
      </c>
    </row>
    <row r="175" spans="1:29" s="43" customFormat="1">
      <c r="A175" s="117">
        <v>21</v>
      </c>
      <c r="B175" s="121" t="s">
        <v>149</v>
      </c>
      <c r="C175" s="119" t="s">
        <v>196</v>
      </c>
      <c r="D175" s="120">
        <v>19.5</v>
      </c>
      <c r="E175" s="120"/>
      <c r="F175" s="120">
        <v>0</v>
      </c>
      <c r="G175" s="120">
        <v>0</v>
      </c>
      <c r="H175" s="120">
        <v>0</v>
      </c>
      <c r="I175" s="120">
        <v>0</v>
      </c>
      <c r="J175" s="120">
        <v>0</v>
      </c>
      <c r="K175" s="120">
        <v>0</v>
      </c>
      <c r="L175" s="117">
        <f t="shared" si="60"/>
        <v>0</v>
      </c>
      <c r="M175" s="117">
        <v>5.75</v>
      </c>
      <c r="N175" s="117">
        <f t="shared" si="61"/>
        <v>0</v>
      </c>
      <c r="O175" s="126">
        <f>'MSPL-3(Lot)'!I207+'MSPL-3(Lot)'!I244+'MSPL-3(Lot)'!I282+'MSPL-3(Lot)'!I319+'MSPL-3(Lot)'!I355+'MSPL-3(Lot)'!I392</f>
        <v>0</v>
      </c>
      <c r="P175" s="126">
        <f t="shared" si="62"/>
        <v>0</v>
      </c>
      <c r="Q175" s="117">
        <f t="shared" si="63"/>
        <v>0</v>
      </c>
      <c r="R175" s="117">
        <f t="shared" si="64"/>
        <v>0</v>
      </c>
      <c r="S175" s="126">
        <f>'MSPL-3(Lot)'!M207+'MSPL-3(Lot)'!M244+'MSPL-3(Lot)'!M282+'MSPL-3(Lot)'!M319+'MSPL-3(Lot)'!M355+'MSPL-3(Lot)'!M392</f>
        <v>0</v>
      </c>
      <c r="T175" s="126">
        <f t="shared" si="65"/>
        <v>0</v>
      </c>
      <c r="U175" s="117">
        <f>'MSPL-3(Lot)'!O207+'MSPL-3(Lot)'!O244+'MSPL-3(Lot)'!O282+'MSPL-3(Lot)'!O319+'MSPL-3(Lot)'!O355+'MSPL-3(Lot)'!O392</f>
        <v>0</v>
      </c>
      <c r="V175" s="117">
        <f t="shared" si="66"/>
        <v>0</v>
      </c>
      <c r="W175" s="126">
        <f t="shared" si="67"/>
        <v>0</v>
      </c>
      <c r="X175" s="117">
        <f t="shared" si="68"/>
        <v>0</v>
      </c>
      <c r="Y175" s="117">
        <f t="shared" si="69"/>
        <v>0</v>
      </c>
      <c r="Z175" s="117">
        <f t="shared" si="70"/>
        <v>0</v>
      </c>
      <c r="AA175" s="117">
        <f t="shared" si="71"/>
        <v>0</v>
      </c>
      <c r="AB175" s="117">
        <f t="shared" si="72"/>
        <v>0</v>
      </c>
      <c r="AC175" s="117">
        <f t="shared" si="73"/>
        <v>0</v>
      </c>
    </row>
    <row r="176" spans="1:29">
      <c r="A176" s="117">
        <v>22</v>
      </c>
      <c r="B176" s="121" t="s">
        <v>99</v>
      </c>
      <c r="C176" s="119" t="s">
        <v>196</v>
      </c>
      <c r="D176" s="120">
        <v>12.5</v>
      </c>
      <c r="E176" s="120"/>
      <c r="F176" s="120">
        <v>30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L176" s="117">
        <f t="shared" si="60"/>
        <v>30</v>
      </c>
      <c r="M176" s="117">
        <v>3.25</v>
      </c>
      <c r="N176" s="117">
        <f t="shared" si="61"/>
        <v>97.5</v>
      </c>
      <c r="O176" s="126">
        <f>'MSPL-3(Lot)'!I208+'MSPL-3(Lot)'!I245+'MSPL-3(Lot)'!I283+'MSPL-3(Lot)'!I320+'MSPL-3(Lot)'!I356+'MSPL-3(Lot)'!I393</f>
        <v>0</v>
      </c>
      <c r="P176" s="126">
        <f t="shared" si="62"/>
        <v>97.5</v>
      </c>
      <c r="Q176" s="117">
        <f t="shared" si="63"/>
        <v>0</v>
      </c>
      <c r="R176" s="117">
        <f t="shared" si="64"/>
        <v>30</v>
      </c>
      <c r="S176" s="126">
        <f>'MSPL-3(Lot)'!M208+'MSPL-3(Lot)'!M245+'MSPL-3(Lot)'!M283+'MSPL-3(Lot)'!M320+'MSPL-3(Lot)'!M356+'MSPL-3(Lot)'!M393</f>
        <v>0</v>
      </c>
      <c r="T176" s="126">
        <f t="shared" si="65"/>
        <v>30</v>
      </c>
      <c r="U176" s="117">
        <f>'MSPL-3(Lot)'!O208+'MSPL-3(Lot)'!O245+'MSPL-3(Lot)'!O283+'MSPL-3(Lot)'!O320+'MSPL-3(Lot)'!O356+'MSPL-3(Lot)'!O393</f>
        <v>0</v>
      </c>
      <c r="V176" s="117">
        <f t="shared" si="66"/>
        <v>30</v>
      </c>
      <c r="W176" s="126">
        <f t="shared" si="67"/>
        <v>0</v>
      </c>
      <c r="X176" s="117">
        <f t="shared" si="68"/>
        <v>0</v>
      </c>
      <c r="Y176" s="117">
        <f t="shared" si="69"/>
        <v>0</v>
      </c>
      <c r="Z176" s="117">
        <f t="shared" si="70"/>
        <v>0.375</v>
      </c>
      <c r="AA176" s="117">
        <f t="shared" si="71"/>
        <v>5.0000000000000001E-3</v>
      </c>
      <c r="AB176" s="117">
        <f t="shared" si="72"/>
        <v>0</v>
      </c>
      <c r="AC176" s="117">
        <f t="shared" si="73"/>
        <v>5.0000000000000001E-3</v>
      </c>
    </row>
    <row r="177" spans="1:29">
      <c r="A177" s="467" t="s">
        <v>67</v>
      </c>
      <c r="B177" s="468"/>
      <c r="C177" s="468"/>
      <c r="D177" s="469"/>
      <c r="E177" s="114"/>
      <c r="F177" s="114">
        <f>SUM(F155:F176)</f>
        <v>472937</v>
      </c>
      <c r="G177" s="114">
        <f t="shared" ref="G177:AC177" si="74">SUM(G155:G176)</f>
        <v>464240</v>
      </c>
      <c r="H177" s="114">
        <f t="shared" si="74"/>
        <v>428175</v>
      </c>
      <c r="I177" s="114">
        <f t="shared" si="74"/>
        <v>605335</v>
      </c>
      <c r="J177" s="114">
        <f t="shared" si="74"/>
        <v>521500</v>
      </c>
      <c r="K177" s="114">
        <f t="shared" si="74"/>
        <v>441582</v>
      </c>
      <c r="L177" s="114">
        <f t="shared" si="74"/>
        <v>2933769</v>
      </c>
      <c r="M177" s="114">
        <f t="shared" si="74"/>
        <v>98.5</v>
      </c>
      <c r="N177" s="114">
        <f t="shared" si="74"/>
        <v>14405581</v>
      </c>
      <c r="O177" s="114">
        <f t="shared" si="74"/>
        <v>0</v>
      </c>
      <c r="P177" s="114">
        <f t="shared" si="74"/>
        <v>14405581</v>
      </c>
      <c r="Q177" s="114">
        <f t="shared" si="74"/>
        <v>0</v>
      </c>
      <c r="R177" s="114">
        <f t="shared" si="74"/>
        <v>2933769</v>
      </c>
      <c r="S177" s="114">
        <f t="shared" si="74"/>
        <v>0</v>
      </c>
      <c r="T177" s="114">
        <f t="shared" si="74"/>
        <v>2933769</v>
      </c>
      <c r="U177" s="114">
        <f t="shared" si="74"/>
        <v>0</v>
      </c>
      <c r="V177" s="114">
        <f t="shared" si="74"/>
        <v>2933769</v>
      </c>
      <c r="W177" s="114">
        <f t="shared" si="74"/>
        <v>0</v>
      </c>
      <c r="X177" s="114">
        <f t="shared" si="74"/>
        <v>0</v>
      </c>
      <c r="Y177" s="114">
        <f t="shared" si="74"/>
        <v>0</v>
      </c>
      <c r="Z177" s="114">
        <f t="shared" si="74"/>
        <v>53170.316000000013</v>
      </c>
      <c r="AA177" s="114">
        <f t="shared" si="74"/>
        <v>708.93754666666666</v>
      </c>
      <c r="AB177" s="114">
        <f t="shared" si="74"/>
        <v>0</v>
      </c>
      <c r="AC177" s="114">
        <f t="shared" si="74"/>
        <v>708.93754666666666</v>
      </c>
    </row>
    <row r="179" spans="1:29">
      <c r="Z179" s="85"/>
      <c r="AA179" s="85"/>
      <c r="AB179" s="85"/>
      <c r="AC179" s="85"/>
    </row>
    <row r="180" spans="1:29" s="11" customFormat="1" ht="15.75">
      <c r="A180" s="61"/>
      <c r="B180" s="61"/>
      <c r="C180" s="61"/>
      <c r="D180" s="61"/>
      <c r="E180" s="61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462" t="s">
        <v>254</v>
      </c>
      <c r="AA180" s="462"/>
      <c r="AB180" s="462"/>
      <c r="AC180" s="462"/>
    </row>
  </sheetData>
  <mergeCells count="113">
    <mergeCell ref="Y79:Y80"/>
    <mergeCell ref="Y116:Y117"/>
    <mergeCell ref="Y153:Y154"/>
    <mergeCell ref="A4:U4"/>
    <mergeCell ref="V4:X4"/>
    <mergeCell ref="A1:AC1"/>
    <mergeCell ref="A2:AC2"/>
    <mergeCell ref="A3:AC3"/>
    <mergeCell ref="Z4:AC4"/>
    <mergeCell ref="D5:D6"/>
    <mergeCell ref="F5:K5"/>
    <mergeCell ref="L5:L6"/>
    <mergeCell ref="N5:N6"/>
    <mergeCell ref="O5:P5"/>
    <mergeCell ref="Q5:R5"/>
    <mergeCell ref="S5:T5"/>
    <mergeCell ref="U5:V5"/>
    <mergeCell ref="Y5:Y6"/>
    <mergeCell ref="A41:X41"/>
    <mergeCell ref="Z41:AC41"/>
    <mergeCell ref="X5:X6"/>
    <mergeCell ref="Z5:AC5"/>
    <mergeCell ref="A34:D34"/>
    <mergeCell ref="C7:C9"/>
    <mergeCell ref="C10:C12"/>
    <mergeCell ref="C13:C19"/>
    <mergeCell ref="C20:C26"/>
    <mergeCell ref="C27:C33"/>
    <mergeCell ref="A5:A6"/>
    <mergeCell ref="B5:B6"/>
    <mergeCell ref="C5:C6"/>
    <mergeCell ref="W5:W6"/>
    <mergeCell ref="A40:AC40"/>
    <mergeCell ref="Z37:AC37"/>
    <mergeCell ref="A38:AC38"/>
    <mergeCell ref="A39:AC39"/>
    <mergeCell ref="X42:X43"/>
    <mergeCell ref="Z42:AC42"/>
    <mergeCell ref="N42:N43"/>
    <mergeCell ref="O42:P42"/>
    <mergeCell ref="Q42:R42"/>
    <mergeCell ref="S42:T42"/>
    <mergeCell ref="U42:V42"/>
    <mergeCell ref="W42:W43"/>
    <mergeCell ref="A78:W78"/>
    <mergeCell ref="A75:AC75"/>
    <mergeCell ref="A76:AC76"/>
    <mergeCell ref="Z67:AC67"/>
    <mergeCell ref="A42:A43"/>
    <mergeCell ref="B42:B43"/>
    <mergeCell ref="C42:C43"/>
    <mergeCell ref="D42:D43"/>
    <mergeCell ref="F42:K42"/>
    <mergeCell ref="L42:L43"/>
    <mergeCell ref="A77:AC77"/>
    <mergeCell ref="Y42:Y43"/>
    <mergeCell ref="X79:X80"/>
    <mergeCell ref="A79:A80"/>
    <mergeCell ref="B79:B80"/>
    <mergeCell ref="C79:C80"/>
    <mergeCell ref="D79:D80"/>
    <mergeCell ref="L79:L80"/>
    <mergeCell ref="N79:N80"/>
    <mergeCell ref="A115:AC115"/>
    <mergeCell ref="A116:A117"/>
    <mergeCell ref="B116:B117"/>
    <mergeCell ref="Z105:AC105"/>
    <mergeCell ref="F79:K79"/>
    <mergeCell ref="A112:AC112"/>
    <mergeCell ref="A113:AC113"/>
    <mergeCell ref="Z79:AC79"/>
    <mergeCell ref="A102:D102"/>
    <mergeCell ref="O79:P79"/>
    <mergeCell ref="Q79:R79"/>
    <mergeCell ref="S79:T79"/>
    <mergeCell ref="U79:V79"/>
    <mergeCell ref="W79:W80"/>
    <mergeCell ref="A114:AC114"/>
    <mergeCell ref="X116:X117"/>
    <mergeCell ref="Z116:AC116"/>
    <mergeCell ref="Z136:AC136"/>
    <mergeCell ref="A151:AC151"/>
    <mergeCell ref="F116:K116"/>
    <mergeCell ref="A133:D133"/>
    <mergeCell ref="A149:AC149"/>
    <mergeCell ref="C116:C117"/>
    <mergeCell ref="D116:D117"/>
    <mergeCell ref="L116:L117"/>
    <mergeCell ref="N116:N117"/>
    <mergeCell ref="Z180:AC180"/>
    <mergeCell ref="F153:K153"/>
    <mergeCell ref="A64:D64"/>
    <mergeCell ref="A177:D177"/>
    <mergeCell ref="A152:AC152"/>
    <mergeCell ref="A153:A154"/>
    <mergeCell ref="B153:B154"/>
    <mergeCell ref="C153:C154"/>
    <mergeCell ref="D153:D154"/>
    <mergeCell ref="L153:L154"/>
    <mergeCell ref="N153:N154"/>
    <mergeCell ref="O153:P153"/>
    <mergeCell ref="Q153:R153"/>
    <mergeCell ref="S153:T153"/>
    <mergeCell ref="U153:V153"/>
    <mergeCell ref="W153:W154"/>
    <mergeCell ref="X153:X154"/>
    <mergeCell ref="Z153:AC153"/>
    <mergeCell ref="A150:AC150"/>
    <mergeCell ref="O116:P116"/>
    <mergeCell ref="Q116:R116"/>
    <mergeCell ref="S116:T116"/>
    <mergeCell ref="U116:V116"/>
    <mergeCell ref="W116:W117"/>
  </mergeCells>
  <pageMargins left="0.25" right="0.25" top="0.25" bottom="0.25" header="0.3" footer="0.3"/>
  <pageSetup paperSize="5" orientation="landscape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FFFF00"/>
  </sheetPr>
  <dimension ref="A1:V397"/>
  <sheetViews>
    <sheetView topLeftCell="A382" workbookViewId="0">
      <selection activeCell="O411" sqref="O411"/>
    </sheetView>
  </sheetViews>
  <sheetFormatPr defaultRowHeight="15"/>
  <cols>
    <col min="1" max="1" width="3.42578125" style="24" customWidth="1"/>
    <col min="2" max="2" width="7.5703125" style="29" customWidth="1"/>
    <col min="3" max="3" width="4.28515625" style="24" hidden="1" customWidth="1"/>
    <col min="4" max="4" width="4.7109375" style="31" hidden="1" customWidth="1"/>
    <col min="5" max="5" width="0.140625" style="31" hidden="1" customWidth="1"/>
    <col min="6" max="6" width="8" style="24" hidden="1" customWidth="1"/>
    <col min="7" max="7" width="11" style="24" hidden="1" customWidth="1"/>
    <col min="8" max="8" width="9.140625" style="24" hidden="1" customWidth="1"/>
    <col min="9" max="9" width="10.42578125" style="24" hidden="1" customWidth="1"/>
    <col min="10" max="10" width="8.7109375" style="24" hidden="1" customWidth="1"/>
    <col min="11" max="11" width="7.7109375" style="24" hidden="1" customWidth="1"/>
    <col min="12" max="12" width="8.28515625" style="24" hidden="1" customWidth="1"/>
    <col min="13" max="13" width="7" style="24" hidden="1" customWidth="1"/>
    <col min="14" max="14" width="8.140625" style="24" hidden="1" customWidth="1"/>
    <col min="15" max="15" width="8.28515625" style="24" customWidth="1"/>
    <col min="16" max="16" width="7.85546875" style="24" customWidth="1"/>
    <col min="17" max="18" width="5.7109375" style="24" customWidth="1"/>
    <col min="19" max="19" width="6.28515625" style="24" customWidth="1"/>
    <col min="20" max="21" width="5.5703125" style="24" customWidth="1"/>
    <col min="22" max="22" width="5.28515625" style="24" customWidth="1"/>
    <col min="23" max="16384" width="9.140625" style="43"/>
  </cols>
  <sheetData>
    <row r="1" spans="1:22" s="1" customFormat="1" ht="24" customHeight="1">
      <c r="A1" s="388" t="s">
        <v>342</v>
      </c>
      <c r="B1" s="388"/>
      <c r="C1" s="388"/>
      <c r="D1" s="388"/>
      <c r="E1" s="388"/>
      <c r="F1" s="388"/>
      <c r="G1" s="388"/>
      <c r="H1" s="388"/>
      <c r="I1" s="388"/>
      <c r="J1" s="388"/>
      <c r="K1" s="388"/>
      <c r="L1" s="388"/>
      <c r="M1" s="388"/>
      <c r="N1" s="388"/>
      <c r="O1" s="388"/>
      <c r="P1" s="388"/>
      <c r="Q1" s="388"/>
      <c r="R1" s="388"/>
      <c r="S1" s="388"/>
      <c r="T1" s="388"/>
      <c r="U1" s="388"/>
      <c r="V1" s="388"/>
    </row>
    <row r="2" spans="1:22" s="1" customFormat="1" ht="17.25" customHeight="1">
      <c r="A2" s="379" t="s">
        <v>343</v>
      </c>
      <c r="B2" s="379"/>
      <c r="C2" s="379"/>
      <c r="D2" s="379"/>
      <c r="E2" s="379"/>
      <c r="F2" s="379"/>
      <c r="G2" s="379"/>
      <c r="H2" s="379"/>
      <c r="I2" s="379"/>
      <c r="J2" s="379"/>
      <c r="K2" s="379"/>
      <c r="L2" s="379"/>
      <c r="M2" s="379"/>
      <c r="N2" s="379"/>
      <c r="O2" s="379"/>
      <c r="P2" s="379"/>
      <c r="Q2" s="379"/>
      <c r="R2" s="379"/>
      <c r="S2" s="379"/>
      <c r="T2" s="379"/>
      <c r="U2" s="379"/>
      <c r="V2" s="379"/>
    </row>
    <row r="3" spans="1:22" s="1" customFormat="1" ht="15.75" customHeight="1">
      <c r="A3" s="313" t="s">
        <v>274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3"/>
      <c r="P3" s="313"/>
      <c r="Q3" s="313"/>
      <c r="R3" s="313"/>
      <c r="S3" s="313"/>
      <c r="T3" s="313"/>
      <c r="U3" s="313"/>
      <c r="V3" s="313"/>
    </row>
    <row r="4" spans="1:22" s="1" customFormat="1" ht="20.25">
      <c r="A4" s="400" t="s">
        <v>326</v>
      </c>
      <c r="B4" s="400"/>
      <c r="C4" s="400"/>
      <c r="D4" s="400"/>
      <c r="E4" s="400"/>
      <c r="F4" s="400"/>
      <c r="G4" s="400"/>
      <c r="H4" s="400"/>
      <c r="I4" s="400"/>
      <c r="J4" s="400"/>
      <c r="K4" s="400"/>
      <c r="L4" s="400"/>
      <c r="M4" s="400"/>
      <c r="N4" s="400"/>
      <c r="O4" s="400"/>
      <c r="P4" s="489"/>
      <c r="Q4" s="489"/>
      <c r="R4" s="489"/>
      <c r="S4" s="490" t="s">
        <v>255</v>
      </c>
      <c r="T4" s="490"/>
      <c r="U4" s="490"/>
      <c r="V4" s="490"/>
    </row>
    <row r="5" spans="1:22">
      <c r="A5" s="520" t="s">
        <v>0</v>
      </c>
      <c r="B5" s="520" t="s">
        <v>10</v>
      </c>
      <c r="C5" s="520" t="s">
        <v>1</v>
      </c>
      <c r="D5" s="514" t="s">
        <v>11</v>
      </c>
      <c r="E5" s="263"/>
      <c r="F5" s="264" t="s">
        <v>2</v>
      </c>
      <c r="G5" s="265" t="s">
        <v>11</v>
      </c>
      <c r="H5" s="520" t="s">
        <v>114</v>
      </c>
      <c r="I5" s="518" t="s">
        <v>197</v>
      </c>
      <c r="J5" s="519"/>
      <c r="K5" s="516" t="s">
        <v>115</v>
      </c>
      <c r="L5" s="517"/>
      <c r="M5" s="518" t="s">
        <v>83</v>
      </c>
      <c r="N5" s="519"/>
      <c r="O5" s="518" t="s">
        <v>3</v>
      </c>
      <c r="P5" s="519"/>
      <c r="Q5" s="528" t="s">
        <v>89</v>
      </c>
      <c r="R5" s="526" t="s">
        <v>145</v>
      </c>
      <c r="S5" s="516" t="s">
        <v>134</v>
      </c>
      <c r="T5" s="527"/>
      <c r="U5" s="527"/>
      <c r="V5" s="517"/>
    </row>
    <row r="6" spans="1:22" ht="27" customHeight="1">
      <c r="A6" s="521"/>
      <c r="B6" s="521"/>
      <c r="C6" s="521"/>
      <c r="D6" s="515"/>
      <c r="E6" s="266"/>
      <c r="F6" s="267" t="s">
        <v>328</v>
      </c>
      <c r="G6" s="268"/>
      <c r="H6" s="521"/>
      <c r="I6" s="269" t="s">
        <v>82</v>
      </c>
      <c r="J6" s="269" t="s">
        <v>38</v>
      </c>
      <c r="K6" s="262" t="s">
        <v>82</v>
      </c>
      <c r="L6" s="262" t="s">
        <v>38</v>
      </c>
      <c r="M6" s="269" t="s">
        <v>83</v>
      </c>
      <c r="N6" s="269" t="s">
        <v>38</v>
      </c>
      <c r="O6" s="269" t="s">
        <v>3</v>
      </c>
      <c r="P6" s="269" t="s">
        <v>38</v>
      </c>
      <c r="Q6" s="528"/>
      <c r="R6" s="526"/>
      <c r="S6" s="270" t="s">
        <v>90</v>
      </c>
      <c r="T6" s="270" t="s">
        <v>154</v>
      </c>
      <c r="U6" s="270" t="s">
        <v>135</v>
      </c>
      <c r="V6" s="270" t="s">
        <v>38</v>
      </c>
    </row>
    <row r="7" spans="1:22">
      <c r="A7" s="258">
        <v>1</v>
      </c>
      <c r="B7" s="259" t="s">
        <v>4</v>
      </c>
      <c r="C7" s="522" t="s">
        <v>12</v>
      </c>
      <c r="D7" s="260">
        <v>11</v>
      </c>
      <c r="E7" s="260"/>
      <c r="F7" s="260">
        <v>34387</v>
      </c>
      <c r="G7" s="261">
        <v>2</v>
      </c>
      <c r="H7" s="261">
        <f t="shared" ref="H7:H33" si="0">D7/G7*F7</f>
        <v>189128.5</v>
      </c>
      <c r="I7" s="271"/>
      <c r="J7" s="261">
        <f>H7-I7</f>
        <v>189128.5</v>
      </c>
      <c r="K7" s="258">
        <f t="shared" ref="K7:K33" si="1">I7/D7*G7</f>
        <v>0</v>
      </c>
      <c r="L7" s="258">
        <f>F7-K7</f>
        <v>34387</v>
      </c>
      <c r="M7" s="272"/>
      <c r="N7" s="258">
        <f>F7-M7</f>
        <v>34387</v>
      </c>
      <c r="O7" s="258">
        <f>'Primary (1-5)'!D17</f>
        <v>0</v>
      </c>
      <c r="P7" s="258">
        <f>F7-O7</f>
        <v>34387</v>
      </c>
      <c r="Q7" s="258">
        <f>M7-O7</f>
        <v>0</v>
      </c>
      <c r="R7" s="258">
        <f t="shared" ref="R7:R33" si="2">D7*M7/1000</f>
        <v>0</v>
      </c>
      <c r="S7" s="258">
        <f t="shared" ref="S7:S33" si="3">D7*F7/1000</f>
        <v>378.25700000000001</v>
      </c>
      <c r="T7" s="258">
        <f>S7/65</f>
        <v>5.8193384615384618</v>
      </c>
      <c r="U7" s="258">
        <f t="shared" ref="U7:U33" si="4">D7*K7/1000/65</f>
        <v>0</v>
      </c>
      <c r="V7" s="258">
        <f>T7-U7</f>
        <v>5.8193384615384618</v>
      </c>
    </row>
    <row r="8" spans="1:22">
      <c r="A8" s="258">
        <v>2</v>
      </c>
      <c r="B8" s="259" t="s">
        <v>5</v>
      </c>
      <c r="C8" s="523"/>
      <c r="D8" s="260">
        <v>12</v>
      </c>
      <c r="E8" s="260"/>
      <c r="F8" s="260">
        <v>34387</v>
      </c>
      <c r="G8" s="261">
        <v>2</v>
      </c>
      <c r="H8" s="261">
        <f t="shared" si="0"/>
        <v>206322</v>
      </c>
      <c r="I8" s="271"/>
      <c r="J8" s="261">
        <f t="shared" ref="J8:J33" si="5">H8-I8</f>
        <v>206322</v>
      </c>
      <c r="K8" s="258">
        <f t="shared" si="1"/>
        <v>0</v>
      </c>
      <c r="L8" s="258">
        <f t="shared" ref="L8:L33" si="6">F8-K8</f>
        <v>34387</v>
      </c>
      <c r="M8" s="272"/>
      <c r="N8" s="258">
        <f t="shared" ref="N8:N33" si="7">F8-M8</f>
        <v>34387</v>
      </c>
      <c r="O8" s="258">
        <f>'Primary (1-5)'!E17</f>
        <v>0</v>
      </c>
      <c r="P8" s="258">
        <f t="shared" ref="P8:P33" si="8">F8-O8</f>
        <v>34387</v>
      </c>
      <c r="Q8" s="258">
        <f t="shared" ref="Q8:Q33" si="9">M8-O8</f>
        <v>0</v>
      </c>
      <c r="R8" s="258">
        <f t="shared" si="2"/>
        <v>0</v>
      </c>
      <c r="S8" s="258">
        <f t="shared" si="3"/>
        <v>412.64400000000001</v>
      </c>
      <c r="T8" s="258">
        <f t="shared" ref="T8:T33" si="10">S8/65</f>
        <v>6.3483692307692312</v>
      </c>
      <c r="U8" s="258">
        <f t="shared" si="4"/>
        <v>0</v>
      </c>
      <c r="V8" s="258">
        <f t="shared" ref="V8:V33" si="11">T8-U8</f>
        <v>6.3483692307692312</v>
      </c>
    </row>
    <row r="9" spans="1:22">
      <c r="A9" s="258">
        <v>3</v>
      </c>
      <c r="B9" s="259" t="s">
        <v>6</v>
      </c>
      <c r="C9" s="524"/>
      <c r="D9" s="260">
        <v>15</v>
      </c>
      <c r="E9" s="260"/>
      <c r="F9" s="260">
        <v>34387</v>
      </c>
      <c r="G9" s="261">
        <v>2</v>
      </c>
      <c r="H9" s="261">
        <f t="shared" si="0"/>
        <v>257902.5</v>
      </c>
      <c r="I9" s="271"/>
      <c r="J9" s="261">
        <f t="shared" si="5"/>
        <v>257902.5</v>
      </c>
      <c r="K9" s="258">
        <f t="shared" si="1"/>
        <v>0</v>
      </c>
      <c r="L9" s="258">
        <f t="shared" si="6"/>
        <v>34387</v>
      </c>
      <c r="M9" s="272"/>
      <c r="N9" s="258">
        <f t="shared" si="7"/>
        <v>34387</v>
      </c>
      <c r="O9" s="258">
        <f>'Primary (1-5)'!F17</f>
        <v>0</v>
      </c>
      <c r="P9" s="258">
        <f t="shared" si="8"/>
        <v>34387</v>
      </c>
      <c r="Q9" s="258">
        <f t="shared" si="9"/>
        <v>0</v>
      </c>
      <c r="R9" s="258">
        <f t="shared" si="2"/>
        <v>0</v>
      </c>
      <c r="S9" s="258">
        <f t="shared" si="3"/>
        <v>515.80499999999995</v>
      </c>
      <c r="T9" s="258">
        <f t="shared" si="10"/>
        <v>7.9354615384615377</v>
      </c>
      <c r="U9" s="258">
        <f t="shared" si="4"/>
        <v>0</v>
      </c>
      <c r="V9" s="258">
        <f t="shared" si="11"/>
        <v>7.9354615384615377</v>
      </c>
    </row>
    <row r="10" spans="1:22">
      <c r="A10" s="258">
        <v>4</v>
      </c>
      <c r="B10" s="259" t="s">
        <v>4</v>
      </c>
      <c r="C10" s="522" t="s">
        <v>13</v>
      </c>
      <c r="D10" s="260">
        <v>9</v>
      </c>
      <c r="E10" s="260"/>
      <c r="F10" s="260">
        <v>34457</v>
      </c>
      <c r="G10" s="261">
        <v>2</v>
      </c>
      <c r="H10" s="261">
        <f t="shared" si="0"/>
        <v>155056.5</v>
      </c>
      <c r="I10" s="271"/>
      <c r="J10" s="261">
        <f t="shared" si="5"/>
        <v>155056.5</v>
      </c>
      <c r="K10" s="258">
        <f t="shared" si="1"/>
        <v>0</v>
      </c>
      <c r="L10" s="258">
        <f t="shared" si="6"/>
        <v>34457</v>
      </c>
      <c r="M10" s="272"/>
      <c r="N10" s="258">
        <f t="shared" si="7"/>
        <v>34457</v>
      </c>
      <c r="O10" s="258">
        <f>'Primary (1-5)'!G17</f>
        <v>0</v>
      </c>
      <c r="P10" s="258">
        <f t="shared" si="8"/>
        <v>34457</v>
      </c>
      <c r="Q10" s="258">
        <f t="shared" si="9"/>
        <v>0</v>
      </c>
      <c r="R10" s="258">
        <f t="shared" si="2"/>
        <v>0</v>
      </c>
      <c r="S10" s="258">
        <f t="shared" si="3"/>
        <v>310.113</v>
      </c>
      <c r="T10" s="258">
        <f t="shared" si="10"/>
        <v>4.7709692307692304</v>
      </c>
      <c r="U10" s="258">
        <f t="shared" si="4"/>
        <v>0</v>
      </c>
      <c r="V10" s="258">
        <f t="shared" si="11"/>
        <v>4.7709692307692304</v>
      </c>
    </row>
    <row r="11" spans="1:22">
      <c r="A11" s="258">
        <v>5</v>
      </c>
      <c r="B11" s="259" t="s">
        <v>5</v>
      </c>
      <c r="C11" s="523"/>
      <c r="D11" s="260">
        <v>13</v>
      </c>
      <c r="E11" s="260"/>
      <c r="F11" s="260">
        <v>34457</v>
      </c>
      <c r="G11" s="261">
        <v>2</v>
      </c>
      <c r="H11" s="261">
        <f t="shared" si="0"/>
        <v>223970.5</v>
      </c>
      <c r="I11" s="271"/>
      <c r="J11" s="261">
        <f t="shared" si="5"/>
        <v>223970.5</v>
      </c>
      <c r="K11" s="258">
        <f t="shared" si="1"/>
        <v>0</v>
      </c>
      <c r="L11" s="258">
        <f t="shared" si="6"/>
        <v>34457</v>
      </c>
      <c r="M11" s="272"/>
      <c r="N11" s="258">
        <f t="shared" si="7"/>
        <v>34457</v>
      </c>
      <c r="O11" s="258">
        <f>'Primary (1-5)'!H17</f>
        <v>0</v>
      </c>
      <c r="P11" s="258">
        <f t="shared" si="8"/>
        <v>34457</v>
      </c>
      <c r="Q11" s="258">
        <f t="shared" si="9"/>
        <v>0</v>
      </c>
      <c r="R11" s="258">
        <f t="shared" si="2"/>
        <v>0</v>
      </c>
      <c r="S11" s="258">
        <f t="shared" si="3"/>
        <v>447.94099999999997</v>
      </c>
      <c r="T11" s="258">
        <f t="shared" si="10"/>
        <v>6.8914</v>
      </c>
      <c r="U11" s="258">
        <f t="shared" si="4"/>
        <v>0</v>
      </c>
      <c r="V11" s="258">
        <f t="shared" si="11"/>
        <v>6.8914</v>
      </c>
    </row>
    <row r="12" spans="1:22">
      <c r="A12" s="258">
        <v>6</v>
      </c>
      <c r="B12" s="259" t="s">
        <v>6</v>
      </c>
      <c r="C12" s="524"/>
      <c r="D12" s="260">
        <v>17</v>
      </c>
      <c r="E12" s="260"/>
      <c r="F12" s="260">
        <v>34457</v>
      </c>
      <c r="G12" s="261">
        <v>2</v>
      </c>
      <c r="H12" s="261">
        <f t="shared" si="0"/>
        <v>292884.5</v>
      </c>
      <c r="I12" s="271"/>
      <c r="J12" s="261">
        <f t="shared" si="5"/>
        <v>292884.5</v>
      </c>
      <c r="K12" s="258">
        <f t="shared" si="1"/>
        <v>0</v>
      </c>
      <c r="L12" s="258">
        <f t="shared" si="6"/>
        <v>34457</v>
      </c>
      <c r="M12" s="272"/>
      <c r="N12" s="258">
        <f t="shared" si="7"/>
        <v>34457</v>
      </c>
      <c r="O12" s="258">
        <f>'Primary (1-5)'!I17</f>
        <v>0</v>
      </c>
      <c r="P12" s="258">
        <f t="shared" si="8"/>
        <v>34457</v>
      </c>
      <c r="Q12" s="258">
        <f t="shared" si="9"/>
        <v>0</v>
      </c>
      <c r="R12" s="258">
        <f t="shared" si="2"/>
        <v>0</v>
      </c>
      <c r="S12" s="258">
        <f t="shared" si="3"/>
        <v>585.76900000000001</v>
      </c>
      <c r="T12" s="258">
        <f t="shared" si="10"/>
        <v>9.0118307692307695</v>
      </c>
      <c r="U12" s="258">
        <f t="shared" si="4"/>
        <v>0</v>
      </c>
      <c r="V12" s="258">
        <f t="shared" si="11"/>
        <v>9.0118307692307695</v>
      </c>
    </row>
    <row r="13" spans="1:22">
      <c r="A13" s="258">
        <v>7</v>
      </c>
      <c r="B13" s="259" t="s">
        <v>4</v>
      </c>
      <c r="C13" s="522" t="s">
        <v>14</v>
      </c>
      <c r="D13" s="260">
        <v>13</v>
      </c>
      <c r="E13" s="260"/>
      <c r="F13" s="260">
        <v>34042</v>
      </c>
      <c r="G13" s="261">
        <v>2</v>
      </c>
      <c r="H13" s="261">
        <f t="shared" si="0"/>
        <v>221273</v>
      </c>
      <c r="I13" s="271"/>
      <c r="J13" s="261">
        <f t="shared" si="5"/>
        <v>221273</v>
      </c>
      <c r="K13" s="258">
        <f t="shared" si="1"/>
        <v>0</v>
      </c>
      <c r="L13" s="258">
        <f t="shared" si="6"/>
        <v>34042</v>
      </c>
      <c r="M13" s="272"/>
      <c r="N13" s="258">
        <f t="shared" si="7"/>
        <v>34042</v>
      </c>
      <c r="O13" s="258">
        <f>'Primary (1-5)'!J17</f>
        <v>0</v>
      </c>
      <c r="P13" s="258">
        <f t="shared" si="8"/>
        <v>34042</v>
      </c>
      <c r="Q13" s="258">
        <f t="shared" si="9"/>
        <v>0</v>
      </c>
      <c r="R13" s="258">
        <f t="shared" si="2"/>
        <v>0</v>
      </c>
      <c r="S13" s="258">
        <f t="shared" si="3"/>
        <v>442.54599999999999</v>
      </c>
      <c r="T13" s="258">
        <f t="shared" si="10"/>
        <v>6.8083999999999998</v>
      </c>
      <c r="U13" s="258">
        <f t="shared" si="4"/>
        <v>0</v>
      </c>
      <c r="V13" s="258">
        <f t="shared" si="11"/>
        <v>6.8083999999999998</v>
      </c>
    </row>
    <row r="14" spans="1:22">
      <c r="A14" s="258">
        <v>8</v>
      </c>
      <c r="B14" s="259" t="s">
        <v>5</v>
      </c>
      <c r="C14" s="523"/>
      <c r="D14" s="260">
        <v>16</v>
      </c>
      <c r="E14" s="260"/>
      <c r="F14" s="260">
        <v>34042</v>
      </c>
      <c r="G14" s="261">
        <v>2</v>
      </c>
      <c r="H14" s="261">
        <f t="shared" si="0"/>
        <v>272336</v>
      </c>
      <c r="I14" s="271"/>
      <c r="J14" s="261">
        <f t="shared" si="5"/>
        <v>272336</v>
      </c>
      <c r="K14" s="258">
        <f t="shared" si="1"/>
        <v>0</v>
      </c>
      <c r="L14" s="258">
        <f t="shared" si="6"/>
        <v>34042</v>
      </c>
      <c r="M14" s="272"/>
      <c r="N14" s="258">
        <f t="shared" si="7"/>
        <v>34042</v>
      </c>
      <c r="O14" s="258">
        <f>'Primary (1-5)'!K17</f>
        <v>0</v>
      </c>
      <c r="P14" s="258">
        <f t="shared" si="8"/>
        <v>34042</v>
      </c>
      <c r="Q14" s="258">
        <f t="shared" si="9"/>
        <v>0</v>
      </c>
      <c r="R14" s="258">
        <f t="shared" si="2"/>
        <v>0</v>
      </c>
      <c r="S14" s="258">
        <f t="shared" si="3"/>
        <v>544.67200000000003</v>
      </c>
      <c r="T14" s="258">
        <f t="shared" si="10"/>
        <v>8.3795692307692313</v>
      </c>
      <c r="U14" s="258">
        <f t="shared" si="4"/>
        <v>0</v>
      </c>
      <c r="V14" s="258">
        <f t="shared" si="11"/>
        <v>8.3795692307692313</v>
      </c>
    </row>
    <row r="15" spans="1:22">
      <c r="A15" s="258">
        <v>9</v>
      </c>
      <c r="B15" s="259" t="s">
        <v>6</v>
      </c>
      <c r="C15" s="523"/>
      <c r="D15" s="260">
        <v>20</v>
      </c>
      <c r="E15" s="260"/>
      <c r="F15" s="260">
        <v>34042</v>
      </c>
      <c r="G15" s="261">
        <v>2</v>
      </c>
      <c r="H15" s="261">
        <f t="shared" si="0"/>
        <v>340420</v>
      </c>
      <c r="I15" s="271"/>
      <c r="J15" s="261">
        <f t="shared" si="5"/>
        <v>340420</v>
      </c>
      <c r="K15" s="258">
        <f t="shared" si="1"/>
        <v>0</v>
      </c>
      <c r="L15" s="258">
        <f t="shared" si="6"/>
        <v>34042</v>
      </c>
      <c r="M15" s="272"/>
      <c r="N15" s="258">
        <f t="shared" si="7"/>
        <v>34042</v>
      </c>
      <c r="O15" s="258">
        <f>'Primary (1-5)'!L17</f>
        <v>0</v>
      </c>
      <c r="P15" s="258">
        <f t="shared" si="8"/>
        <v>34042</v>
      </c>
      <c r="Q15" s="258">
        <f t="shared" si="9"/>
        <v>0</v>
      </c>
      <c r="R15" s="258">
        <f t="shared" si="2"/>
        <v>0</v>
      </c>
      <c r="S15" s="258">
        <f t="shared" si="3"/>
        <v>680.84</v>
      </c>
      <c r="T15" s="258">
        <f t="shared" si="10"/>
        <v>10.474461538461538</v>
      </c>
      <c r="U15" s="258">
        <f t="shared" si="4"/>
        <v>0</v>
      </c>
      <c r="V15" s="258">
        <f t="shared" si="11"/>
        <v>10.474461538461538</v>
      </c>
    </row>
    <row r="16" spans="1:22">
      <c r="A16" s="258">
        <v>10</v>
      </c>
      <c r="B16" s="259" t="s">
        <v>204</v>
      </c>
      <c r="C16" s="523"/>
      <c r="D16" s="260">
        <v>14</v>
      </c>
      <c r="E16" s="260"/>
      <c r="F16" s="260">
        <v>34042</v>
      </c>
      <c r="G16" s="261">
        <v>2</v>
      </c>
      <c r="H16" s="261">
        <f t="shared" si="0"/>
        <v>238294</v>
      </c>
      <c r="I16" s="271"/>
      <c r="J16" s="261">
        <f t="shared" si="5"/>
        <v>238294</v>
      </c>
      <c r="K16" s="258">
        <f t="shared" si="1"/>
        <v>0</v>
      </c>
      <c r="L16" s="258">
        <f t="shared" si="6"/>
        <v>34042</v>
      </c>
      <c r="M16" s="272"/>
      <c r="N16" s="258">
        <f t="shared" si="7"/>
        <v>34042</v>
      </c>
      <c r="O16" s="258">
        <f>'Primary (1-5)'!M17</f>
        <v>0</v>
      </c>
      <c r="P16" s="258">
        <f t="shared" si="8"/>
        <v>34042</v>
      </c>
      <c r="Q16" s="258">
        <f t="shared" si="9"/>
        <v>0</v>
      </c>
      <c r="R16" s="258">
        <f t="shared" si="2"/>
        <v>0</v>
      </c>
      <c r="S16" s="258">
        <f t="shared" si="3"/>
        <v>476.58800000000002</v>
      </c>
      <c r="T16" s="258">
        <f t="shared" si="10"/>
        <v>7.332123076923077</v>
      </c>
      <c r="U16" s="258">
        <f t="shared" si="4"/>
        <v>0</v>
      </c>
      <c r="V16" s="258">
        <f t="shared" si="11"/>
        <v>7.332123076923077</v>
      </c>
    </row>
    <row r="17" spans="1:22">
      <c r="A17" s="258">
        <v>11</v>
      </c>
      <c r="B17" s="259" t="s">
        <v>7</v>
      </c>
      <c r="C17" s="523"/>
      <c r="D17" s="260">
        <v>19</v>
      </c>
      <c r="E17" s="260"/>
      <c r="F17" s="260">
        <v>34042</v>
      </c>
      <c r="G17" s="261">
        <v>2</v>
      </c>
      <c r="H17" s="261">
        <f t="shared" si="0"/>
        <v>323399</v>
      </c>
      <c r="I17" s="271"/>
      <c r="J17" s="261">
        <f t="shared" si="5"/>
        <v>323399</v>
      </c>
      <c r="K17" s="258">
        <f t="shared" si="1"/>
        <v>0</v>
      </c>
      <c r="L17" s="258">
        <f t="shared" si="6"/>
        <v>34042</v>
      </c>
      <c r="M17" s="272"/>
      <c r="N17" s="258">
        <f t="shared" si="7"/>
        <v>34042</v>
      </c>
      <c r="O17" s="258">
        <f>'Primary (1-5)'!N17</f>
        <v>0</v>
      </c>
      <c r="P17" s="258">
        <f t="shared" si="8"/>
        <v>34042</v>
      </c>
      <c r="Q17" s="258">
        <f t="shared" si="9"/>
        <v>0</v>
      </c>
      <c r="R17" s="258">
        <f t="shared" si="2"/>
        <v>0</v>
      </c>
      <c r="S17" s="258">
        <f t="shared" si="3"/>
        <v>646.798</v>
      </c>
      <c r="T17" s="258">
        <f t="shared" si="10"/>
        <v>9.950738461538462</v>
      </c>
      <c r="U17" s="258">
        <f t="shared" si="4"/>
        <v>0</v>
      </c>
      <c r="V17" s="258">
        <f t="shared" si="11"/>
        <v>9.950738461538462</v>
      </c>
    </row>
    <row r="18" spans="1:22">
      <c r="A18" s="258">
        <v>12</v>
      </c>
      <c r="B18" s="259" t="s">
        <v>8</v>
      </c>
      <c r="C18" s="523"/>
      <c r="D18" s="260">
        <v>9</v>
      </c>
      <c r="E18" s="260"/>
      <c r="F18" s="260">
        <v>32196</v>
      </c>
      <c r="G18" s="261">
        <v>2</v>
      </c>
      <c r="H18" s="261">
        <f t="shared" si="0"/>
        <v>144882</v>
      </c>
      <c r="I18" s="271"/>
      <c r="J18" s="261">
        <f t="shared" si="5"/>
        <v>144882</v>
      </c>
      <c r="K18" s="258">
        <f t="shared" si="1"/>
        <v>0</v>
      </c>
      <c r="L18" s="258">
        <f t="shared" si="6"/>
        <v>32196</v>
      </c>
      <c r="M18" s="272"/>
      <c r="N18" s="258">
        <f t="shared" si="7"/>
        <v>32196</v>
      </c>
      <c r="O18" s="258">
        <f>'Primary (1-5)'!O17</f>
        <v>0</v>
      </c>
      <c r="P18" s="258">
        <f t="shared" si="8"/>
        <v>32196</v>
      </c>
      <c r="Q18" s="258">
        <f t="shared" si="9"/>
        <v>0</v>
      </c>
      <c r="R18" s="258">
        <f t="shared" si="2"/>
        <v>0</v>
      </c>
      <c r="S18" s="258">
        <f t="shared" si="3"/>
        <v>289.76400000000001</v>
      </c>
      <c r="T18" s="258">
        <f t="shared" si="10"/>
        <v>4.4579076923076926</v>
      </c>
      <c r="U18" s="258">
        <f t="shared" si="4"/>
        <v>0</v>
      </c>
      <c r="V18" s="258">
        <f t="shared" si="11"/>
        <v>4.4579076923076926</v>
      </c>
    </row>
    <row r="19" spans="1:22">
      <c r="A19" s="258">
        <v>13</v>
      </c>
      <c r="B19" s="259" t="s">
        <v>9</v>
      </c>
      <c r="C19" s="524"/>
      <c r="D19" s="260">
        <v>11.5</v>
      </c>
      <c r="E19" s="260"/>
      <c r="F19" s="260">
        <v>1820</v>
      </c>
      <c r="G19" s="261">
        <v>2</v>
      </c>
      <c r="H19" s="261">
        <f t="shared" si="0"/>
        <v>10465</v>
      </c>
      <c r="I19" s="271"/>
      <c r="J19" s="261">
        <f t="shared" si="5"/>
        <v>10465</v>
      </c>
      <c r="K19" s="258">
        <f t="shared" si="1"/>
        <v>0</v>
      </c>
      <c r="L19" s="258">
        <f t="shared" si="6"/>
        <v>1820</v>
      </c>
      <c r="M19" s="272"/>
      <c r="N19" s="258">
        <f t="shared" si="7"/>
        <v>1820</v>
      </c>
      <c r="O19" s="258">
        <f>'Primary (1-5)'!P17</f>
        <v>0</v>
      </c>
      <c r="P19" s="258">
        <f t="shared" si="8"/>
        <v>1820</v>
      </c>
      <c r="Q19" s="258">
        <f t="shared" si="9"/>
        <v>0</v>
      </c>
      <c r="R19" s="258">
        <f t="shared" si="2"/>
        <v>0</v>
      </c>
      <c r="S19" s="258">
        <f t="shared" si="3"/>
        <v>20.93</v>
      </c>
      <c r="T19" s="258">
        <f t="shared" si="10"/>
        <v>0.32200000000000001</v>
      </c>
      <c r="U19" s="258">
        <f t="shared" si="4"/>
        <v>0</v>
      </c>
      <c r="V19" s="258">
        <f t="shared" si="11"/>
        <v>0.32200000000000001</v>
      </c>
    </row>
    <row r="20" spans="1:22">
      <c r="A20" s="258">
        <v>14</v>
      </c>
      <c r="B20" s="259" t="s">
        <v>4</v>
      </c>
      <c r="C20" s="522" t="s">
        <v>52</v>
      </c>
      <c r="D20" s="260">
        <v>16.5</v>
      </c>
      <c r="E20" s="260"/>
      <c r="F20" s="260">
        <v>33275</v>
      </c>
      <c r="G20" s="261">
        <v>2</v>
      </c>
      <c r="H20" s="261">
        <f t="shared" si="0"/>
        <v>274518.75</v>
      </c>
      <c r="I20" s="271"/>
      <c r="J20" s="261">
        <f t="shared" si="5"/>
        <v>274518.75</v>
      </c>
      <c r="K20" s="258">
        <f t="shared" si="1"/>
        <v>0</v>
      </c>
      <c r="L20" s="258">
        <f t="shared" si="6"/>
        <v>33275</v>
      </c>
      <c r="M20" s="272"/>
      <c r="N20" s="258">
        <f t="shared" si="7"/>
        <v>33275</v>
      </c>
      <c r="O20" s="258">
        <f>'Primary (1-5)'!Q17</f>
        <v>0</v>
      </c>
      <c r="P20" s="258">
        <f t="shared" si="8"/>
        <v>33275</v>
      </c>
      <c r="Q20" s="258">
        <f t="shared" si="9"/>
        <v>0</v>
      </c>
      <c r="R20" s="258">
        <f t="shared" si="2"/>
        <v>0</v>
      </c>
      <c r="S20" s="258">
        <f t="shared" si="3"/>
        <v>549.03750000000002</v>
      </c>
      <c r="T20" s="258">
        <f t="shared" si="10"/>
        <v>8.4467307692307703</v>
      </c>
      <c r="U20" s="258">
        <f t="shared" si="4"/>
        <v>0</v>
      </c>
      <c r="V20" s="258">
        <f t="shared" si="11"/>
        <v>8.4467307692307703</v>
      </c>
    </row>
    <row r="21" spans="1:22">
      <c r="A21" s="258">
        <v>15</v>
      </c>
      <c r="B21" s="259" t="s">
        <v>5</v>
      </c>
      <c r="C21" s="523"/>
      <c r="D21" s="260">
        <v>12</v>
      </c>
      <c r="E21" s="260"/>
      <c r="F21" s="260">
        <v>33275</v>
      </c>
      <c r="G21" s="261">
        <v>2</v>
      </c>
      <c r="H21" s="261">
        <f t="shared" si="0"/>
        <v>199650</v>
      </c>
      <c r="I21" s="271"/>
      <c r="J21" s="261">
        <f t="shared" si="5"/>
        <v>199650</v>
      </c>
      <c r="K21" s="258">
        <f t="shared" si="1"/>
        <v>0</v>
      </c>
      <c r="L21" s="258">
        <f t="shared" si="6"/>
        <v>33275</v>
      </c>
      <c r="M21" s="272"/>
      <c r="N21" s="258">
        <f t="shared" si="7"/>
        <v>33275</v>
      </c>
      <c r="O21" s="258">
        <f>'Primary (1-5)'!R17</f>
        <v>0</v>
      </c>
      <c r="P21" s="258">
        <f t="shared" si="8"/>
        <v>33275</v>
      </c>
      <c r="Q21" s="258">
        <f t="shared" si="9"/>
        <v>0</v>
      </c>
      <c r="R21" s="258">
        <f t="shared" si="2"/>
        <v>0</v>
      </c>
      <c r="S21" s="258">
        <f t="shared" si="3"/>
        <v>399.3</v>
      </c>
      <c r="T21" s="258">
        <f t="shared" si="10"/>
        <v>6.1430769230769231</v>
      </c>
      <c r="U21" s="258">
        <f t="shared" si="4"/>
        <v>0</v>
      </c>
      <c r="V21" s="258">
        <f t="shared" si="11"/>
        <v>6.1430769230769231</v>
      </c>
    </row>
    <row r="22" spans="1:22">
      <c r="A22" s="258">
        <v>16</v>
      </c>
      <c r="B22" s="259" t="s">
        <v>6</v>
      </c>
      <c r="C22" s="523"/>
      <c r="D22" s="260">
        <v>22.5</v>
      </c>
      <c r="E22" s="260"/>
      <c r="F22" s="260">
        <v>33275</v>
      </c>
      <c r="G22" s="261">
        <v>2</v>
      </c>
      <c r="H22" s="261">
        <f t="shared" si="0"/>
        <v>374343.75</v>
      </c>
      <c r="I22" s="271"/>
      <c r="J22" s="261">
        <f t="shared" si="5"/>
        <v>374343.75</v>
      </c>
      <c r="K22" s="258">
        <f t="shared" si="1"/>
        <v>0</v>
      </c>
      <c r="L22" s="258">
        <f t="shared" si="6"/>
        <v>33275</v>
      </c>
      <c r="M22" s="272"/>
      <c r="N22" s="258">
        <f t="shared" si="7"/>
        <v>33275</v>
      </c>
      <c r="O22" s="258">
        <f>'Primary (1-5)'!S17</f>
        <v>0</v>
      </c>
      <c r="P22" s="258">
        <f t="shared" si="8"/>
        <v>33275</v>
      </c>
      <c r="Q22" s="258">
        <f t="shared" si="9"/>
        <v>0</v>
      </c>
      <c r="R22" s="258">
        <f t="shared" si="2"/>
        <v>0</v>
      </c>
      <c r="S22" s="258">
        <f t="shared" si="3"/>
        <v>748.6875</v>
      </c>
      <c r="T22" s="258">
        <f t="shared" si="10"/>
        <v>11.518269230769231</v>
      </c>
      <c r="U22" s="258">
        <f t="shared" si="4"/>
        <v>0</v>
      </c>
      <c r="V22" s="258">
        <f t="shared" si="11"/>
        <v>11.518269230769231</v>
      </c>
    </row>
    <row r="23" spans="1:22">
      <c r="A23" s="258">
        <v>17</v>
      </c>
      <c r="B23" s="259" t="s">
        <v>204</v>
      </c>
      <c r="C23" s="523"/>
      <c r="D23" s="260">
        <v>15</v>
      </c>
      <c r="E23" s="260"/>
      <c r="F23" s="260">
        <v>33275</v>
      </c>
      <c r="G23" s="261">
        <v>2</v>
      </c>
      <c r="H23" s="261">
        <f t="shared" si="0"/>
        <v>249562.5</v>
      </c>
      <c r="I23" s="271"/>
      <c r="J23" s="261">
        <f t="shared" si="5"/>
        <v>249562.5</v>
      </c>
      <c r="K23" s="258">
        <f t="shared" si="1"/>
        <v>0</v>
      </c>
      <c r="L23" s="258">
        <f t="shared" si="6"/>
        <v>33275</v>
      </c>
      <c r="M23" s="272"/>
      <c r="N23" s="258">
        <f t="shared" si="7"/>
        <v>33275</v>
      </c>
      <c r="O23" s="258">
        <f>'Primary (1-5)'!T17</f>
        <v>0</v>
      </c>
      <c r="P23" s="258">
        <f t="shared" si="8"/>
        <v>33275</v>
      </c>
      <c r="Q23" s="258">
        <f t="shared" si="9"/>
        <v>0</v>
      </c>
      <c r="R23" s="258">
        <f t="shared" si="2"/>
        <v>0</v>
      </c>
      <c r="S23" s="258">
        <f t="shared" si="3"/>
        <v>499.125</v>
      </c>
      <c r="T23" s="258">
        <f t="shared" si="10"/>
        <v>7.6788461538461537</v>
      </c>
      <c r="U23" s="258">
        <f t="shared" si="4"/>
        <v>0</v>
      </c>
      <c r="V23" s="258">
        <f t="shared" si="11"/>
        <v>7.6788461538461537</v>
      </c>
    </row>
    <row r="24" spans="1:22">
      <c r="A24" s="258">
        <v>18</v>
      </c>
      <c r="B24" s="259" t="s">
        <v>7</v>
      </c>
      <c r="C24" s="523"/>
      <c r="D24" s="260">
        <v>19.5</v>
      </c>
      <c r="E24" s="260"/>
      <c r="F24" s="260">
        <v>33275</v>
      </c>
      <c r="G24" s="261">
        <v>2</v>
      </c>
      <c r="H24" s="261">
        <f t="shared" si="0"/>
        <v>324431.25</v>
      </c>
      <c r="I24" s="271"/>
      <c r="J24" s="261">
        <f t="shared" si="5"/>
        <v>324431.25</v>
      </c>
      <c r="K24" s="258">
        <f t="shared" si="1"/>
        <v>0</v>
      </c>
      <c r="L24" s="258">
        <f t="shared" si="6"/>
        <v>33275</v>
      </c>
      <c r="M24" s="272"/>
      <c r="N24" s="258">
        <f t="shared" si="7"/>
        <v>33275</v>
      </c>
      <c r="O24" s="258">
        <f>'Primary (1-5)'!U17</f>
        <v>0</v>
      </c>
      <c r="P24" s="258">
        <f t="shared" si="8"/>
        <v>33275</v>
      </c>
      <c r="Q24" s="258">
        <f t="shared" si="9"/>
        <v>0</v>
      </c>
      <c r="R24" s="258">
        <f t="shared" si="2"/>
        <v>0</v>
      </c>
      <c r="S24" s="258">
        <f t="shared" si="3"/>
        <v>648.86249999999995</v>
      </c>
      <c r="T24" s="258">
        <f t="shared" si="10"/>
        <v>9.9824999999999999</v>
      </c>
      <c r="U24" s="258">
        <f t="shared" si="4"/>
        <v>0</v>
      </c>
      <c r="V24" s="258">
        <f t="shared" si="11"/>
        <v>9.9824999999999999</v>
      </c>
    </row>
    <row r="25" spans="1:22">
      <c r="A25" s="258">
        <v>19</v>
      </c>
      <c r="B25" s="259" t="s">
        <v>8</v>
      </c>
      <c r="C25" s="523"/>
      <c r="D25" s="260">
        <v>10</v>
      </c>
      <c r="E25" s="260"/>
      <c r="F25" s="260">
        <v>31397</v>
      </c>
      <c r="G25" s="261">
        <v>2</v>
      </c>
      <c r="H25" s="261">
        <f t="shared" si="0"/>
        <v>156985</v>
      </c>
      <c r="I25" s="271"/>
      <c r="J25" s="261">
        <f t="shared" si="5"/>
        <v>156985</v>
      </c>
      <c r="K25" s="258">
        <f t="shared" si="1"/>
        <v>0</v>
      </c>
      <c r="L25" s="258">
        <f t="shared" si="6"/>
        <v>31397</v>
      </c>
      <c r="M25" s="272"/>
      <c r="N25" s="258">
        <f t="shared" si="7"/>
        <v>31397</v>
      </c>
      <c r="O25" s="258">
        <f>'Primary (1-5)'!V17</f>
        <v>0</v>
      </c>
      <c r="P25" s="258">
        <f t="shared" si="8"/>
        <v>31397</v>
      </c>
      <c r="Q25" s="258">
        <f t="shared" si="9"/>
        <v>0</v>
      </c>
      <c r="R25" s="258">
        <f t="shared" si="2"/>
        <v>0</v>
      </c>
      <c r="S25" s="258">
        <f t="shared" si="3"/>
        <v>313.97000000000003</v>
      </c>
      <c r="T25" s="258">
        <f t="shared" si="10"/>
        <v>4.8303076923076924</v>
      </c>
      <c r="U25" s="258">
        <f t="shared" si="4"/>
        <v>0</v>
      </c>
      <c r="V25" s="258">
        <f t="shared" si="11"/>
        <v>4.8303076923076924</v>
      </c>
    </row>
    <row r="26" spans="1:22">
      <c r="A26" s="258">
        <v>20</v>
      </c>
      <c r="B26" s="259" t="s">
        <v>9</v>
      </c>
      <c r="C26" s="524"/>
      <c r="D26" s="260">
        <v>13.5</v>
      </c>
      <c r="E26" s="260"/>
      <c r="F26" s="260">
        <v>1851</v>
      </c>
      <c r="G26" s="261">
        <v>2</v>
      </c>
      <c r="H26" s="261">
        <f t="shared" si="0"/>
        <v>12494.25</v>
      </c>
      <c r="I26" s="271"/>
      <c r="J26" s="261">
        <f t="shared" si="5"/>
        <v>12494.25</v>
      </c>
      <c r="K26" s="258">
        <f t="shared" si="1"/>
        <v>0</v>
      </c>
      <c r="L26" s="258">
        <f t="shared" si="6"/>
        <v>1851</v>
      </c>
      <c r="M26" s="272"/>
      <c r="N26" s="258">
        <f t="shared" si="7"/>
        <v>1851</v>
      </c>
      <c r="O26" s="258">
        <f>'Primary (1-5)'!W17</f>
        <v>0</v>
      </c>
      <c r="P26" s="258">
        <f t="shared" si="8"/>
        <v>1851</v>
      </c>
      <c r="Q26" s="258">
        <f t="shared" si="9"/>
        <v>0</v>
      </c>
      <c r="R26" s="258">
        <f t="shared" si="2"/>
        <v>0</v>
      </c>
      <c r="S26" s="258">
        <f t="shared" si="3"/>
        <v>24.988499999999998</v>
      </c>
      <c r="T26" s="258">
        <f t="shared" si="10"/>
        <v>0.38443846153846151</v>
      </c>
      <c r="U26" s="258">
        <f t="shared" si="4"/>
        <v>0</v>
      </c>
      <c r="V26" s="258">
        <f t="shared" si="11"/>
        <v>0.38443846153846151</v>
      </c>
    </row>
    <row r="27" spans="1:22">
      <c r="A27" s="258">
        <v>21</v>
      </c>
      <c r="B27" s="259" t="s">
        <v>4</v>
      </c>
      <c r="C27" s="522" t="s">
        <v>53</v>
      </c>
      <c r="D27" s="260">
        <v>17.5</v>
      </c>
      <c r="E27" s="260"/>
      <c r="F27" s="260">
        <v>31934</v>
      </c>
      <c r="G27" s="261">
        <v>2</v>
      </c>
      <c r="H27" s="261">
        <f t="shared" si="0"/>
        <v>279422.5</v>
      </c>
      <c r="I27" s="271"/>
      <c r="J27" s="261">
        <f t="shared" si="5"/>
        <v>279422.5</v>
      </c>
      <c r="K27" s="258">
        <f t="shared" si="1"/>
        <v>0</v>
      </c>
      <c r="L27" s="258">
        <f t="shared" si="6"/>
        <v>31934</v>
      </c>
      <c r="M27" s="272"/>
      <c r="N27" s="258">
        <f t="shared" si="7"/>
        <v>31934</v>
      </c>
      <c r="O27" s="258">
        <f>'Primary (1-5)'!X17</f>
        <v>0</v>
      </c>
      <c r="P27" s="258">
        <f t="shared" si="8"/>
        <v>31934</v>
      </c>
      <c r="Q27" s="258">
        <f t="shared" si="9"/>
        <v>0</v>
      </c>
      <c r="R27" s="258">
        <f t="shared" si="2"/>
        <v>0</v>
      </c>
      <c r="S27" s="258">
        <f t="shared" si="3"/>
        <v>558.84500000000003</v>
      </c>
      <c r="T27" s="258">
        <f t="shared" si="10"/>
        <v>8.5976153846153842</v>
      </c>
      <c r="U27" s="258">
        <f t="shared" si="4"/>
        <v>0</v>
      </c>
      <c r="V27" s="258">
        <f t="shared" si="11"/>
        <v>8.5976153846153842</v>
      </c>
    </row>
    <row r="28" spans="1:22">
      <c r="A28" s="258">
        <v>22</v>
      </c>
      <c r="B28" s="259" t="s">
        <v>5</v>
      </c>
      <c r="C28" s="523"/>
      <c r="D28" s="260">
        <v>14.5</v>
      </c>
      <c r="E28" s="260"/>
      <c r="F28" s="260">
        <v>31934</v>
      </c>
      <c r="G28" s="261">
        <v>2</v>
      </c>
      <c r="H28" s="261">
        <f t="shared" si="0"/>
        <v>231521.5</v>
      </c>
      <c r="I28" s="271"/>
      <c r="J28" s="261">
        <f t="shared" si="5"/>
        <v>231521.5</v>
      </c>
      <c r="K28" s="258">
        <f t="shared" si="1"/>
        <v>0</v>
      </c>
      <c r="L28" s="258">
        <f t="shared" si="6"/>
        <v>31934</v>
      </c>
      <c r="M28" s="272"/>
      <c r="N28" s="258">
        <f t="shared" si="7"/>
        <v>31934</v>
      </c>
      <c r="O28" s="258">
        <f>'Primary (1-5)'!Y17</f>
        <v>0</v>
      </c>
      <c r="P28" s="258">
        <f t="shared" si="8"/>
        <v>31934</v>
      </c>
      <c r="Q28" s="258">
        <f t="shared" si="9"/>
        <v>0</v>
      </c>
      <c r="R28" s="258">
        <f t="shared" si="2"/>
        <v>0</v>
      </c>
      <c r="S28" s="258">
        <f t="shared" si="3"/>
        <v>463.04300000000001</v>
      </c>
      <c r="T28" s="258">
        <f t="shared" si="10"/>
        <v>7.123738461538462</v>
      </c>
      <c r="U28" s="258">
        <f t="shared" si="4"/>
        <v>0</v>
      </c>
      <c r="V28" s="258">
        <f t="shared" si="11"/>
        <v>7.123738461538462</v>
      </c>
    </row>
    <row r="29" spans="1:22">
      <c r="A29" s="258">
        <v>23</v>
      </c>
      <c r="B29" s="259" t="s">
        <v>6</v>
      </c>
      <c r="C29" s="523"/>
      <c r="D29" s="260">
        <v>23.5</v>
      </c>
      <c r="E29" s="260"/>
      <c r="F29" s="260">
        <v>31934</v>
      </c>
      <c r="G29" s="261">
        <v>2</v>
      </c>
      <c r="H29" s="261">
        <f t="shared" si="0"/>
        <v>375224.5</v>
      </c>
      <c r="I29" s="271"/>
      <c r="J29" s="261">
        <f t="shared" si="5"/>
        <v>375224.5</v>
      </c>
      <c r="K29" s="258">
        <f t="shared" si="1"/>
        <v>0</v>
      </c>
      <c r="L29" s="258">
        <f t="shared" si="6"/>
        <v>31934</v>
      </c>
      <c r="M29" s="272"/>
      <c r="N29" s="258">
        <f t="shared" si="7"/>
        <v>31934</v>
      </c>
      <c r="O29" s="258">
        <f>'Primary (1-5)'!Z17</f>
        <v>0</v>
      </c>
      <c r="P29" s="258">
        <f t="shared" si="8"/>
        <v>31934</v>
      </c>
      <c r="Q29" s="258">
        <f t="shared" si="9"/>
        <v>0</v>
      </c>
      <c r="R29" s="258">
        <f t="shared" si="2"/>
        <v>0</v>
      </c>
      <c r="S29" s="258">
        <f t="shared" si="3"/>
        <v>750.44899999999996</v>
      </c>
      <c r="T29" s="258">
        <f t="shared" si="10"/>
        <v>11.54536923076923</v>
      </c>
      <c r="U29" s="258">
        <f t="shared" si="4"/>
        <v>0</v>
      </c>
      <c r="V29" s="258">
        <f t="shared" si="11"/>
        <v>11.54536923076923</v>
      </c>
    </row>
    <row r="30" spans="1:22">
      <c r="A30" s="258">
        <v>24</v>
      </c>
      <c r="B30" s="259" t="s">
        <v>204</v>
      </c>
      <c r="C30" s="523"/>
      <c r="D30" s="260">
        <v>20.5</v>
      </c>
      <c r="E30" s="260"/>
      <c r="F30" s="260">
        <v>31934</v>
      </c>
      <c r="G30" s="261">
        <v>2</v>
      </c>
      <c r="H30" s="261">
        <f t="shared" si="0"/>
        <v>327323.5</v>
      </c>
      <c r="I30" s="271"/>
      <c r="J30" s="261">
        <f t="shared" si="5"/>
        <v>327323.5</v>
      </c>
      <c r="K30" s="258">
        <f t="shared" si="1"/>
        <v>0</v>
      </c>
      <c r="L30" s="258">
        <f t="shared" si="6"/>
        <v>31934</v>
      </c>
      <c r="M30" s="272"/>
      <c r="N30" s="258">
        <f t="shared" si="7"/>
        <v>31934</v>
      </c>
      <c r="O30" s="258">
        <f>'Primary (1-5)'!AA17</f>
        <v>0</v>
      </c>
      <c r="P30" s="258">
        <f t="shared" si="8"/>
        <v>31934</v>
      </c>
      <c r="Q30" s="258">
        <f t="shared" si="9"/>
        <v>0</v>
      </c>
      <c r="R30" s="258">
        <f t="shared" si="2"/>
        <v>0</v>
      </c>
      <c r="S30" s="258">
        <f t="shared" si="3"/>
        <v>654.64700000000005</v>
      </c>
      <c r="T30" s="258">
        <f t="shared" si="10"/>
        <v>10.071492307692308</v>
      </c>
      <c r="U30" s="258">
        <f t="shared" si="4"/>
        <v>0</v>
      </c>
      <c r="V30" s="258">
        <f t="shared" si="11"/>
        <v>10.071492307692308</v>
      </c>
    </row>
    <row r="31" spans="1:22">
      <c r="A31" s="258">
        <v>25</v>
      </c>
      <c r="B31" s="259" t="s">
        <v>7</v>
      </c>
      <c r="C31" s="523"/>
      <c r="D31" s="260">
        <v>20.5</v>
      </c>
      <c r="E31" s="260"/>
      <c r="F31" s="260">
        <v>31934</v>
      </c>
      <c r="G31" s="261">
        <v>2</v>
      </c>
      <c r="H31" s="261">
        <f t="shared" si="0"/>
        <v>327323.5</v>
      </c>
      <c r="I31" s="271"/>
      <c r="J31" s="261">
        <f t="shared" si="5"/>
        <v>327323.5</v>
      </c>
      <c r="K31" s="258">
        <f t="shared" si="1"/>
        <v>0</v>
      </c>
      <c r="L31" s="258">
        <f t="shared" si="6"/>
        <v>31934</v>
      </c>
      <c r="M31" s="272"/>
      <c r="N31" s="258">
        <f t="shared" si="7"/>
        <v>31934</v>
      </c>
      <c r="O31" s="258">
        <f>'Primary (1-5)'!AB17</f>
        <v>0</v>
      </c>
      <c r="P31" s="258">
        <f t="shared" si="8"/>
        <v>31934</v>
      </c>
      <c r="Q31" s="258">
        <f t="shared" si="9"/>
        <v>0</v>
      </c>
      <c r="R31" s="258">
        <f t="shared" si="2"/>
        <v>0</v>
      </c>
      <c r="S31" s="258">
        <f t="shared" si="3"/>
        <v>654.64700000000005</v>
      </c>
      <c r="T31" s="258">
        <f t="shared" si="10"/>
        <v>10.071492307692308</v>
      </c>
      <c r="U31" s="258">
        <f t="shared" si="4"/>
        <v>0</v>
      </c>
      <c r="V31" s="258">
        <f t="shared" si="11"/>
        <v>10.071492307692308</v>
      </c>
    </row>
    <row r="32" spans="1:22">
      <c r="A32" s="258">
        <v>26</v>
      </c>
      <c r="B32" s="259" t="s">
        <v>8</v>
      </c>
      <c r="C32" s="523"/>
      <c r="D32" s="260">
        <v>10.5</v>
      </c>
      <c r="E32" s="260"/>
      <c r="F32" s="260">
        <v>30202</v>
      </c>
      <c r="G32" s="261">
        <v>2</v>
      </c>
      <c r="H32" s="261">
        <f t="shared" si="0"/>
        <v>158560.5</v>
      </c>
      <c r="I32" s="271"/>
      <c r="J32" s="261">
        <f t="shared" si="5"/>
        <v>158560.5</v>
      </c>
      <c r="K32" s="258">
        <f t="shared" si="1"/>
        <v>0</v>
      </c>
      <c r="L32" s="258">
        <f t="shared" si="6"/>
        <v>30202</v>
      </c>
      <c r="M32" s="272"/>
      <c r="N32" s="258">
        <f t="shared" si="7"/>
        <v>30202</v>
      </c>
      <c r="O32" s="258">
        <f>'Primary (1-5)'!AC17</f>
        <v>0</v>
      </c>
      <c r="P32" s="258">
        <f t="shared" si="8"/>
        <v>30202</v>
      </c>
      <c r="Q32" s="258">
        <f t="shared" si="9"/>
        <v>0</v>
      </c>
      <c r="R32" s="258">
        <f t="shared" si="2"/>
        <v>0</v>
      </c>
      <c r="S32" s="258">
        <f t="shared" si="3"/>
        <v>317.12099999999998</v>
      </c>
      <c r="T32" s="258">
        <f t="shared" si="10"/>
        <v>4.8787846153846148</v>
      </c>
      <c r="U32" s="258">
        <f t="shared" si="4"/>
        <v>0</v>
      </c>
      <c r="V32" s="258">
        <f t="shared" si="11"/>
        <v>4.8787846153846148</v>
      </c>
    </row>
    <row r="33" spans="1:22">
      <c r="A33" s="258">
        <v>27</v>
      </c>
      <c r="B33" s="259" t="s">
        <v>9</v>
      </c>
      <c r="C33" s="524"/>
      <c r="D33" s="260">
        <v>12.5</v>
      </c>
      <c r="E33" s="260"/>
      <c r="F33" s="260">
        <v>1709</v>
      </c>
      <c r="G33" s="261">
        <v>2</v>
      </c>
      <c r="H33" s="261">
        <f t="shared" si="0"/>
        <v>10681.25</v>
      </c>
      <c r="I33" s="271"/>
      <c r="J33" s="261">
        <f t="shared" si="5"/>
        <v>10681.25</v>
      </c>
      <c r="K33" s="258">
        <f t="shared" si="1"/>
        <v>0</v>
      </c>
      <c r="L33" s="258">
        <f t="shared" si="6"/>
        <v>1709</v>
      </c>
      <c r="M33" s="272"/>
      <c r="N33" s="258">
        <f t="shared" si="7"/>
        <v>1709</v>
      </c>
      <c r="O33" s="258">
        <f>'Primary (1-5)'!AD17</f>
        <v>0</v>
      </c>
      <c r="P33" s="258">
        <f t="shared" si="8"/>
        <v>1709</v>
      </c>
      <c r="Q33" s="258">
        <f t="shared" si="9"/>
        <v>0</v>
      </c>
      <c r="R33" s="258">
        <f t="shared" si="2"/>
        <v>0</v>
      </c>
      <c r="S33" s="258">
        <f t="shared" si="3"/>
        <v>21.362500000000001</v>
      </c>
      <c r="T33" s="258">
        <f t="shared" si="10"/>
        <v>0.32865384615384619</v>
      </c>
      <c r="U33" s="258">
        <f t="shared" si="4"/>
        <v>0</v>
      </c>
      <c r="V33" s="258">
        <f t="shared" si="11"/>
        <v>0.32865384615384619</v>
      </c>
    </row>
    <row r="34" spans="1:22">
      <c r="A34" s="525" t="s">
        <v>79</v>
      </c>
      <c r="B34" s="525"/>
      <c r="C34" s="525"/>
      <c r="D34" s="525"/>
      <c r="E34" s="275"/>
      <c r="F34" s="262">
        <f t="shared" ref="F34:V34" si="12">SUM(F7:F33)</f>
        <v>801962</v>
      </c>
      <c r="G34" s="262">
        <f t="shared" si="12"/>
        <v>54</v>
      </c>
      <c r="H34" s="262">
        <f t="shared" si="12"/>
        <v>6178376.25</v>
      </c>
      <c r="I34" s="262">
        <f t="shared" si="12"/>
        <v>0</v>
      </c>
      <c r="J34" s="262">
        <f t="shared" si="12"/>
        <v>6178376.25</v>
      </c>
      <c r="K34" s="262">
        <f t="shared" si="12"/>
        <v>0</v>
      </c>
      <c r="L34" s="262">
        <f t="shared" si="12"/>
        <v>801962</v>
      </c>
      <c r="M34" s="262">
        <f t="shared" si="12"/>
        <v>0</v>
      </c>
      <c r="N34" s="262">
        <f t="shared" si="12"/>
        <v>801962</v>
      </c>
      <c r="O34" s="262">
        <f t="shared" si="12"/>
        <v>0</v>
      </c>
      <c r="P34" s="262">
        <f t="shared" si="12"/>
        <v>801962</v>
      </c>
      <c r="Q34" s="262">
        <f t="shared" si="12"/>
        <v>0</v>
      </c>
      <c r="R34" s="262">
        <f t="shared" si="12"/>
        <v>0</v>
      </c>
      <c r="S34" s="262">
        <f t="shared" si="12"/>
        <v>12356.752499999999</v>
      </c>
      <c r="T34" s="262">
        <f t="shared" si="12"/>
        <v>190.10388461538457</v>
      </c>
      <c r="U34" s="262">
        <f t="shared" si="12"/>
        <v>0</v>
      </c>
      <c r="V34" s="262">
        <f t="shared" si="12"/>
        <v>190.10388461538457</v>
      </c>
    </row>
    <row r="35" spans="1:22" s="11" customFormat="1">
      <c r="A35" s="61"/>
      <c r="B35" s="61"/>
      <c r="C35" s="61"/>
      <c r="D35" s="61"/>
      <c r="E35" s="61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</row>
    <row r="36" spans="1:22" s="11" customFormat="1" ht="15.75">
      <c r="A36" s="61"/>
      <c r="B36" s="61"/>
      <c r="C36" s="61"/>
      <c r="D36" s="61"/>
      <c r="E36" s="61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462" t="s">
        <v>254</v>
      </c>
      <c r="T36" s="462"/>
      <c r="U36" s="462"/>
      <c r="V36" s="462"/>
    </row>
    <row r="37" spans="1:22" s="1" customFormat="1" ht="24" customHeight="1">
      <c r="A37" s="388" t="s">
        <v>342</v>
      </c>
      <c r="B37" s="388"/>
      <c r="C37" s="388"/>
      <c r="D37" s="388"/>
      <c r="E37" s="388"/>
      <c r="F37" s="388"/>
      <c r="G37" s="388"/>
      <c r="H37" s="388"/>
      <c r="I37" s="388"/>
      <c r="J37" s="388"/>
      <c r="K37" s="388"/>
      <c r="L37" s="388"/>
      <c r="M37" s="388"/>
      <c r="N37" s="388"/>
      <c r="O37" s="388"/>
      <c r="P37" s="388"/>
      <c r="Q37" s="388"/>
      <c r="R37" s="388"/>
      <c r="S37" s="388"/>
      <c r="T37" s="388"/>
      <c r="U37" s="388"/>
      <c r="V37" s="388"/>
    </row>
    <row r="38" spans="1:22" s="1" customFormat="1" ht="17.25" customHeight="1">
      <c r="A38" s="379" t="s">
        <v>343</v>
      </c>
      <c r="B38" s="379"/>
      <c r="C38" s="379"/>
      <c r="D38" s="379"/>
      <c r="E38" s="379"/>
      <c r="F38" s="379"/>
      <c r="G38" s="379"/>
      <c r="H38" s="379"/>
      <c r="I38" s="379"/>
      <c r="J38" s="379"/>
      <c r="K38" s="379"/>
      <c r="L38" s="379"/>
      <c r="M38" s="379"/>
      <c r="N38" s="379"/>
      <c r="O38" s="379"/>
      <c r="P38" s="379"/>
      <c r="Q38" s="379"/>
      <c r="R38" s="379"/>
      <c r="S38" s="379"/>
      <c r="T38" s="379"/>
      <c r="U38" s="379"/>
      <c r="V38" s="379"/>
    </row>
    <row r="39" spans="1:22" s="1" customFormat="1" ht="15.75" customHeight="1">
      <c r="A39" s="313" t="s">
        <v>274</v>
      </c>
      <c r="B39" s="313"/>
      <c r="C39" s="313"/>
      <c r="D39" s="313"/>
      <c r="E39" s="313"/>
      <c r="F39" s="313"/>
      <c r="G39" s="313"/>
      <c r="H39" s="313"/>
      <c r="I39" s="313"/>
      <c r="J39" s="313"/>
      <c r="K39" s="313"/>
      <c r="L39" s="313"/>
      <c r="M39" s="313"/>
      <c r="N39" s="313"/>
      <c r="O39" s="313"/>
      <c r="P39" s="313"/>
      <c r="Q39" s="313"/>
      <c r="R39" s="313"/>
      <c r="S39" s="313"/>
      <c r="T39" s="313"/>
      <c r="U39" s="313"/>
      <c r="V39" s="313"/>
    </row>
    <row r="40" spans="1:22" s="1" customFormat="1" ht="20.25">
      <c r="A40" s="400" t="s">
        <v>326</v>
      </c>
      <c r="B40" s="400"/>
      <c r="C40" s="400"/>
      <c r="D40" s="400"/>
      <c r="E40" s="400"/>
      <c r="F40" s="400"/>
      <c r="G40" s="400"/>
      <c r="H40" s="400"/>
      <c r="I40" s="400"/>
      <c r="J40" s="400"/>
      <c r="K40" s="400"/>
      <c r="L40" s="400"/>
      <c r="M40" s="400"/>
      <c r="N40" s="400"/>
      <c r="O40" s="400"/>
      <c r="P40" s="489"/>
      <c r="Q40" s="489"/>
      <c r="R40" s="489"/>
      <c r="S40" s="490" t="s">
        <v>255</v>
      </c>
      <c r="T40" s="490"/>
      <c r="U40" s="490"/>
      <c r="V40" s="490"/>
    </row>
    <row r="41" spans="1:22">
      <c r="A41" s="520" t="s">
        <v>0</v>
      </c>
      <c r="B41" s="520" t="s">
        <v>10</v>
      </c>
      <c r="C41" s="520" t="s">
        <v>1</v>
      </c>
      <c r="D41" s="514" t="s">
        <v>11</v>
      </c>
      <c r="E41" s="263"/>
      <c r="F41" s="264" t="s">
        <v>2</v>
      </c>
      <c r="G41" s="265" t="s">
        <v>11</v>
      </c>
      <c r="H41" s="520" t="s">
        <v>114</v>
      </c>
      <c r="I41" s="518" t="s">
        <v>197</v>
      </c>
      <c r="J41" s="519"/>
      <c r="K41" s="516" t="s">
        <v>115</v>
      </c>
      <c r="L41" s="517"/>
      <c r="M41" s="518" t="s">
        <v>83</v>
      </c>
      <c r="N41" s="519"/>
      <c r="O41" s="518" t="s">
        <v>3</v>
      </c>
      <c r="P41" s="519"/>
      <c r="Q41" s="528" t="s">
        <v>89</v>
      </c>
      <c r="R41" s="526" t="s">
        <v>145</v>
      </c>
      <c r="S41" s="516" t="s">
        <v>134</v>
      </c>
      <c r="T41" s="527"/>
      <c r="U41" s="527"/>
      <c r="V41" s="517"/>
    </row>
    <row r="42" spans="1:22" ht="27" customHeight="1">
      <c r="A42" s="521"/>
      <c r="B42" s="521"/>
      <c r="C42" s="521"/>
      <c r="D42" s="515"/>
      <c r="E42" s="266"/>
      <c r="F42" s="267" t="s">
        <v>329</v>
      </c>
      <c r="G42" s="268"/>
      <c r="H42" s="521"/>
      <c r="I42" s="269" t="s">
        <v>82</v>
      </c>
      <c r="J42" s="269" t="s">
        <v>38</v>
      </c>
      <c r="K42" s="262" t="s">
        <v>82</v>
      </c>
      <c r="L42" s="262" t="s">
        <v>38</v>
      </c>
      <c r="M42" s="269" t="s">
        <v>83</v>
      </c>
      <c r="N42" s="269" t="s">
        <v>38</v>
      </c>
      <c r="O42" s="269" t="s">
        <v>3</v>
      </c>
      <c r="P42" s="269" t="s">
        <v>38</v>
      </c>
      <c r="Q42" s="528"/>
      <c r="R42" s="526"/>
      <c r="S42" s="270" t="s">
        <v>90</v>
      </c>
      <c r="T42" s="270" t="s">
        <v>154</v>
      </c>
      <c r="U42" s="270" t="s">
        <v>135</v>
      </c>
      <c r="V42" s="270" t="s">
        <v>38</v>
      </c>
    </row>
    <row r="43" spans="1:22">
      <c r="A43" s="258">
        <v>1</v>
      </c>
      <c r="B43" s="259" t="s">
        <v>4</v>
      </c>
      <c r="C43" s="522" t="s">
        <v>12</v>
      </c>
      <c r="D43" s="260">
        <v>11</v>
      </c>
      <c r="E43" s="260"/>
      <c r="F43" s="260">
        <v>26626</v>
      </c>
      <c r="G43" s="261">
        <v>2</v>
      </c>
      <c r="H43" s="261">
        <f t="shared" ref="H43:H69" si="13">D43/G43*F43</f>
        <v>146443</v>
      </c>
      <c r="I43" s="271"/>
      <c r="J43" s="261">
        <f>H43-I43</f>
        <v>146443</v>
      </c>
      <c r="K43" s="258">
        <f t="shared" ref="K43:K69" si="14">I43/D43*G43</f>
        <v>0</v>
      </c>
      <c r="L43" s="258">
        <f>F43-K43</f>
        <v>26626</v>
      </c>
      <c r="M43" s="272"/>
      <c r="N43" s="258">
        <f>F43-M43</f>
        <v>26626</v>
      </c>
      <c r="O43" s="258">
        <f>'Primary (1-5)'!D32</f>
        <v>0</v>
      </c>
      <c r="P43" s="258">
        <f>F43-O43</f>
        <v>26626</v>
      </c>
      <c r="Q43" s="258">
        <f>M43-O43</f>
        <v>0</v>
      </c>
      <c r="R43" s="258">
        <f t="shared" ref="R43:R69" si="15">D43*M43/1000</f>
        <v>0</v>
      </c>
      <c r="S43" s="258">
        <f t="shared" ref="S43:S69" si="16">D43*F43/1000</f>
        <v>292.88600000000002</v>
      </c>
      <c r="T43" s="258">
        <f>S43/65</f>
        <v>4.5059384615384621</v>
      </c>
      <c r="U43" s="258">
        <f t="shared" ref="U43:U69" si="17">D43*K43/1000/65</f>
        <v>0</v>
      </c>
      <c r="V43" s="258">
        <f>T43-U43</f>
        <v>4.5059384615384621</v>
      </c>
    </row>
    <row r="44" spans="1:22">
      <c r="A44" s="258">
        <v>2</v>
      </c>
      <c r="B44" s="259" t="s">
        <v>5</v>
      </c>
      <c r="C44" s="523"/>
      <c r="D44" s="260">
        <v>12</v>
      </c>
      <c r="E44" s="260"/>
      <c r="F44" s="260">
        <v>26626</v>
      </c>
      <c r="G44" s="261">
        <v>2</v>
      </c>
      <c r="H44" s="261">
        <f t="shared" si="13"/>
        <v>159756</v>
      </c>
      <c r="I44" s="271"/>
      <c r="J44" s="261">
        <f t="shared" ref="J44:J69" si="18">H44-I44</f>
        <v>159756</v>
      </c>
      <c r="K44" s="258">
        <f t="shared" si="14"/>
        <v>0</v>
      </c>
      <c r="L44" s="258">
        <f t="shared" ref="L44:L69" si="19">F44-K44</f>
        <v>26626</v>
      </c>
      <c r="M44" s="272"/>
      <c r="N44" s="258">
        <f t="shared" ref="N44:N69" si="20">F44-M44</f>
        <v>26626</v>
      </c>
      <c r="O44" s="258">
        <f>'Primary (1-5)'!E32</f>
        <v>0</v>
      </c>
      <c r="P44" s="258">
        <f t="shared" ref="P44:P69" si="21">F44-O44</f>
        <v>26626</v>
      </c>
      <c r="Q44" s="258">
        <f t="shared" ref="Q44:Q69" si="22">M44-O44</f>
        <v>0</v>
      </c>
      <c r="R44" s="258">
        <f t="shared" si="15"/>
        <v>0</v>
      </c>
      <c r="S44" s="258">
        <f t="shared" si="16"/>
        <v>319.512</v>
      </c>
      <c r="T44" s="258">
        <f t="shared" ref="T44:T69" si="23">S44/65</f>
        <v>4.9155692307692309</v>
      </c>
      <c r="U44" s="258">
        <f t="shared" si="17"/>
        <v>0</v>
      </c>
      <c r="V44" s="258">
        <f t="shared" ref="V44:V69" si="24">T44-U44</f>
        <v>4.9155692307692309</v>
      </c>
    </row>
    <row r="45" spans="1:22">
      <c r="A45" s="258">
        <v>3</v>
      </c>
      <c r="B45" s="259" t="s">
        <v>6</v>
      </c>
      <c r="C45" s="524"/>
      <c r="D45" s="260">
        <v>15</v>
      </c>
      <c r="E45" s="260"/>
      <c r="F45" s="260">
        <v>26626</v>
      </c>
      <c r="G45" s="261">
        <v>2</v>
      </c>
      <c r="H45" s="261">
        <f t="shared" si="13"/>
        <v>199695</v>
      </c>
      <c r="I45" s="271"/>
      <c r="J45" s="261">
        <f t="shared" si="18"/>
        <v>199695</v>
      </c>
      <c r="K45" s="258">
        <f t="shared" si="14"/>
        <v>0</v>
      </c>
      <c r="L45" s="258">
        <f t="shared" si="19"/>
        <v>26626</v>
      </c>
      <c r="M45" s="272"/>
      <c r="N45" s="258">
        <f t="shared" si="20"/>
        <v>26626</v>
      </c>
      <c r="O45" s="258">
        <f>'Primary (1-5)'!F32</f>
        <v>0</v>
      </c>
      <c r="P45" s="258">
        <f t="shared" si="21"/>
        <v>26626</v>
      </c>
      <c r="Q45" s="258">
        <f t="shared" si="22"/>
        <v>0</v>
      </c>
      <c r="R45" s="258">
        <f t="shared" si="15"/>
        <v>0</v>
      </c>
      <c r="S45" s="258">
        <f t="shared" si="16"/>
        <v>399.39</v>
      </c>
      <c r="T45" s="258">
        <f t="shared" si="23"/>
        <v>6.1444615384615382</v>
      </c>
      <c r="U45" s="258">
        <f t="shared" si="17"/>
        <v>0</v>
      </c>
      <c r="V45" s="258">
        <f t="shared" si="24"/>
        <v>6.1444615384615382</v>
      </c>
    </row>
    <row r="46" spans="1:22">
      <c r="A46" s="258">
        <v>4</v>
      </c>
      <c r="B46" s="259" t="s">
        <v>4</v>
      </c>
      <c r="C46" s="522" t="s">
        <v>13</v>
      </c>
      <c r="D46" s="260">
        <v>9</v>
      </c>
      <c r="E46" s="260"/>
      <c r="F46" s="260">
        <v>26054</v>
      </c>
      <c r="G46" s="261">
        <v>2</v>
      </c>
      <c r="H46" s="261">
        <f t="shared" si="13"/>
        <v>117243</v>
      </c>
      <c r="I46" s="271"/>
      <c r="J46" s="261">
        <f t="shared" si="18"/>
        <v>117243</v>
      </c>
      <c r="K46" s="258">
        <f t="shared" si="14"/>
        <v>0</v>
      </c>
      <c r="L46" s="258">
        <f t="shared" si="19"/>
        <v>26054</v>
      </c>
      <c r="M46" s="272"/>
      <c r="N46" s="258">
        <f t="shared" si="20"/>
        <v>26054</v>
      </c>
      <c r="O46" s="258">
        <f>'Primary (1-5)'!G32</f>
        <v>0</v>
      </c>
      <c r="P46" s="258">
        <f t="shared" si="21"/>
        <v>26054</v>
      </c>
      <c r="Q46" s="258">
        <f t="shared" si="22"/>
        <v>0</v>
      </c>
      <c r="R46" s="258">
        <f t="shared" si="15"/>
        <v>0</v>
      </c>
      <c r="S46" s="258">
        <f t="shared" si="16"/>
        <v>234.48599999999999</v>
      </c>
      <c r="T46" s="258">
        <f t="shared" si="23"/>
        <v>3.607476923076923</v>
      </c>
      <c r="U46" s="258">
        <f t="shared" si="17"/>
        <v>0</v>
      </c>
      <c r="V46" s="258">
        <f t="shared" si="24"/>
        <v>3.607476923076923</v>
      </c>
    </row>
    <row r="47" spans="1:22">
      <c r="A47" s="258">
        <v>5</v>
      </c>
      <c r="B47" s="259" t="s">
        <v>5</v>
      </c>
      <c r="C47" s="523"/>
      <c r="D47" s="260">
        <v>13</v>
      </c>
      <c r="E47" s="260"/>
      <c r="F47" s="260">
        <v>26054</v>
      </c>
      <c r="G47" s="261">
        <v>2</v>
      </c>
      <c r="H47" s="261">
        <f t="shared" si="13"/>
        <v>169351</v>
      </c>
      <c r="I47" s="271"/>
      <c r="J47" s="261">
        <f t="shared" si="18"/>
        <v>169351</v>
      </c>
      <c r="K47" s="258">
        <f t="shared" si="14"/>
        <v>0</v>
      </c>
      <c r="L47" s="258">
        <f t="shared" si="19"/>
        <v>26054</v>
      </c>
      <c r="M47" s="272"/>
      <c r="N47" s="258">
        <f t="shared" si="20"/>
        <v>26054</v>
      </c>
      <c r="O47" s="258">
        <f>'Primary (1-5)'!H32</f>
        <v>0</v>
      </c>
      <c r="P47" s="258">
        <f t="shared" si="21"/>
        <v>26054</v>
      </c>
      <c r="Q47" s="258">
        <f t="shared" si="22"/>
        <v>0</v>
      </c>
      <c r="R47" s="258">
        <f t="shared" si="15"/>
        <v>0</v>
      </c>
      <c r="S47" s="258">
        <f t="shared" si="16"/>
        <v>338.702</v>
      </c>
      <c r="T47" s="258">
        <f t="shared" si="23"/>
        <v>5.2107999999999999</v>
      </c>
      <c r="U47" s="258">
        <f t="shared" si="17"/>
        <v>0</v>
      </c>
      <c r="V47" s="258">
        <f t="shared" si="24"/>
        <v>5.2107999999999999</v>
      </c>
    </row>
    <row r="48" spans="1:22">
      <c r="A48" s="258">
        <v>6</v>
      </c>
      <c r="B48" s="259" t="s">
        <v>6</v>
      </c>
      <c r="C48" s="524"/>
      <c r="D48" s="260">
        <v>17</v>
      </c>
      <c r="E48" s="260"/>
      <c r="F48" s="260">
        <v>26054</v>
      </c>
      <c r="G48" s="261">
        <v>2</v>
      </c>
      <c r="H48" s="261">
        <f t="shared" si="13"/>
        <v>221459</v>
      </c>
      <c r="I48" s="271"/>
      <c r="J48" s="261">
        <f t="shared" si="18"/>
        <v>221459</v>
      </c>
      <c r="K48" s="258">
        <f t="shared" si="14"/>
        <v>0</v>
      </c>
      <c r="L48" s="258">
        <f t="shared" si="19"/>
        <v>26054</v>
      </c>
      <c r="M48" s="272"/>
      <c r="N48" s="258">
        <f t="shared" si="20"/>
        <v>26054</v>
      </c>
      <c r="O48" s="258">
        <f>'Primary (1-5)'!I32</f>
        <v>0</v>
      </c>
      <c r="P48" s="258">
        <f t="shared" si="21"/>
        <v>26054</v>
      </c>
      <c r="Q48" s="258">
        <f t="shared" si="22"/>
        <v>0</v>
      </c>
      <c r="R48" s="258">
        <f t="shared" si="15"/>
        <v>0</v>
      </c>
      <c r="S48" s="258">
        <f t="shared" si="16"/>
        <v>442.91800000000001</v>
      </c>
      <c r="T48" s="258">
        <f t="shared" si="23"/>
        <v>6.8141230769230772</v>
      </c>
      <c r="U48" s="258">
        <f t="shared" si="17"/>
        <v>0</v>
      </c>
      <c r="V48" s="258">
        <f t="shared" si="24"/>
        <v>6.8141230769230772</v>
      </c>
    </row>
    <row r="49" spans="1:22">
      <c r="A49" s="258">
        <v>7</v>
      </c>
      <c r="B49" s="259" t="s">
        <v>4</v>
      </c>
      <c r="C49" s="522" t="s">
        <v>14</v>
      </c>
      <c r="D49" s="260">
        <v>13</v>
      </c>
      <c r="E49" s="260"/>
      <c r="F49" s="260">
        <v>25695</v>
      </c>
      <c r="G49" s="261">
        <v>2</v>
      </c>
      <c r="H49" s="261">
        <f t="shared" si="13"/>
        <v>167017.5</v>
      </c>
      <c r="I49" s="271"/>
      <c r="J49" s="261">
        <f t="shared" si="18"/>
        <v>167017.5</v>
      </c>
      <c r="K49" s="258">
        <f t="shared" si="14"/>
        <v>0</v>
      </c>
      <c r="L49" s="258">
        <f t="shared" si="19"/>
        <v>25695</v>
      </c>
      <c r="M49" s="272"/>
      <c r="N49" s="258">
        <f t="shared" si="20"/>
        <v>25695</v>
      </c>
      <c r="O49" s="258">
        <f>'Primary (1-5)'!J32</f>
        <v>0</v>
      </c>
      <c r="P49" s="258">
        <f t="shared" si="21"/>
        <v>25695</v>
      </c>
      <c r="Q49" s="258">
        <f t="shared" si="22"/>
        <v>0</v>
      </c>
      <c r="R49" s="258">
        <f t="shared" si="15"/>
        <v>0</v>
      </c>
      <c r="S49" s="258">
        <f t="shared" si="16"/>
        <v>334.03500000000003</v>
      </c>
      <c r="T49" s="258">
        <f t="shared" si="23"/>
        <v>5.1390000000000002</v>
      </c>
      <c r="U49" s="258">
        <f t="shared" si="17"/>
        <v>0</v>
      </c>
      <c r="V49" s="258">
        <f t="shared" si="24"/>
        <v>5.1390000000000002</v>
      </c>
    </row>
    <row r="50" spans="1:22">
      <c r="A50" s="258">
        <v>8</v>
      </c>
      <c r="B50" s="259" t="s">
        <v>5</v>
      </c>
      <c r="C50" s="523"/>
      <c r="D50" s="260">
        <v>16</v>
      </c>
      <c r="E50" s="260"/>
      <c r="F50" s="260">
        <v>25695</v>
      </c>
      <c r="G50" s="261">
        <v>2</v>
      </c>
      <c r="H50" s="261">
        <f t="shared" si="13"/>
        <v>205560</v>
      </c>
      <c r="I50" s="271"/>
      <c r="J50" s="261">
        <f t="shared" si="18"/>
        <v>205560</v>
      </c>
      <c r="K50" s="258">
        <f t="shared" si="14"/>
        <v>0</v>
      </c>
      <c r="L50" s="258">
        <f t="shared" si="19"/>
        <v>25695</v>
      </c>
      <c r="M50" s="272"/>
      <c r="N50" s="258">
        <f t="shared" si="20"/>
        <v>25695</v>
      </c>
      <c r="O50" s="258">
        <f>'Primary (1-5)'!K32</f>
        <v>0</v>
      </c>
      <c r="P50" s="258">
        <f t="shared" si="21"/>
        <v>25695</v>
      </c>
      <c r="Q50" s="258">
        <f t="shared" si="22"/>
        <v>0</v>
      </c>
      <c r="R50" s="258">
        <f t="shared" si="15"/>
        <v>0</v>
      </c>
      <c r="S50" s="258">
        <f t="shared" si="16"/>
        <v>411.12</v>
      </c>
      <c r="T50" s="258">
        <f t="shared" si="23"/>
        <v>6.3249230769230769</v>
      </c>
      <c r="U50" s="258">
        <f t="shared" si="17"/>
        <v>0</v>
      </c>
      <c r="V50" s="258">
        <f t="shared" si="24"/>
        <v>6.3249230769230769</v>
      </c>
    </row>
    <row r="51" spans="1:22">
      <c r="A51" s="258">
        <v>9</v>
      </c>
      <c r="B51" s="259" t="s">
        <v>6</v>
      </c>
      <c r="C51" s="523"/>
      <c r="D51" s="260">
        <v>20</v>
      </c>
      <c r="E51" s="260"/>
      <c r="F51" s="260">
        <v>25695</v>
      </c>
      <c r="G51" s="261">
        <v>2</v>
      </c>
      <c r="H51" s="261">
        <f t="shared" si="13"/>
        <v>256950</v>
      </c>
      <c r="I51" s="271"/>
      <c r="J51" s="261">
        <f t="shared" si="18"/>
        <v>256950</v>
      </c>
      <c r="K51" s="258">
        <f t="shared" si="14"/>
        <v>0</v>
      </c>
      <c r="L51" s="258">
        <f t="shared" si="19"/>
        <v>25695</v>
      </c>
      <c r="M51" s="272"/>
      <c r="N51" s="258">
        <f t="shared" si="20"/>
        <v>25695</v>
      </c>
      <c r="O51" s="258">
        <f>'Primary (1-5)'!L32</f>
        <v>0</v>
      </c>
      <c r="P51" s="258">
        <f t="shared" si="21"/>
        <v>25695</v>
      </c>
      <c r="Q51" s="258">
        <f t="shared" si="22"/>
        <v>0</v>
      </c>
      <c r="R51" s="258">
        <f t="shared" si="15"/>
        <v>0</v>
      </c>
      <c r="S51" s="258">
        <f t="shared" si="16"/>
        <v>513.9</v>
      </c>
      <c r="T51" s="258">
        <f t="shared" si="23"/>
        <v>7.9061538461538454</v>
      </c>
      <c r="U51" s="258">
        <f t="shared" si="17"/>
        <v>0</v>
      </c>
      <c r="V51" s="258">
        <f t="shared" si="24"/>
        <v>7.9061538461538454</v>
      </c>
    </row>
    <row r="52" spans="1:22">
      <c r="A52" s="258">
        <v>10</v>
      </c>
      <c r="B52" s="259" t="s">
        <v>204</v>
      </c>
      <c r="C52" s="523"/>
      <c r="D52" s="260">
        <v>14</v>
      </c>
      <c r="E52" s="260"/>
      <c r="F52" s="260">
        <v>25695</v>
      </c>
      <c r="G52" s="261">
        <v>2</v>
      </c>
      <c r="H52" s="261">
        <f t="shared" si="13"/>
        <v>179865</v>
      </c>
      <c r="I52" s="271"/>
      <c r="J52" s="261">
        <f t="shared" si="18"/>
        <v>179865</v>
      </c>
      <c r="K52" s="258">
        <f t="shared" si="14"/>
        <v>0</v>
      </c>
      <c r="L52" s="258">
        <f t="shared" si="19"/>
        <v>25695</v>
      </c>
      <c r="M52" s="272"/>
      <c r="N52" s="258">
        <f t="shared" si="20"/>
        <v>25695</v>
      </c>
      <c r="O52" s="258">
        <f>'Primary (1-5)'!M32</f>
        <v>0</v>
      </c>
      <c r="P52" s="258">
        <f t="shared" si="21"/>
        <v>25695</v>
      </c>
      <c r="Q52" s="258">
        <f t="shared" si="22"/>
        <v>0</v>
      </c>
      <c r="R52" s="258">
        <f t="shared" si="15"/>
        <v>0</v>
      </c>
      <c r="S52" s="258">
        <f t="shared" si="16"/>
        <v>359.73</v>
      </c>
      <c r="T52" s="258">
        <f t="shared" si="23"/>
        <v>5.5343076923076922</v>
      </c>
      <c r="U52" s="258">
        <f t="shared" si="17"/>
        <v>0</v>
      </c>
      <c r="V52" s="258">
        <f t="shared" si="24"/>
        <v>5.5343076923076922</v>
      </c>
    </row>
    <row r="53" spans="1:22">
      <c r="A53" s="258">
        <v>11</v>
      </c>
      <c r="B53" s="259" t="s">
        <v>7</v>
      </c>
      <c r="C53" s="523"/>
      <c r="D53" s="260">
        <v>19</v>
      </c>
      <c r="E53" s="260"/>
      <c r="F53" s="260">
        <v>25695</v>
      </c>
      <c r="G53" s="261">
        <v>2</v>
      </c>
      <c r="H53" s="261">
        <f t="shared" si="13"/>
        <v>244102.5</v>
      </c>
      <c r="I53" s="271"/>
      <c r="J53" s="261">
        <f t="shared" si="18"/>
        <v>244102.5</v>
      </c>
      <c r="K53" s="258">
        <f t="shared" si="14"/>
        <v>0</v>
      </c>
      <c r="L53" s="258">
        <f t="shared" si="19"/>
        <v>25695</v>
      </c>
      <c r="M53" s="272"/>
      <c r="N53" s="258">
        <f t="shared" si="20"/>
        <v>25695</v>
      </c>
      <c r="O53" s="258">
        <f>'Primary (1-5)'!N32</f>
        <v>0</v>
      </c>
      <c r="P53" s="258">
        <f t="shared" si="21"/>
        <v>25695</v>
      </c>
      <c r="Q53" s="258">
        <f t="shared" si="22"/>
        <v>0</v>
      </c>
      <c r="R53" s="258">
        <f t="shared" si="15"/>
        <v>0</v>
      </c>
      <c r="S53" s="258">
        <f t="shared" si="16"/>
        <v>488.20499999999998</v>
      </c>
      <c r="T53" s="258">
        <f t="shared" si="23"/>
        <v>7.5108461538461535</v>
      </c>
      <c r="U53" s="258">
        <f t="shared" si="17"/>
        <v>0</v>
      </c>
      <c r="V53" s="258">
        <f t="shared" si="24"/>
        <v>7.5108461538461535</v>
      </c>
    </row>
    <row r="54" spans="1:22">
      <c r="A54" s="258">
        <v>12</v>
      </c>
      <c r="B54" s="259" t="s">
        <v>8</v>
      </c>
      <c r="C54" s="523"/>
      <c r="D54" s="260">
        <v>9</v>
      </c>
      <c r="E54" s="260"/>
      <c r="F54" s="260">
        <v>23776</v>
      </c>
      <c r="G54" s="261">
        <v>2</v>
      </c>
      <c r="H54" s="261">
        <f t="shared" si="13"/>
        <v>106992</v>
      </c>
      <c r="I54" s="271"/>
      <c r="J54" s="261">
        <f t="shared" si="18"/>
        <v>106992</v>
      </c>
      <c r="K54" s="258">
        <f t="shared" si="14"/>
        <v>0</v>
      </c>
      <c r="L54" s="258">
        <f t="shared" si="19"/>
        <v>23776</v>
      </c>
      <c r="M54" s="272"/>
      <c r="N54" s="258">
        <f t="shared" si="20"/>
        <v>23776</v>
      </c>
      <c r="O54" s="258">
        <f>'Primary (1-5)'!O32</f>
        <v>0</v>
      </c>
      <c r="P54" s="258">
        <f t="shared" si="21"/>
        <v>23776</v>
      </c>
      <c r="Q54" s="258">
        <f t="shared" si="22"/>
        <v>0</v>
      </c>
      <c r="R54" s="258">
        <f t="shared" si="15"/>
        <v>0</v>
      </c>
      <c r="S54" s="258">
        <f t="shared" si="16"/>
        <v>213.98400000000001</v>
      </c>
      <c r="T54" s="258">
        <f t="shared" si="23"/>
        <v>3.2920615384615388</v>
      </c>
      <c r="U54" s="258">
        <f t="shared" si="17"/>
        <v>0</v>
      </c>
      <c r="V54" s="258">
        <f t="shared" si="24"/>
        <v>3.2920615384615388</v>
      </c>
    </row>
    <row r="55" spans="1:22">
      <c r="A55" s="258">
        <v>13</v>
      </c>
      <c r="B55" s="259" t="s">
        <v>9</v>
      </c>
      <c r="C55" s="524"/>
      <c r="D55" s="260">
        <v>11.5</v>
      </c>
      <c r="E55" s="260"/>
      <c r="F55" s="260">
        <v>1405</v>
      </c>
      <c r="G55" s="261">
        <v>2</v>
      </c>
      <c r="H55" s="261">
        <f t="shared" si="13"/>
        <v>8078.75</v>
      </c>
      <c r="I55" s="271"/>
      <c r="J55" s="261">
        <f t="shared" si="18"/>
        <v>8078.75</v>
      </c>
      <c r="K55" s="258">
        <f t="shared" si="14"/>
        <v>0</v>
      </c>
      <c r="L55" s="258">
        <f t="shared" si="19"/>
        <v>1405</v>
      </c>
      <c r="M55" s="272"/>
      <c r="N55" s="258">
        <f t="shared" si="20"/>
        <v>1405</v>
      </c>
      <c r="O55" s="258">
        <f>'Primary (1-5)'!P32</f>
        <v>0</v>
      </c>
      <c r="P55" s="258">
        <f t="shared" si="21"/>
        <v>1405</v>
      </c>
      <c r="Q55" s="258">
        <f t="shared" si="22"/>
        <v>0</v>
      </c>
      <c r="R55" s="258">
        <f t="shared" si="15"/>
        <v>0</v>
      </c>
      <c r="S55" s="258">
        <f t="shared" si="16"/>
        <v>16.157499999999999</v>
      </c>
      <c r="T55" s="258">
        <f t="shared" si="23"/>
        <v>0.24857692307692306</v>
      </c>
      <c r="U55" s="258">
        <f t="shared" si="17"/>
        <v>0</v>
      </c>
      <c r="V55" s="258">
        <f t="shared" si="24"/>
        <v>0.24857692307692306</v>
      </c>
    </row>
    <row r="56" spans="1:22">
      <c r="A56" s="258">
        <v>14</v>
      </c>
      <c r="B56" s="259" t="s">
        <v>4</v>
      </c>
      <c r="C56" s="522" t="s">
        <v>52</v>
      </c>
      <c r="D56" s="260">
        <v>16.5</v>
      </c>
      <c r="E56" s="260"/>
      <c r="F56" s="260">
        <v>24235</v>
      </c>
      <c r="G56" s="261">
        <v>2</v>
      </c>
      <c r="H56" s="261">
        <f t="shared" si="13"/>
        <v>199938.75</v>
      </c>
      <c r="I56" s="271"/>
      <c r="J56" s="261">
        <f t="shared" si="18"/>
        <v>199938.75</v>
      </c>
      <c r="K56" s="258">
        <f t="shared" si="14"/>
        <v>0</v>
      </c>
      <c r="L56" s="258">
        <f t="shared" si="19"/>
        <v>24235</v>
      </c>
      <c r="M56" s="272"/>
      <c r="N56" s="258">
        <f t="shared" si="20"/>
        <v>24235</v>
      </c>
      <c r="O56" s="258">
        <f>'Primary (1-5)'!Q32</f>
        <v>0</v>
      </c>
      <c r="P56" s="258">
        <f t="shared" si="21"/>
        <v>24235</v>
      </c>
      <c r="Q56" s="258">
        <f t="shared" si="22"/>
        <v>0</v>
      </c>
      <c r="R56" s="258">
        <f t="shared" si="15"/>
        <v>0</v>
      </c>
      <c r="S56" s="258">
        <f t="shared" si="16"/>
        <v>399.8775</v>
      </c>
      <c r="T56" s="258">
        <f t="shared" si="23"/>
        <v>6.1519615384615385</v>
      </c>
      <c r="U56" s="258">
        <f t="shared" si="17"/>
        <v>0</v>
      </c>
      <c r="V56" s="258">
        <f t="shared" si="24"/>
        <v>6.1519615384615385</v>
      </c>
    </row>
    <row r="57" spans="1:22">
      <c r="A57" s="258">
        <v>15</v>
      </c>
      <c r="B57" s="259" t="s">
        <v>5</v>
      </c>
      <c r="C57" s="523"/>
      <c r="D57" s="260">
        <v>12</v>
      </c>
      <c r="E57" s="260"/>
      <c r="F57" s="260">
        <v>24235</v>
      </c>
      <c r="G57" s="261">
        <v>2</v>
      </c>
      <c r="H57" s="261">
        <f t="shared" si="13"/>
        <v>145410</v>
      </c>
      <c r="I57" s="271"/>
      <c r="J57" s="261">
        <f t="shared" si="18"/>
        <v>145410</v>
      </c>
      <c r="K57" s="258">
        <f t="shared" si="14"/>
        <v>0</v>
      </c>
      <c r="L57" s="258">
        <f t="shared" si="19"/>
        <v>24235</v>
      </c>
      <c r="M57" s="272"/>
      <c r="N57" s="258">
        <f t="shared" si="20"/>
        <v>24235</v>
      </c>
      <c r="O57" s="258">
        <f>'Primary (1-5)'!R32</f>
        <v>0</v>
      </c>
      <c r="P57" s="258">
        <f t="shared" si="21"/>
        <v>24235</v>
      </c>
      <c r="Q57" s="258">
        <f t="shared" si="22"/>
        <v>0</v>
      </c>
      <c r="R57" s="258">
        <f t="shared" si="15"/>
        <v>0</v>
      </c>
      <c r="S57" s="258">
        <f t="shared" si="16"/>
        <v>290.82</v>
      </c>
      <c r="T57" s="258">
        <f t="shared" si="23"/>
        <v>4.4741538461538459</v>
      </c>
      <c r="U57" s="258">
        <f t="shared" si="17"/>
        <v>0</v>
      </c>
      <c r="V57" s="258">
        <f t="shared" si="24"/>
        <v>4.4741538461538459</v>
      </c>
    </row>
    <row r="58" spans="1:22">
      <c r="A58" s="258">
        <v>16</v>
      </c>
      <c r="B58" s="259" t="s">
        <v>6</v>
      </c>
      <c r="C58" s="523"/>
      <c r="D58" s="260">
        <v>22.5</v>
      </c>
      <c r="E58" s="260"/>
      <c r="F58" s="260">
        <v>24235</v>
      </c>
      <c r="G58" s="261">
        <v>2</v>
      </c>
      <c r="H58" s="261">
        <f t="shared" si="13"/>
        <v>272643.75</v>
      </c>
      <c r="I58" s="271"/>
      <c r="J58" s="261">
        <f t="shared" si="18"/>
        <v>272643.75</v>
      </c>
      <c r="K58" s="258">
        <f t="shared" si="14"/>
        <v>0</v>
      </c>
      <c r="L58" s="258">
        <f t="shared" si="19"/>
        <v>24235</v>
      </c>
      <c r="M58" s="272"/>
      <c r="N58" s="258">
        <f t="shared" si="20"/>
        <v>24235</v>
      </c>
      <c r="O58" s="258">
        <f>'Primary (1-5)'!S32</f>
        <v>0</v>
      </c>
      <c r="P58" s="258">
        <f t="shared" si="21"/>
        <v>24235</v>
      </c>
      <c r="Q58" s="258">
        <f t="shared" si="22"/>
        <v>0</v>
      </c>
      <c r="R58" s="258">
        <f t="shared" si="15"/>
        <v>0</v>
      </c>
      <c r="S58" s="258">
        <f t="shared" si="16"/>
        <v>545.28750000000002</v>
      </c>
      <c r="T58" s="258">
        <f t="shared" si="23"/>
        <v>8.3890384615384619</v>
      </c>
      <c r="U58" s="258">
        <f t="shared" si="17"/>
        <v>0</v>
      </c>
      <c r="V58" s="258">
        <f t="shared" si="24"/>
        <v>8.3890384615384619</v>
      </c>
    </row>
    <row r="59" spans="1:22">
      <c r="A59" s="258">
        <v>17</v>
      </c>
      <c r="B59" s="259" t="s">
        <v>204</v>
      </c>
      <c r="C59" s="523"/>
      <c r="D59" s="260">
        <v>15</v>
      </c>
      <c r="E59" s="260"/>
      <c r="F59" s="260">
        <v>24235</v>
      </c>
      <c r="G59" s="261">
        <v>2</v>
      </c>
      <c r="H59" s="261">
        <f t="shared" si="13"/>
        <v>181762.5</v>
      </c>
      <c r="I59" s="271"/>
      <c r="J59" s="261">
        <f t="shared" si="18"/>
        <v>181762.5</v>
      </c>
      <c r="K59" s="258">
        <f t="shared" si="14"/>
        <v>0</v>
      </c>
      <c r="L59" s="258">
        <f t="shared" si="19"/>
        <v>24235</v>
      </c>
      <c r="M59" s="272"/>
      <c r="N59" s="258">
        <f t="shared" si="20"/>
        <v>24235</v>
      </c>
      <c r="O59" s="258">
        <f>'Primary (1-5)'!T32</f>
        <v>0</v>
      </c>
      <c r="P59" s="258">
        <f t="shared" si="21"/>
        <v>24235</v>
      </c>
      <c r="Q59" s="258">
        <f t="shared" si="22"/>
        <v>0</v>
      </c>
      <c r="R59" s="258">
        <f t="shared" si="15"/>
        <v>0</v>
      </c>
      <c r="S59" s="258">
        <f t="shared" si="16"/>
        <v>363.52499999999998</v>
      </c>
      <c r="T59" s="258">
        <f t="shared" si="23"/>
        <v>5.5926923076923076</v>
      </c>
      <c r="U59" s="258">
        <f t="shared" si="17"/>
        <v>0</v>
      </c>
      <c r="V59" s="258">
        <f t="shared" si="24"/>
        <v>5.5926923076923076</v>
      </c>
    </row>
    <row r="60" spans="1:22">
      <c r="A60" s="258">
        <v>18</v>
      </c>
      <c r="B60" s="259" t="s">
        <v>7</v>
      </c>
      <c r="C60" s="523"/>
      <c r="D60" s="260">
        <v>19.5</v>
      </c>
      <c r="E60" s="260"/>
      <c r="F60" s="260">
        <v>24235</v>
      </c>
      <c r="G60" s="261">
        <v>2</v>
      </c>
      <c r="H60" s="261">
        <f t="shared" si="13"/>
        <v>236291.25</v>
      </c>
      <c r="I60" s="271"/>
      <c r="J60" s="261">
        <f t="shared" si="18"/>
        <v>236291.25</v>
      </c>
      <c r="K60" s="258">
        <f t="shared" si="14"/>
        <v>0</v>
      </c>
      <c r="L60" s="258">
        <f t="shared" si="19"/>
        <v>24235</v>
      </c>
      <c r="M60" s="272"/>
      <c r="N60" s="258">
        <f t="shared" si="20"/>
        <v>24235</v>
      </c>
      <c r="O60" s="258">
        <f>'Primary (1-5)'!U32</f>
        <v>0</v>
      </c>
      <c r="P60" s="258">
        <f t="shared" si="21"/>
        <v>24235</v>
      </c>
      <c r="Q60" s="258">
        <f t="shared" si="22"/>
        <v>0</v>
      </c>
      <c r="R60" s="258">
        <f t="shared" si="15"/>
        <v>0</v>
      </c>
      <c r="S60" s="258">
        <f t="shared" si="16"/>
        <v>472.58249999999998</v>
      </c>
      <c r="T60" s="258">
        <f t="shared" si="23"/>
        <v>7.2704999999999993</v>
      </c>
      <c r="U60" s="258">
        <f t="shared" si="17"/>
        <v>0</v>
      </c>
      <c r="V60" s="258">
        <f t="shared" si="24"/>
        <v>7.2704999999999993</v>
      </c>
    </row>
    <row r="61" spans="1:22">
      <c r="A61" s="258">
        <v>19</v>
      </c>
      <c r="B61" s="259" t="s">
        <v>8</v>
      </c>
      <c r="C61" s="523"/>
      <c r="D61" s="260">
        <v>10</v>
      </c>
      <c r="E61" s="260"/>
      <c r="F61" s="260">
        <v>22369</v>
      </c>
      <c r="G61" s="261">
        <v>2</v>
      </c>
      <c r="H61" s="261">
        <f t="shared" si="13"/>
        <v>111845</v>
      </c>
      <c r="I61" s="271"/>
      <c r="J61" s="261">
        <f t="shared" si="18"/>
        <v>111845</v>
      </c>
      <c r="K61" s="258">
        <f t="shared" si="14"/>
        <v>0</v>
      </c>
      <c r="L61" s="258">
        <f t="shared" si="19"/>
        <v>22369</v>
      </c>
      <c r="M61" s="272"/>
      <c r="N61" s="258">
        <f t="shared" si="20"/>
        <v>22369</v>
      </c>
      <c r="O61" s="258">
        <f>'Primary (1-5)'!V32</f>
        <v>0</v>
      </c>
      <c r="P61" s="258">
        <f t="shared" si="21"/>
        <v>22369</v>
      </c>
      <c r="Q61" s="258">
        <f t="shared" si="22"/>
        <v>0</v>
      </c>
      <c r="R61" s="258">
        <f t="shared" si="15"/>
        <v>0</v>
      </c>
      <c r="S61" s="258">
        <f t="shared" si="16"/>
        <v>223.69</v>
      </c>
      <c r="T61" s="258">
        <f t="shared" si="23"/>
        <v>3.4413846153846155</v>
      </c>
      <c r="U61" s="258">
        <f t="shared" si="17"/>
        <v>0</v>
      </c>
      <c r="V61" s="258">
        <f t="shared" si="24"/>
        <v>3.4413846153846155</v>
      </c>
    </row>
    <row r="62" spans="1:22">
      <c r="A62" s="258">
        <v>20</v>
      </c>
      <c r="B62" s="259" t="s">
        <v>9</v>
      </c>
      <c r="C62" s="524"/>
      <c r="D62" s="260">
        <v>13.5</v>
      </c>
      <c r="E62" s="260"/>
      <c r="F62" s="260">
        <v>1350</v>
      </c>
      <c r="G62" s="261">
        <v>2</v>
      </c>
      <c r="H62" s="261">
        <f t="shared" si="13"/>
        <v>9112.5</v>
      </c>
      <c r="I62" s="271"/>
      <c r="J62" s="261">
        <f t="shared" si="18"/>
        <v>9112.5</v>
      </c>
      <c r="K62" s="258">
        <f t="shared" si="14"/>
        <v>0</v>
      </c>
      <c r="L62" s="258">
        <f t="shared" si="19"/>
        <v>1350</v>
      </c>
      <c r="M62" s="272"/>
      <c r="N62" s="258">
        <f t="shared" si="20"/>
        <v>1350</v>
      </c>
      <c r="O62" s="258">
        <f>'Primary (1-5)'!W32</f>
        <v>0</v>
      </c>
      <c r="P62" s="258">
        <f t="shared" si="21"/>
        <v>1350</v>
      </c>
      <c r="Q62" s="258">
        <f t="shared" si="22"/>
        <v>0</v>
      </c>
      <c r="R62" s="258">
        <f t="shared" si="15"/>
        <v>0</v>
      </c>
      <c r="S62" s="258">
        <f t="shared" si="16"/>
        <v>18.225000000000001</v>
      </c>
      <c r="T62" s="258">
        <f t="shared" si="23"/>
        <v>0.2803846153846154</v>
      </c>
      <c r="U62" s="258">
        <f t="shared" si="17"/>
        <v>0</v>
      </c>
      <c r="V62" s="258">
        <f t="shared" si="24"/>
        <v>0.2803846153846154</v>
      </c>
    </row>
    <row r="63" spans="1:22">
      <c r="A63" s="258">
        <v>21</v>
      </c>
      <c r="B63" s="259" t="s">
        <v>4</v>
      </c>
      <c r="C63" s="522" t="s">
        <v>53</v>
      </c>
      <c r="D63" s="260">
        <v>17.5</v>
      </c>
      <c r="E63" s="260"/>
      <c r="F63" s="260">
        <v>23129</v>
      </c>
      <c r="G63" s="261">
        <v>2</v>
      </c>
      <c r="H63" s="261">
        <f t="shared" si="13"/>
        <v>202378.75</v>
      </c>
      <c r="I63" s="271"/>
      <c r="J63" s="261">
        <f t="shared" si="18"/>
        <v>202378.75</v>
      </c>
      <c r="K63" s="258">
        <f t="shared" si="14"/>
        <v>0</v>
      </c>
      <c r="L63" s="258">
        <f t="shared" si="19"/>
        <v>23129</v>
      </c>
      <c r="M63" s="272"/>
      <c r="N63" s="258">
        <f t="shared" si="20"/>
        <v>23129</v>
      </c>
      <c r="O63" s="258">
        <f>'Primary (1-5)'!X32</f>
        <v>0</v>
      </c>
      <c r="P63" s="258">
        <f t="shared" si="21"/>
        <v>23129</v>
      </c>
      <c r="Q63" s="258">
        <f t="shared" si="22"/>
        <v>0</v>
      </c>
      <c r="R63" s="258">
        <f t="shared" si="15"/>
        <v>0</v>
      </c>
      <c r="S63" s="258">
        <f t="shared" si="16"/>
        <v>404.75749999999999</v>
      </c>
      <c r="T63" s="258">
        <f t="shared" si="23"/>
        <v>6.2270384615384611</v>
      </c>
      <c r="U63" s="258">
        <f t="shared" si="17"/>
        <v>0</v>
      </c>
      <c r="V63" s="258">
        <f t="shared" si="24"/>
        <v>6.2270384615384611</v>
      </c>
    </row>
    <row r="64" spans="1:22">
      <c r="A64" s="258">
        <v>22</v>
      </c>
      <c r="B64" s="259" t="s">
        <v>5</v>
      </c>
      <c r="C64" s="523"/>
      <c r="D64" s="260">
        <v>14.5</v>
      </c>
      <c r="E64" s="260"/>
      <c r="F64" s="260">
        <v>23129</v>
      </c>
      <c r="G64" s="261">
        <v>2</v>
      </c>
      <c r="H64" s="261">
        <f t="shared" si="13"/>
        <v>167685.25</v>
      </c>
      <c r="I64" s="271"/>
      <c r="J64" s="261">
        <f t="shared" si="18"/>
        <v>167685.25</v>
      </c>
      <c r="K64" s="258">
        <f t="shared" si="14"/>
        <v>0</v>
      </c>
      <c r="L64" s="258">
        <f t="shared" si="19"/>
        <v>23129</v>
      </c>
      <c r="M64" s="272"/>
      <c r="N64" s="258">
        <f t="shared" si="20"/>
        <v>23129</v>
      </c>
      <c r="O64" s="258">
        <f>'Primary (1-5)'!Y32</f>
        <v>0</v>
      </c>
      <c r="P64" s="258">
        <f t="shared" si="21"/>
        <v>23129</v>
      </c>
      <c r="Q64" s="258">
        <f t="shared" si="22"/>
        <v>0</v>
      </c>
      <c r="R64" s="258">
        <f t="shared" si="15"/>
        <v>0</v>
      </c>
      <c r="S64" s="258">
        <f t="shared" si="16"/>
        <v>335.37049999999999</v>
      </c>
      <c r="T64" s="258">
        <f t="shared" si="23"/>
        <v>5.1595461538461533</v>
      </c>
      <c r="U64" s="258">
        <f t="shared" si="17"/>
        <v>0</v>
      </c>
      <c r="V64" s="258">
        <f t="shared" si="24"/>
        <v>5.1595461538461533</v>
      </c>
    </row>
    <row r="65" spans="1:22">
      <c r="A65" s="258">
        <v>23</v>
      </c>
      <c r="B65" s="259" t="s">
        <v>6</v>
      </c>
      <c r="C65" s="523"/>
      <c r="D65" s="260">
        <v>23.5</v>
      </c>
      <c r="E65" s="260"/>
      <c r="F65" s="260">
        <v>23129</v>
      </c>
      <c r="G65" s="261">
        <v>2</v>
      </c>
      <c r="H65" s="261">
        <f t="shared" si="13"/>
        <v>271765.75</v>
      </c>
      <c r="I65" s="271"/>
      <c r="J65" s="261">
        <f t="shared" si="18"/>
        <v>271765.75</v>
      </c>
      <c r="K65" s="258">
        <f t="shared" si="14"/>
        <v>0</v>
      </c>
      <c r="L65" s="258">
        <f t="shared" si="19"/>
        <v>23129</v>
      </c>
      <c r="M65" s="272"/>
      <c r="N65" s="258">
        <f t="shared" si="20"/>
        <v>23129</v>
      </c>
      <c r="O65" s="258">
        <f>'Primary (1-5)'!Z32</f>
        <v>0</v>
      </c>
      <c r="P65" s="258">
        <f t="shared" si="21"/>
        <v>23129</v>
      </c>
      <c r="Q65" s="258">
        <f t="shared" si="22"/>
        <v>0</v>
      </c>
      <c r="R65" s="258">
        <f t="shared" si="15"/>
        <v>0</v>
      </c>
      <c r="S65" s="258">
        <f t="shared" si="16"/>
        <v>543.53150000000005</v>
      </c>
      <c r="T65" s="258">
        <f t="shared" si="23"/>
        <v>8.3620230769230783</v>
      </c>
      <c r="U65" s="258">
        <f t="shared" si="17"/>
        <v>0</v>
      </c>
      <c r="V65" s="258">
        <f t="shared" si="24"/>
        <v>8.3620230769230783</v>
      </c>
    </row>
    <row r="66" spans="1:22">
      <c r="A66" s="258">
        <v>24</v>
      </c>
      <c r="B66" s="259" t="s">
        <v>204</v>
      </c>
      <c r="C66" s="523"/>
      <c r="D66" s="260">
        <v>20.5</v>
      </c>
      <c r="E66" s="260"/>
      <c r="F66" s="260">
        <v>23129</v>
      </c>
      <c r="G66" s="261">
        <v>2</v>
      </c>
      <c r="H66" s="261">
        <f t="shared" si="13"/>
        <v>237072.25</v>
      </c>
      <c r="I66" s="271"/>
      <c r="J66" s="261">
        <f t="shared" si="18"/>
        <v>237072.25</v>
      </c>
      <c r="K66" s="258">
        <f t="shared" si="14"/>
        <v>0</v>
      </c>
      <c r="L66" s="258">
        <f t="shared" si="19"/>
        <v>23129</v>
      </c>
      <c r="M66" s="272"/>
      <c r="N66" s="258">
        <f t="shared" si="20"/>
        <v>23129</v>
      </c>
      <c r="O66" s="258">
        <f>'Primary (1-5)'!AA32</f>
        <v>0</v>
      </c>
      <c r="P66" s="258">
        <f t="shared" si="21"/>
        <v>23129</v>
      </c>
      <c r="Q66" s="258">
        <f t="shared" si="22"/>
        <v>0</v>
      </c>
      <c r="R66" s="258">
        <f t="shared" si="15"/>
        <v>0</v>
      </c>
      <c r="S66" s="258">
        <f t="shared" si="16"/>
        <v>474.14449999999999</v>
      </c>
      <c r="T66" s="258">
        <f t="shared" si="23"/>
        <v>7.2945307692307688</v>
      </c>
      <c r="U66" s="258">
        <f t="shared" si="17"/>
        <v>0</v>
      </c>
      <c r="V66" s="258">
        <f t="shared" si="24"/>
        <v>7.2945307692307688</v>
      </c>
    </row>
    <row r="67" spans="1:22">
      <c r="A67" s="258">
        <v>25</v>
      </c>
      <c r="B67" s="259" t="s">
        <v>7</v>
      </c>
      <c r="C67" s="523"/>
      <c r="D67" s="260">
        <v>20.5</v>
      </c>
      <c r="E67" s="260"/>
      <c r="F67" s="260">
        <v>23129</v>
      </c>
      <c r="G67" s="261">
        <v>2</v>
      </c>
      <c r="H67" s="261">
        <f t="shared" si="13"/>
        <v>237072.25</v>
      </c>
      <c r="I67" s="271"/>
      <c r="J67" s="261">
        <f t="shared" si="18"/>
        <v>237072.25</v>
      </c>
      <c r="K67" s="258">
        <f t="shared" si="14"/>
        <v>0</v>
      </c>
      <c r="L67" s="258">
        <f t="shared" si="19"/>
        <v>23129</v>
      </c>
      <c r="M67" s="272"/>
      <c r="N67" s="258">
        <f t="shared" si="20"/>
        <v>23129</v>
      </c>
      <c r="O67" s="258">
        <f>'Primary (1-5)'!AB32</f>
        <v>0</v>
      </c>
      <c r="P67" s="258">
        <f t="shared" si="21"/>
        <v>23129</v>
      </c>
      <c r="Q67" s="258">
        <f t="shared" si="22"/>
        <v>0</v>
      </c>
      <c r="R67" s="258">
        <f t="shared" si="15"/>
        <v>0</v>
      </c>
      <c r="S67" s="258">
        <f t="shared" si="16"/>
        <v>474.14449999999999</v>
      </c>
      <c r="T67" s="258">
        <f t="shared" si="23"/>
        <v>7.2945307692307688</v>
      </c>
      <c r="U67" s="258">
        <f t="shared" si="17"/>
        <v>0</v>
      </c>
      <c r="V67" s="258">
        <f t="shared" si="24"/>
        <v>7.2945307692307688</v>
      </c>
    </row>
    <row r="68" spans="1:22">
      <c r="A68" s="258">
        <v>26</v>
      </c>
      <c r="B68" s="259" t="s">
        <v>8</v>
      </c>
      <c r="C68" s="523"/>
      <c r="D68" s="260">
        <v>10.5</v>
      </c>
      <c r="E68" s="260"/>
      <c r="F68" s="260">
        <v>21261</v>
      </c>
      <c r="G68" s="261">
        <v>2</v>
      </c>
      <c r="H68" s="261">
        <f t="shared" si="13"/>
        <v>111620.25</v>
      </c>
      <c r="I68" s="271"/>
      <c r="J68" s="261">
        <f t="shared" si="18"/>
        <v>111620.25</v>
      </c>
      <c r="K68" s="258">
        <f t="shared" si="14"/>
        <v>0</v>
      </c>
      <c r="L68" s="258">
        <f t="shared" si="19"/>
        <v>21261</v>
      </c>
      <c r="M68" s="272"/>
      <c r="N68" s="258">
        <f t="shared" si="20"/>
        <v>21261</v>
      </c>
      <c r="O68" s="258">
        <f>'Primary (1-5)'!AC32</f>
        <v>0</v>
      </c>
      <c r="P68" s="258">
        <f t="shared" si="21"/>
        <v>21261</v>
      </c>
      <c r="Q68" s="258">
        <f t="shared" si="22"/>
        <v>0</v>
      </c>
      <c r="R68" s="258">
        <f t="shared" si="15"/>
        <v>0</v>
      </c>
      <c r="S68" s="258">
        <f t="shared" si="16"/>
        <v>223.2405</v>
      </c>
      <c r="T68" s="258">
        <f t="shared" si="23"/>
        <v>3.4344692307692308</v>
      </c>
      <c r="U68" s="258">
        <f t="shared" si="17"/>
        <v>0</v>
      </c>
      <c r="V68" s="258">
        <f t="shared" si="24"/>
        <v>3.4344692307692308</v>
      </c>
    </row>
    <row r="69" spans="1:22">
      <c r="A69" s="258">
        <v>27</v>
      </c>
      <c r="B69" s="259" t="s">
        <v>9</v>
      </c>
      <c r="C69" s="524"/>
      <c r="D69" s="260">
        <v>12.5</v>
      </c>
      <c r="E69" s="260"/>
      <c r="F69" s="260">
        <v>1375</v>
      </c>
      <c r="G69" s="261">
        <v>2</v>
      </c>
      <c r="H69" s="261">
        <f t="shared" si="13"/>
        <v>8593.75</v>
      </c>
      <c r="I69" s="271"/>
      <c r="J69" s="261">
        <f t="shared" si="18"/>
        <v>8593.75</v>
      </c>
      <c r="K69" s="258">
        <f t="shared" si="14"/>
        <v>0</v>
      </c>
      <c r="L69" s="258">
        <f t="shared" si="19"/>
        <v>1375</v>
      </c>
      <c r="M69" s="272"/>
      <c r="N69" s="258">
        <f t="shared" si="20"/>
        <v>1375</v>
      </c>
      <c r="O69" s="258">
        <f>'Primary (1-5)'!AD32</f>
        <v>0</v>
      </c>
      <c r="P69" s="258">
        <f t="shared" si="21"/>
        <v>1375</v>
      </c>
      <c r="Q69" s="258">
        <f t="shared" si="22"/>
        <v>0</v>
      </c>
      <c r="R69" s="258">
        <f t="shared" si="15"/>
        <v>0</v>
      </c>
      <c r="S69" s="258">
        <f t="shared" si="16"/>
        <v>17.1875</v>
      </c>
      <c r="T69" s="258">
        <f t="shared" si="23"/>
        <v>0.26442307692307693</v>
      </c>
      <c r="U69" s="258">
        <f t="shared" si="17"/>
        <v>0</v>
      </c>
      <c r="V69" s="258">
        <f t="shared" si="24"/>
        <v>0.26442307692307693</v>
      </c>
    </row>
    <row r="70" spans="1:22">
      <c r="A70" s="525" t="s">
        <v>79</v>
      </c>
      <c r="B70" s="525"/>
      <c r="C70" s="525"/>
      <c r="D70" s="525"/>
      <c r="E70" s="275"/>
      <c r="F70" s="262">
        <f t="shared" ref="F70:V70" si="25">SUM(F43:F69)</f>
        <v>594871</v>
      </c>
      <c r="G70" s="262">
        <f t="shared" si="25"/>
        <v>54</v>
      </c>
      <c r="H70" s="262">
        <f t="shared" si="25"/>
        <v>4575704.75</v>
      </c>
      <c r="I70" s="262">
        <f t="shared" si="25"/>
        <v>0</v>
      </c>
      <c r="J70" s="262">
        <f t="shared" si="25"/>
        <v>4575704.75</v>
      </c>
      <c r="K70" s="262">
        <f t="shared" si="25"/>
        <v>0</v>
      </c>
      <c r="L70" s="262">
        <f t="shared" si="25"/>
        <v>594871</v>
      </c>
      <c r="M70" s="262">
        <f t="shared" si="25"/>
        <v>0</v>
      </c>
      <c r="N70" s="262">
        <f t="shared" si="25"/>
        <v>594871</v>
      </c>
      <c r="O70" s="262">
        <f t="shared" si="25"/>
        <v>0</v>
      </c>
      <c r="P70" s="262">
        <f t="shared" si="25"/>
        <v>594871</v>
      </c>
      <c r="Q70" s="262">
        <f t="shared" si="25"/>
        <v>0</v>
      </c>
      <c r="R70" s="262">
        <f t="shared" si="25"/>
        <v>0</v>
      </c>
      <c r="S70" s="262">
        <f t="shared" si="25"/>
        <v>9151.4094999999998</v>
      </c>
      <c r="T70" s="262">
        <f t="shared" si="25"/>
        <v>140.79091538461535</v>
      </c>
      <c r="U70" s="262">
        <f t="shared" si="25"/>
        <v>0</v>
      </c>
      <c r="V70" s="262">
        <f t="shared" si="25"/>
        <v>140.79091538461535</v>
      </c>
    </row>
    <row r="71" spans="1:22" s="11" customFormat="1">
      <c r="A71" s="61"/>
      <c r="B71" s="61"/>
      <c r="C71" s="61"/>
      <c r="D71" s="61"/>
      <c r="E71" s="61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</row>
    <row r="72" spans="1:22" s="11" customFormat="1" ht="15.75">
      <c r="A72" s="61"/>
      <c r="B72" s="61"/>
      <c r="C72" s="61"/>
      <c r="D72" s="61"/>
      <c r="E72" s="61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462" t="s">
        <v>254</v>
      </c>
      <c r="T72" s="462"/>
      <c r="U72" s="462"/>
      <c r="V72" s="462"/>
    </row>
    <row r="73" spans="1:22" s="1" customFormat="1" ht="24" customHeight="1">
      <c r="A73" s="388" t="s">
        <v>342</v>
      </c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</row>
    <row r="74" spans="1:22" s="1" customFormat="1" ht="17.25" customHeight="1">
      <c r="A74" s="379" t="s">
        <v>343</v>
      </c>
      <c r="B74" s="379"/>
      <c r="C74" s="379"/>
      <c r="D74" s="379"/>
      <c r="E74" s="379"/>
      <c r="F74" s="379"/>
      <c r="G74" s="379"/>
      <c r="H74" s="379"/>
      <c r="I74" s="379"/>
      <c r="J74" s="379"/>
      <c r="K74" s="379"/>
      <c r="L74" s="379"/>
      <c r="M74" s="379"/>
      <c r="N74" s="379"/>
      <c r="O74" s="379"/>
      <c r="P74" s="379"/>
      <c r="Q74" s="379"/>
      <c r="R74" s="379"/>
      <c r="S74" s="379"/>
      <c r="T74" s="379"/>
      <c r="U74" s="379"/>
      <c r="V74" s="379"/>
    </row>
    <row r="75" spans="1:22" s="1" customFormat="1" ht="15.75" customHeight="1">
      <c r="A75" s="313" t="s">
        <v>274</v>
      </c>
      <c r="B75" s="313"/>
      <c r="C75" s="313"/>
      <c r="D75" s="313"/>
      <c r="E75" s="313"/>
      <c r="F75" s="313"/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  <c r="T75" s="313"/>
      <c r="U75" s="313"/>
      <c r="V75" s="313"/>
    </row>
    <row r="76" spans="1:22" ht="20.25">
      <c r="A76" s="400" t="s">
        <v>562</v>
      </c>
      <c r="B76" s="400"/>
      <c r="C76" s="400"/>
      <c r="D76" s="400"/>
      <c r="E76" s="400"/>
      <c r="F76" s="400"/>
      <c r="G76" s="400"/>
      <c r="H76" s="400"/>
      <c r="I76" s="400"/>
      <c r="J76" s="400"/>
      <c r="K76" s="400"/>
      <c r="L76" s="400"/>
      <c r="M76" s="400"/>
      <c r="N76" s="400"/>
      <c r="O76" s="400"/>
      <c r="P76" s="400"/>
      <c r="Q76" s="400"/>
      <c r="R76" s="400"/>
      <c r="S76" s="400" t="s">
        <v>198</v>
      </c>
      <c r="T76" s="400"/>
      <c r="U76" s="400"/>
      <c r="V76" s="400"/>
    </row>
    <row r="77" spans="1:22">
      <c r="A77" s="510" t="s">
        <v>15</v>
      </c>
      <c r="B77" s="510" t="s">
        <v>64</v>
      </c>
      <c r="C77" s="510" t="s">
        <v>65</v>
      </c>
      <c r="D77" s="512" t="s">
        <v>66</v>
      </c>
      <c r="E77" s="276"/>
      <c r="F77" s="277" t="s">
        <v>88</v>
      </c>
      <c r="G77" s="278" t="s">
        <v>157</v>
      </c>
      <c r="H77" s="505" t="s">
        <v>84</v>
      </c>
      <c r="I77" s="505" t="s">
        <v>138</v>
      </c>
      <c r="J77" s="505"/>
      <c r="K77" s="506" t="s">
        <v>139</v>
      </c>
      <c r="L77" s="506"/>
      <c r="M77" s="506" t="s">
        <v>86</v>
      </c>
      <c r="N77" s="506"/>
      <c r="O77" s="506" t="s">
        <v>25</v>
      </c>
      <c r="P77" s="506"/>
      <c r="Q77" s="506" t="s">
        <v>87</v>
      </c>
      <c r="R77" s="505" t="s">
        <v>146</v>
      </c>
      <c r="S77" s="506" t="s">
        <v>140</v>
      </c>
      <c r="T77" s="506"/>
      <c r="U77" s="506"/>
      <c r="V77" s="506"/>
    </row>
    <row r="78" spans="1:22">
      <c r="A78" s="511"/>
      <c r="B78" s="511"/>
      <c r="C78" s="511"/>
      <c r="D78" s="513"/>
      <c r="E78" s="279"/>
      <c r="F78" s="280" t="s">
        <v>333</v>
      </c>
      <c r="G78" s="278"/>
      <c r="H78" s="505"/>
      <c r="I78" s="278" t="s">
        <v>85</v>
      </c>
      <c r="J78" s="278" t="s">
        <v>70</v>
      </c>
      <c r="K78" s="281" t="s">
        <v>85</v>
      </c>
      <c r="L78" s="281" t="s">
        <v>70</v>
      </c>
      <c r="M78" s="278" t="s">
        <v>86</v>
      </c>
      <c r="N78" s="281" t="s">
        <v>70</v>
      </c>
      <c r="O78" s="281" t="s">
        <v>25</v>
      </c>
      <c r="P78" s="281" t="s">
        <v>70</v>
      </c>
      <c r="Q78" s="506"/>
      <c r="R78" s="505"/>
      <c r="S78" s="281" t="s">
        <v>155</v>
      </c>
      <c r="T78" s="281" t="s">
        <v>156</v>
      </c>
      <c r="U78" s="281" t="s">
        <v>141</v>
      </c>
      <c r="V78" s="281" t="s">
        <v>70</v>
      </c>
    </row>
    <row r="79" spans="1:22">
      <c r="A79" s="285">
        <v>1</v>
      </c>
      <c r="B79" s="286" t="s">
        <v>26</v>
      </c>
      <c r="C79" s="273" t="s">
        <v>61</v>
      </c>
      <c r="D79" s="274">
        <v>11</v>
      </c>
      <c r="E79" s="274"/>
      <c r="F79" s="274">
        <v>45114</v>
      </c>
      <c r="G79" s="285">
        <v>2</v>
      </c>
      <c r="H79" s="285">
        <f t="shared" ref="H79:H98" si="26">D79/G79*F79</f>
        <v>248127</v>
      </c>
      <c r="I79" s="117"/>
      <c r="J79" s="285">
        <f>H79-I79</f>
        <v>248127</v>
      </c>
      <c r="K79" s="285">
        <f t="shared" ref="K79:K98" si="27">I79/D79*G79</f>
        <v>0</v>
      </c>
      <c r="L79" s="285">
        <f>F79-K79</f>
        <v>45114</v>
      </c>
      <c r="M79" s="117"/>
      <c r="N79" s="285">
        <f>F79-M79</f>
        <v>45114</v>
      </c>
      <c r="O79" s="285">
        <f>Ibtadi!D73</f>
        <v>0</v>
      </c>
      <c r="P79" s="285">
        <f>F79-O79</f>
        <v>45114</v>
      </c>
      <c r="Q79" s="285">
        <f>M79-O79</f>
        <v>0</v>
      </c>
      <c r="R79" s="285">
        <f t="shared" ref="R79:R98" si="28">D79*M79/1000</f>
        <v>0</v>
      </c>
      <c r="S79" s="285">
        <f t="shared" ref="S79:S98" si="29">D79*F79/1000</f>
        <v>496.25400000000002</v>
      </c>
      <c r="T79" s="285">
        <f>S79/65</f>
        <v>7.6346769230769231</v>
      </c>
      <c r="U79" s="285">
        <f t="shared" ref="U79:U98" si="30">D79*K79/1000/65</f>
        <v>0</v>
      </c>
      <c r="V79" s="285">
        <f>T79-U79</f>
        <v>7.6346769230769231</v>
      </c>
    </row>
    <row r="80" spans="1:22">
      <c r="A80" s="285">
        <v>2</v>
      </c>
      <c r="B80" s="286" t="s">
        <v>27</v>
      </c>
      <c r="C80" s="273"/>
      <c r="D80" s="274">
        <v>12.5</v>
      </c>
      <c r="E80" s="274"/>
      <c r="F80" s="274">
        <v>45114</v>
      </c>
      <c r="G80" s="285">
        <v>2</v>
      </c>
      <c r="H80" s="285">
        <f t="shared" si="26"/>
        <v>281962.5</v>
      </c>
      <c r="I80" s="117"/>
      <c r="J80" s="285">
        <f t="shared" ref="J80:J98" si="31">H80-I80</f>
        <v>281962.5</v>
      </c>
      <c r="K80" s="285">
        <f t="shared" si="27"/>
        <v>0</v>
      </c>
      <c r="L80" s="285">
        <f t="shared" ref="L80:L98" si="32">F80-K80</f>
        <v>45114</v>
      </c>
      <c r="M80" s="117"/>
      <c r="N80" s="285">
        <f t="shared" ref="N80:N98" si="33">F80-M80</f>
        <v>45114</v>
      </c>
      <c r="O80" s="285">
        <f>Ibtadi!E73</f>
        <v>0</v>
      </c>
      <c r="P80" s="285">
        <f t="shared" ref="P80:P98" si="34">F80-O80</f>
        <v>45114</v>
      </c>
      <c r="Q80" s="285">
        <f t="shared" ref="Q80:Q98" si="35">M80-O80</f>
        <v>0</v>
      </c>
      <c r="R80" s="285">
        <f t="shared" si="28"/>
        <v>0</v>
      </c>
      <c r="S80" s="285">
        <f t="shared" si="29"/>
        <v>563.92499999999995</v>
      </c>
      <c r="T80" s="285">
        <f t="shared" ref="T80:T98" si="36">S80/65</f>
        <v>8.6757692307692302</v>
      </c>
      <c r="U80" s="285">
        <f t="shared" si="30"/>
        <v>0</v>
      </c>
      <c r="V80" s="285">
        <f t="shared" ref="V80:V98" si="37">T80-U80</f>
        <v>8.6757692307692302</v>
      </c>
    </row>
    <row r="81" spans="1:22">
      <c r="A81" s="285">
        <v>3</v>
      </c>
      <c r="B81" s="286" t="s">
        <v>28</v>
      </c>
      <c r="C81" s="273"/>
      <c r="D81" s="274">
        <v>6</v>
      </c>
      <c r="E81" s="274"/>
      <c r="F81" s="274">
        <v>45114</v>
      </c>
      <c r="G81" s="285">
        <v>2</v>
      </c>
      <c r="H81" s="285">
        <f t="shared" si="26"/>
        <v>135342</v>
      </c>
      <c r="I81" s="117"/>
      <c r="J81" s="285">
        <f t="shared" si="31"/>
        <v>135342</v>
      </c>
      <c r="K81" s="285">
        <f t="shared" si="27"/>
        <v>0</v>
      </c>
      <c r="L81" s="285">
        <f t="shared" si="32"/>
        <v>45114</v>
      </c>
      <c r="M81" s="117"/>
      <c r="N81" s="285">
        <f t="shared" si="33"/>
        <v>45114</v>
      </c>
      <c r="O81" s="285">
        <f>Ibtadi!F73</f>
        <v>0</v>
      </c>
      <c r="P81" s="285">
        <f t="shared" si="34"/>
        <v>45114</v>
      </c>
      <c r="Q81" s="285">
        <f t="shared" si="35"/>
        <v>0</v>
      </c>
      <c r="R81" s="285">
        <f t="shared" si="28"/>
        <v>0</v>
      </c>
      <c r="S81" s="285">
        <f t="shared" si="29"/>
        <v>270.68400000000003</v>
      </c>
      <c r="T81" s="285">
        <f t="shared" si="36"/>
        <v>4.164369230769231</v>
      </c>
      <c r="U81" s="285">
        <f t="shared" si="30"/>
        <v>0</v>
      </c>
      <c r="V81" s="285">
        <f t="shared" si="37"/>
        <v>4.164369230769231</v>
      </c>
    </row>
    <row r="82" spans="1:22">
      <c r="A82" s="285">
        <v>4</v>
      </c>
      <c r="B82" s="286" t="s">
        <v>29</v>
      </c>
      <c r="C82" s="273"/>
      <c r="D82" s="274">
        <v>4</v>
      </c>
      <c r="E82" s="274"/>
      <c r="F82" s="274">
        <v>45114</v>
      </c>
      <c r="G82" s="285">
        <v>2</v>
      </c>
      <c r="H82" s="285">
        <f t="shared" si="26"/>
        <v>90228</v>
      </c>
      <c r="I82" s="117"/>
      <c r="J82" s="285">
        <f t="shared" si="31"/>
        <v>90228</v>
      </c>
      <c r="K82" s="285">
        <f t="shared" si="27"/>
        <v>0</v>
      </c>
      <c r="L82" s="285">
        <f t="shared" si="32"/>
        <v>45114</v>
      </c>
      <c r="M82" s="117"/>
      <c r="N82" s="285">
        <f t="shared" si="33"/>
        <v>45114</v>
      </c>
      <c r="O82" s="285">
        <f>Ibtadi!G73</f>
        <v>0</v>
      </c>
      <c r="P82" s="285">
        <f t="shared" si="34"/>
        <v>45114</v>
      </c>
      <c r="Q82" s="285">
        <f t="shared" si="35"/>
        <v>0</v>
      </c>
      <c r="R82" s="285">
        <f t="shared" si="28"/>
        <v>0</v>
      </c>
      <c r="S82" s="285">
        <f t="shared" si="29"/>
        <v>180.45599999999999</v>
      </c>
      <c r="T82" s="285">
        <f t="shared" si="36"/>
        <v>2.7762461538461536</v>
      </c>
      <c r="U82" s="285">
        <f t="shared" si="30"/>
        <v>0</v>
      </c>
      <c r="V82" s="285">
        <f t="shared" si="37"/>
        <v>2.7762461538461536</v>
      </c>
    </row>
    <row r="83" spans="1:22">
      <c r="A83" s="285">
        <v>5</v>
      </c>
      <c r="B83" s="286" t="s">
        <v>60</v>
      </c>
      <c r="C83" s="273"/>
      <c r="D83" s="274">
        <v>9</v>
      </c>
      <c r="E83" s="274"/>
      <c r="F83" s="274">
        <v>45114</v>
      </c>
      <c r="G83" s="285">
        <v>2</v>
      </c>
      <c r="H83" s="285">
        <f t="shared" si="26"/>
        <v>203013</v>
      </c>
      <c r="I83" s="117"/>
      <c r="J83" s="285">
        <f t="shared" si="31"/>
        <v>203013</v>
      </c>
      <c r="K83" s="285">
        <f t="shared" si="27"/>
        <v>0</v>
      </c>
      <c r="L83" s="285">
        <f t="shared" si="32"/>
        <v>45114</v>
      </c>
      <c r="M83" s="117"/>
      <c r="N83" s="285">
        <f t="shared" si="33"/>
        <v>45114</v>
      </c>
      <c r="O83" s="285">
        <f>Ibtadi!H73</f>
        <v>0</v>
      </c>
      <c r="P83" s="285">
        <f t="shared" si="34"/>
        <v>45114</v>
      </c>
      <c r="Q83" s="285">
        <f t="shared" si="35"/>
        <v>0</v>
      </c>
      <c r="R83" s="285">
        <f t="shared" si="28"/>
        <v>0</v>
      </c>
      <c r="S83" s="285">
        <f t="shared" si="29"/>
        <v>406.02600000000001</v>
      </c>
      <c r="T83" s="285">
        <f t="shared" si="36"/>
        <v>6.2465538461538461</v>
      </c>
      <c r="U83" s="285">
        <f t="shared" si="30"/>
        <v>0</v>
      </c>
      <c r="V83" s="285">
        <f t="shared" si="37"/>
        <v>6.2465538461538461</v>
      </c>
    </row>
    <row r="84" spans="1:22">
      <c r="A84" s="285">
        <v>6</v>
      </c>
      <c r="B84" s="286" t="s">
        <v>31</v>
      </c>
      <c r="C84" s="273"/>
      <c r="D84" s="274">
        <v>15</v>
      </c>
      <c r="E84" s="274"/>
      <c r="F84" s="274">
        <v>45114</v>
      </c>
      <c r="G84" s="285">
        <v>2</v>
      </c>
      <c r="H84" s="285">
        <f t="shared" si="26"/>
        <v>338355</v>
      </c>
      <c r="I84" s="117"/>
      <c r="J84" s="285">
        <f t="shared" si="31"/>
        <v>338355</v>
      </c>
      <c r="K84" s="285">
        <f t="shared" si="27"/>
        <v>0</v>
      </c>
      <c r="L84" s="285">
        <f t="shared" si="32"/>
        <v>45114</v>
      </c>
      <c r="M84" s="117"/>
      <c r="N84" s="285">
        <f t="shared" si="33"/>
        <v>45114</v>
      </c>
      <c r="O84" s="285">
        <f>Ibtadi!I73</f>
        <v>0</v>
      </c>
      <c r="P84" s="285">
        <f t="shared" si="34"/>
        <v>45114</v>
      </c>
      <c r="Q84" s="285">
        <f t="shared" si="35"/>
        <v>0</v>
      </c>
      <c r="R84" s="285">
        <f t="shared" si="28"/>
        <v>0</v>
      </c>
      <c r="S84" s="285">
        <f t="shared" si="29"/>
        <v>676.71</v>
      </c>
      <c r="T84" s="285">
        <f t="shared" si="36"/>
        <v>10.410923076923078</v>
      </c>
      <c r="U84" s="285">
        <f t="shared" si="30"/>
        <v>0</v>
      </c>
      <c r="V84" s="285">
        <f t="shared" si="37"/>
        <v>10.410923076923078</v>
      </c>
    </row>
    <row r="85" spans="1:22">
      <c r="A85" s="285">
        <v>7</v>
      </c>
      <c r="B85" s="286" t="s">
        <v>26</v>
      </c>
      <c r="C85" s="273" t="s">
        <v>62</v>
      </c>
      <c r="D85" s="274">
        <v>9</v>
      </c>
      <c r="E85" s="274"/>
      <c r="F85" s="274">
        <v>42770</v>
      </c>
      <c r="G85" s="285">
        <v>2</v>
      </c>
      <c r="H85" s="285">
        <f t="shared" si="26"/>
        <v>192465</v>
      </c>
      <c r="I85" s="117"/>
      <c r="J85" s="285">
        <f t="shared" si="31"/>
        <v>192465</v>
      </c>
      <c r="K85" s="285">
        <f t="shared" si="27"/>
        <v>0</v>
      </c>
      <c r="L85" s="285">
        <f t="shared" si="32"/>
        <v>42770</v>
      </c>
      <c r="M85" s="117"/>
      <c r="N85" s="285">
        <f t="shared" si="33"/>
        <v>42770</v>
      </c>
      <c r="O85" s="285">
        <f>Ibtadi!J73</f>
        <v>0</v>
      </c>
      <c r="P85" s="285">
        <f t="shared" si="34"/>
        <v>42770</v>
      </c>
      <c r="Q85" s="285">
        <f t="shared" si="35"/>
        <v>0</v>
      </c>
      <c r="R85" s="285">
        <f t="shared" si="28"/>
        <v>0</v>
      </c>
      <c r="S85" s="285">
        <f t="shared" si="29"/>
        <v>384.93</v>
      </c>
      <c r="T85" s="285">
        <f t="shared" si="36"/>
        <v>5.9219999999999997</v>
      </c>
      <c r="U85" s="285">
        <f t="shared" si="30"/>
        <v>0</v>
      </c>
      <c r="V85" s="285">
        <f t="shared" si="37"/>
        <v>5.9219999999999997</v>
      </c>
    </row>
    <row r="86" spans="1:22">
      <c r="A86" s="285">
        <v>8</v>
      </c>
      <c r="B86" s="286" t="s">
        <v>27</v>
      </c>
      <c r="C86" s="273"/>
      <c r="D86" s="274">
        <v>13</v>
      </c>
      <c r="E86" s="274"/>
      <c r="F86" s="274">
        <v>42770</v>
      </c>
      <c r="G86" s="285">
        <v>2</v>
      </c>
      <c r="H86" s="285">
        <f t="shared" si="26"/>
        <v>278005</v>
      </c>
      <c r="I86" s="117"/>
      <c r="J86" s="285">
        <f t="shared" si="31"/>
        <v>278005</v>
      </c>
      <c r="K86" s="285">
        <f t="shared" si="27"/>
        <v>0</v>
      </c>
      <c r="L86" s="285">
        <f t="shared" si="32"/>
        <v>42770</v>
      </c>
      <c r="M86" s="117"/>
      <c r="N86" s="285">
        <f t="shared" si="33"/>
        <v>42770</v>
      </c>
      <c r="O86" s="285">
        <f>Ibtadi!K73</f>
        <v>0</v>
      </c>
      <c r="P86" s="285">
        <f t="shared" si="34"/>
        <v>42770</v>
      </c>
      <c r="Q86" s="285">
        <f t="shared" si="35"/>
        <v>0</v>
      </c>
      <c r="R86" s="285">
        <f t="shared" si="28"/>
        <v>0</v>
      </c>
      <c r="S86" s="285">
        <f t="shared" si="29"/>
        <v>556.01</v>
      </c>
      <c r="T86" s="285">
        <f t="shared" si="36"/>
        <v>8.5540000000000003</v>
      </c>
      <c r="U86" s="285">
        <f t="shared" si="30"/>
        <v>0</v>
      </c>
      <c r="V86" s="285">
        <f t="shared" si="37"/>
        <v>8.5540000000000003</v>
      </c>
    </row>
    <row r="87" spans="1:22">
      <c r="A87" s="285">
        <v>9</v>
      </c>
      <c r="B87" s="286" t="s">
        <v>31</v>
      </c>
      <c r="C87" s="273"/>
      <c r="D87" s="274">
        <v>17</v>
      </c>
      <c r="E87" s="274"/>
      <c r="F87" s="274">
        <v>42770</v>
      </c>
      <c r="G87" s="285">
        <v>2</v>
      </c>
      <c r="H87" s="285">
        <f t="shared" si="26"/>
        <v>363545</v>
      </c>
      <c r="I87" s="117"/>
      <c r="J87" s="285">
        <f t="shared" si="31"/>
        <v>363545</v>
      </c>
      <c r="K87" s="285">
        <f t="shared" si="27"/>
        <v>0</v>
      </c>
      <c r="L87" s="285">
        <f t="shared" si="32"/>
        <v>42770</v>
      </c>
      <c r="M87" s="117"/>
      <c r="N87" s="285">
        <f t="shared" si="33"/>
        <v>42770</v>
      </c>
      <c r="O87" s="285">
        <f>Ibtadi!L73</f>
        <v>0</v>
      </c>
      <c r="P87" s="285">
        <f t="shared" si="34"/>
        <v>42770</v>
      </c>
      <c r="Q87" s="285">
        <f t="shared" si="35"/>
        <v>0</v>
      </c>
      <c r="R87" s="285">
        <f t="shared" si="28"/>
        <v>0</v>
      </c>
      <c r="S87" s="285">
        <f t="shared" si="29"/>
        <v>727.09</v>
      </c>
      <c r="T87" s="285">
        <f t="shared" si="36"/>
        <v>11.186</v>
      </c>
      <c r="U87" s="285">
        <f t="shared" si="30"/>
        <v>0</v>
      </c>
      <c r="V87" s="285">
        <f t="shared" si="37"/>
        <v>11.186</v>
      </c>
    </row>
    <row r="88" spans="1:22">
      <c r="A88" s="285">
        <v>10</v>
      </c>
      <c r="B88" s="286" t="s">
        <v>28</v>
      </c>
      <c r="C88" s="273"/>
      <c r="D88" s="274">
        <v>6</v>
      </c>
      <c r="E88" s="274"/>
      <c r="F88" s="274">
        <v>42770</v>
      </c>
      <c r="G88" s="285">
        <v>2</v>
      </c>
      <c r="H88" s="285">
        <f t="shared" si="26"/>
        <v>128310</v>
      </c>
      <c r="I88" s="117"/>
      <c r="J88" s="285">
        <f t="shared" si="31"/>
        <v>128310</v>
      </c>
      <c r="K88" s="285">
        <f t="shared" si="27"/>
        <v>0</v>
      </c>
      <c r="L88" s="285">
        <f t="shared" si="32"/>
        <v>42770</v>
      </c>
      <c r="M88" s="117"/>
      <c r="N88" s="285">
        <f t="shared" si="33"/>
        <v>42770</v>
      </c>
      <c r="O88" s="285">
        <f>Ibtadi!M73</f>
        <v>0</v>
      </c>
      <c r="P88" s="285">
        <f t="shared" si="34"/>
        <v>42770</v>
      </c>
      <c r="Q88" s="285">
        <f t="shared" si="35"/>
        <v>0</v>
      </c>
      <c r="R88" s="285">
        <f t="shared" si="28"/>
        <v>0</v>
      </c>
      <c r="S88" s="285">
        <f t="shared" si="29"/>
        <v>256.62</v>
      </c>
      <c r="T88" s="285">
        <f t="shared" si="36"/>
        <v>3.948</v>
      </c>
      <c r="U88" s="285">
        <f t="shared" si="30"/>
        <v>0</v>
      </c>
      <c r="V88" s="285">
        <f t="shared" si="37"/>
        <v>3.948</v>
      </c>
    </row>
    <row r="89" spans="1:22">
      <c r="A89" s="285">
        <v>11</v>
      </c>
      <c r="B89" s="286" t="s">
        <v>29</v>
      </c>
      <c r="C89" s="273"/>
      <c r="D89" s="274">
        <v>5</v>
      </c>
      <c r="E89" s="274"/>
      <c r="F89" s="274">
        <v>42770</v>
      </c>
      <c r="G89" s="285">
        <v>2</v>
      </c>
      <c r="H89" s="285">
        <f t="shared" si="26"/>
        <v>106925</v>
      </c>
      <c r="I89" s="117"/>
      <c r="J89" s="285">
        <f t="shared" si="31"/>
        <v>106925</v>
      </c>
      <c r="K89" s="285">
        <f t="shared" si="27"/>
        <v>0</v>
      </c>
      <c r="L89" s="285">
        <f t="shared" si="32"/>
        <v>42770</v>
      </c>
      <c r="M89" s="117"/>
      <c r="N89" s="285">
        <f t="shared" si="33"/>
        <v>42770</v>
      </c>
      <c r="O89" s="285">
        <f>Ibtadi!N73</f>
        <v>0</v>
      </c>
      <c r="P89" s="285">
        <f t="shared" si="34"/>
        <v>42770</v>
      </c>
      <c r="Q89" s="285">
        <f t="shared" si="35"/>
        <v>0</v>
      </c>
      <c r="R89" s="285">
        <f t="shared" si="28"/>
        <v>0</v>
      </c>
      <c r="S89" s="285">
        <f t="shared" si="29"/>
        <v>213.85</v>
      </c>
      <c r="T89" s="285">
        <f t="shared" si="36"/>
        <v>3.29</v>
      </c>
      <c r="U89" s="285">
        <f t="shared" si="30"/>
        <v>0</v>
      </c>
      <c r="V89" s="285">
        <f t="shared" si="37"/>
        <v>3.29</v>
      </c>
    </row>
    <row r="90" spans="1:22">
      <c r="A90" s="285">
        <v>12</v>
      </c>
      <c r="B90" s="286" t="s">
        <v>60</v>
      </c>
      <c r="C90" s="273"/>
      <c r="D90" s="274">
        <v>10</v>
      </c>
      <c r="E90" s="274"/>
      <c r="F90" s="274">
        <v>42770</v>
      </c>
      <c r="G90" s="285">
        <v>2</v>
      </c>
      <c r="H90" s="285">
        <f t="shared" si="26"/>
        <v>213850</v>
      </c>
      <c r="I90" s="117"/>
      <c r="J90" s="285">
        <f t="shared" si="31"/>
        <v>213850</v>
      </c>
      <c r="K90" s="285">
        <f t="shared" si="27"/>
        <v>0</v>
      </c>
      <c r="L90" s="285">
        <f t="shared" si="32"/>
        <v>42770</v>
      </c>
      <c r="M90" s="117"/>
      <c r="N90" s="285">
        <f t="shared" si="33"/>
        <v>42770</v>
      </c>
      <c r="O90" s="285">
        <f>Ibtadi!O73</f>
        <v>0</v>
      </c>
      <c r="P90" s="285">
        <f t="shared" si="34"/>
        <v>42770</v>
      </c>
      <c r="Q90" s="285">
        <f t="shared" si="35"/>
        <v>0</v>
      </c>
      <c r="R90" s="285">
        <f t="shared" si="28"/>
        <v>0</v>
      </c>
      <c r="S90" s="285">
        <f t="shared" si="29"/>
        <v>427.7</v>
      </c>
      <c r="T90" s="285">
        <f t="shared" si="36"/>
        <v>6.58</v>
      </c>
      <c r="U90" s="285">
        <f t="shared" si="30"/>
        <v>0</v>
      </c>
      <c r="V90" s="285">
        <f t="shared" si="37"/>
        <v>6.58</v>
      </c>
    </row>
    <row r="91" spans="1:22">
      <c r="A91" s="285">
        <v>13</v>
      </c>
      <c r="B91" s="286" t="s">
        <v>26</v>
      </c>
      <c r="C91" s="273" t="s">
        <v>63</v>
      </c>
      <c r="D91" s="274">
        <v>14</v>
      </c>
      <c r="E91" s="274"/>
      <c r="F91" s="274">
        <v>41883</v>
      </c>
      <c r="G91" s="285">
        <v>2</v>
      </c>
      <c r="H91" s="285">
        <f t="shared" si="26"/>
        <v>293181</v>
      </c>
      <c r="I91" s="117"/>
      <c r="J91" s="285">
        <f t="shared" si="31"/>
        <v>293181</v>
      </c>
      <c r="K91" s="285">
        <f t="shared" si="27"/>
        <v>0</v>
      </c>
      <c r="L91" s="285">
        <f t="shared" si="32"/>
        <v>41883</v>
      </c>
      <c r="M91" s="117"/>
      <c r="N91" s="285">
        <f t="shared" si="33"/>
        <v>41883</v>
      </c>
      <c r="O91" s="285">
        <f>Ibtadi!P73</f>
        <v>0</v>
      </c>
      <c r="P91" s="285">
        <f t="shared" si="34"/>
        <v>41883</v>
      </c>
      <c r="Q91" s="285">
        <f t="shared" si="35"/>
        <v>0</v>
      </c>
      <c r="R91" s="285">
        <f t="shared" si="28"/>
        <v>0</v>
      </c>
      <c r="S91" s="285">
        <f t="shared" si="29"/>
        <v>586.36199999999997</v>
      </c>
      <c r="T91" s="285">
        <f t="shared" si="36"/>
        <v>9.0209538461538461</v>
      </c>
      <c r="U91" s="285">
        <f t="shared" si="30"/>
        <v>0</v>
      </c>
      <c r="V91" s="285">
        <f t="shared" si="37"/>
        <v>9.0209538461538461</v>
      </c>
    </row>
    <row r="92" spans="1:22">
      <c r="A92" s="285">
        <v>14</v>
      </c>
      <c r="B92" s="286" t="s">
        <v>27</v>
      </c>
      <c r="C92" s="273"/>
      <c r="D92" s="274">
        <v>16</v>
      </c>
      <c r="E92" s="274"/>
      <c r="F92" s="274">
        <v>41883</v>
      </c>
      <c r="G92" s="285">
        <v>2</v>
      </c>
      <c r="H92" s="285">
        <f t="shared" si="26"/>
        <v>335064</v>
      </c>
      <c r="I92" s="117"/>
      <c r="J92" s="285">
        <f t="shared" si="31"/>
        <v>335064</v>
      </c>
      <c r="K92" s="285">
        <f t="shared" si="27"/>
        <v>0</v>
      </c>
      <c r="L92" s="285">
        <f t="shared" si="32"/>
        <v>41883</v>
      </c>
      <c r="M92" s="117"/>
      <c r="N92" s="285">
        <f t="shared" si="33"/>
        <v>41883</v>
      </c>
      <c r="O92" s="285">
        <f>Ibtadi!Q73</f>
        <v>0</v>
      </c>
      <c r="P92" s="285">
        <f t="shared" si="34"/>
        <v>41883</v>
      </c>
      <c r="Q92" s="285">
        <f t="shared" si="35"/>
        <v>0</v>
      </c>
      <c r="R92" s="285">
        <f t="shared" si="28"/>
        <v>0</v>
      </c>
      <c r="S92" s="285">
        <f t="shared" si="29"/>
        <v>670.12800000000004</v>
      </c>
      <c r="T92" s="285">
        <f t="shared" si="36"/>
        <v>10.309661538461539</v>
      </c>
      <c r="U92" s="285">
        <f t="shared" si="30"/>
        <v>0</v>
      </c>
      <c r="V92" s="285">
        <f t="shared" si="37"/>
        <v>10.309661538461539</v>
      </c>
    </row>
    <row r="93" spans="1:22">
      <c r="A93" s="285">
        <v>15</v>
      </c>
      <c r="B93" s="286" t="s">
        <v>31</v>
      </c>
      <c r="C93" s="273"/>
      <c r="D93" s="274">
        <v>20</v>
      </c>
      <c r="E93" s="274"/>
      <c r="F93" s="274">
        <v>41883</v>
      </c>
      <c r="G93" s="285">
        <v>2</v>
      </c>
      <c r="H93" s="285">
        <f t="shared" si="26"/>
        <v>418830</v>
      </c>
      <c r="I93" s="117"/>
      <c r="J93" s="285">
        <f t="shared" si="31"/>
        <v>418830</v>
      </c>
      <c r="K93" s="285">
        <f t="shared" si="27"/>
        <v>0</v>
      </c>
      <c r="L93" s="285">
        <f t="shared" si="32"/>
        <v>41883</v>
      </c>
      <c r="M93" s="117"/>
      <c r="N93" s="285">
        <f t="shared" si="33"/>
        <v>41883</v>
      </c>
      <c r="O93" s="285">
        <f>Ibtadi!R73</f>
        <v>0</v>
      </c>
      <c r="P93" s="285">
        <f t="shared" si="34"/>
        <v>41883</v>
      </c>
      <c r="Q93" s="285">
        <f t="shared" si="35"/>
        <v>0</v>
      </c>
      <c r="R93" s="285">
        <f t="shared" si="28"/>
        <v>0</v>
      </c>
      <c r="S93" s="285">
        <f t="shared" si="29"/>
        <v>837.66</v>
      </c>
      <c r="T93" s="285">
        <f t="shared" si="36"/>
        <v>12.887076923076922</v>
      </c>
      <c r="U93" s="285">
        <f t="shared" si="30"/>
        <v>0</v>
      </c>
      <c r="V93" s="285">
        <f t="shared" si="37"/>
        <v>12.887076923076922</v>
      </c>
    </row>
    <row r="94" spans="1:22">
      <c r="A94" s="285">
        <v>16</v>
      </c>
      <c r="B94" s="286" t="s">
        <v>32</v>
      </c>
      <c r="C94" s="273"/>
      <c r="D94" s="274">
        <v>19.5</v>
      </c>
      <c r="E94" s="274"/>
      <c r="F94" s="274">
        <v>41883</v>
      </c>
      <c r="G94" s="285">
        <v>2</v>
      </c>
      <c r="H94" s="285">
        <f t="shared" si="26"/>
        <v>408359.25</v>
      </c>
      <c r="I94" s="117"/>
      <c r="J94" s="285">
        <f t="shared" si="31"/>
        <v>408359.25</v>
      </c>
      <c r="K94" s="285">
        <f t="shared" si="27"/>
        <v>0</v>
      </c>
      <c r="L94" s="285">
        <f t="shared" si="32"/>
        <v>41883</v>
      </c>
      <c r="M94" s="117"/>
      <c r="N94" s="285">
        <f t="shared" si="33"/>
        <v>41883</v>
      </c>
      <c r="O94" s="285">
        <f>Ibtadi!S73</f>
        <v>0</v>
      </c>
      <c r="P94" s="285">
        <f t="shared" si="34"/>
        <v>41883</v>
      </c>
      <c r="Q94" s="285">
        <f t="shared" si="35"/>
        <v>0</v>
      </c>
      <c r="R94" s="285">
        <f t="shared" si="28"/>
        <v>0</v>
      </c>
      <c r="S94" s="285">
        <f t="shared" si="29"/>
        <v>816.71849999999995</v>
      </c>
      <c r="T94" s="285">
        <f t="shared" si="36"/>
        <v>12.5649</v>
      </c>
      <c r="U94" s="285">
        <f t="shared" si="30"/>
        <v>0</v>
      </c>
      <c r="V94" s="285">
        <f t="shared" si="37"/>
        <v>12.5649</v>
      </c>
    </row>
    <row r="95" spans="1:22">
      <c r="A95" s="285">
        <v>17</v>
      </c>
      <c r="B95" s="286" t="s">
        <v>144</v>
      </c>
      <c r="C95" s="273"/>
      <c r="D95" s="274">
        <v>15.5</v>
      </c>
      <c r="E95" s="274"/>
      <c r="F95" s="274">
        <v>41883</v>
      </c>
      <c r="G95" s="285">
        <v>2</v>
      </c>
      <c r="H95" s="285">
        <f t="shared" si="26"/>
        <v>324593.25</v>
      </c>
      <c r="I95" s="117"/>
      <c r="J95" s="285">
        <f t="shared" si="31"/>
        <v>324593.25</v>
      </c>
      <c r="K95" s="285">
        <f t="shared" si="27"/>
        <v>0</v>
      </c>
      <c r="L95" s="285">
        <f t="shared" si="32"/>
        <v>41883</v>
      </c>
      <c r="M95" s="117"/>
      <c r="N95" s="285">
        <f t="shared" si="33"/>
        <v>41883</v>
      </c>
      <c r="O95" s="285">
        <f>Ibtadi!T73</f>
        <v>0</v>
      </c>
      <c r="P95" s="285">
        <f t="shared" si="34"/>
        <v>41883</v>
      </c>
      <c r="Q95" s="285">
        <f t="shared" si="35"/>
        <v>0</v>
      </c>
      <c r="R95" s="285">
        <f t="shared" si="28"/>
        <v>0</v>
      </c>
      <c r="S95" s="285">
        <f t="shared" si="29"/>
        <v>649.18650000000002</v>
      </c>
      <c r="T95" s="285">
        <f t="shared" si="36"/>
        <v>9.9874846153846164</v>
      </c>
      <c r="U95" s="285">
        <f t="shared" si="30"/>
        <v>0</v>
      </c>
      <c r="V95" s="285">
        <f t="shared" si="37"/>
        <v>9.9874846153846164</v>
      </c>
    </row>
    <row r="96" spans="1:22">
      <c r="A96" s="285">
        <v>18</v>
      </c>
      <c r="B96" s="286" t="s">
        <v>28</v>
      </c>
      <c r="C96" s="273"/>
      <c r="D96" s="274">
        <v>8</v>
      </c>
      <c r="E96" s="274"/>
      <c r="F96" s="274">
        <v>41883</v>
      </c>
      <c r="G96" s="285">
        <v>2</v>
      </c>
      <c r="H96" s="285">
        <f t="shared" si="26"/>
        <v>167532</v>
      </c>
      <c r="I96" s="117"/>
      <c r="J96" s="285">
        <f t="shared" si="31"/>
        <v>167532</v>
      </c>
      <c r="K96" s="285">
        <f t="shared" si="27"/>
        <v>0</v>
      </c>
      <c r="L96" s="285">
        <f t="shared" si="32"/>
        <v>41883</v>
      </c>
      <c r="M96" s="117"/>
      <c r="N96" s="285">
        <f t="shared" si="33"/>
        <v>41883</v>
      </c>
      <c r="O96" s="285">
        <f>Ibtadi!U73</f>
        <v>0</v>
      </c>
      <c r="P96" s="285">
        <f t="shared" si="34"/>
        <v>41883</v>
      </c>
      <c r="Q96" s="285">
        <f t="shared" si="35"/>
        <v>0</v>
      </c>
      <c r="R96" s="285">
        <f t="shared" si="28"/>
        <v>0</v>
      </c>
      <c r="S96" s="285">
        <f t="shared" si="29"/>
        <v>335.06400000000002</v>
      </c>
      <c r="T96" s="285">
        <f t="shared" si="36"/>
        <v>5.1548307692307693</v>
      </c>
      <c r="U96" s="285">
        <f t="shared" si="30"/>
        <v>0</v>
      </c>
      <c r="V96" s="285">
        <f t="shared" si="37"/>
        <v>5.1548307692307693</v>
      </c>
    </row>
    <row r="97" spans="1:22">
      <c r="A97" s="285">
        <v>19</v>
      </c>
      <c r="B97" s="286" t="s">
        <v>29</v>
      </c>
      <c r="C97" s="273"/>
      <c r="D97" s="287">
        <v>5</v>
      </c>
      <c r="E97" s="287"/>
      <c r="F97" s="274">
        <v>41883</v>
      </c>
      <c r="G97" s="285">
        <v>2</v>
      </c>
      <c r="H97" s="285">
        <f t="shared" si="26"/>
        <v>104707.5</v>
      </c>
      <c r="I97" s="117"/>
      <c r="J97" s="285">
        <f t="shared" si="31"/>
        <v>104707.5</v>
      </c>
      <c r="K97" s="285">
        <f t="shared" si="27"/>
        <v>0</v>
      </c>
      <c r="L97" s="285">
        <f t="shared" si="32"/>
        <v>41883</v>
      </c>
      <c r="M97" s="117"/>
      <c r="N97" s="285">
        <f t="shared" si="33"/>
        <v>41883</v>
      </c>
      <c r="O97" s="285">
        <f>Ibtadi!V73</f>
        <v>0</v>
      </c>
      <c r="P97" s="285">
        <f t="shared" si="34"/>
        <v>41883</v>
      </c>
      <c r="Q97" s="285">
        <f t="shared" si="35"/>
        <v>0</v>
      </c>
      <c r="R97" s="285">
        <f t="shared" si="28"/>
        <v>0</v>
      </c>
      <c r="S97" s="285">
        <f t="shared" si="29"/>
        <v>209.41499999999999</v>
      </c>
      <c r="T97" s="285">
        <f t="shared" si="36"/>
        <v>3.2217692307692305</v>
      </c>
      <c r="U97" s="285">
        <f t="shared" si="30"/>
        <v>0</v>
      </c>
      <c r="V97" s="285">
        <f t="shared" si="37"/>
        <v>3.2217692307692305</v>
      </c>
    </row>
    <row r="98" spans="1:22">
      <c r="A98" s="285">
        <v>20</v>
      </c>
      <c r="B98" s="286" t="s">
        <v>60</v>
      </c>
      <c r="C98" s="273"/>
      <c r="D98" s="287">
        <v>11.5</v>
      </c>
      <c r="E98" s="287"/>
      <c r="F98" s="274">
        <v>41883</v>
      </c>
      <c r="G98" s="285">
        <v>2</v>
      </c>
      <c r="H98" s="285">
        <f t="shared" si="26"/>
        <v>240827.25</v>
      </c>
      <c r="I98" s="117"/>
      <c r="J98" s="285">
        <f t="shared" si="31"/>
        <v>240827.25</v>
      </c>
      <c r="K98" s="285">
        <f t="shared" si="27"/>
        <v>0</v>
      </c>
      <c r="L98" s="285">
        <f t="shared" si="32"/>
        <v>41883</v>
      </c>
      <c r="M98" s="117"/>
      <c r="N98" s="285">
        <f t="shared" si="33"/>
        <v>41883</v>
      </c>
      <c r="O98" s="285">
        <f>Ibtadi!W73</f>
        <v>0</v>
      </c>
      <c r="P98" s="285">
        <f t="shared" si="34"/>
        <v>41883</v>
      </c>
      <c r="Q98" s="285">
        <f t="shared" si="35"/>
        <v>0</v>
      </c>
      <c r="R98" s="285">
        <f t="shared" si="28"/>
        <v>0</v>
      </c>
      <c r="S98" s="285">
        <f t="shared" si="29"/>
        <v>481.65449999999998</v>
      </c>
      <c r="T98" s="285">
        <f t="shared" si="36"/>
        <v>7.4100692307692304</v>
      </c>
      <c r="U98" s="285">
        <f t="shared" si="30"/>
        <v>0</v>
      </c>
      <c r="V98" s="285">
        <f t="shared" si="37"/>
        <v>7.4100692307692304</v>
      </c>
    </row>
    <row r="99" spans="1:22">
      <c r="A99" s="529" t="s">
        <v>67</v>
      </c>
      <c r="B99" s="530"/>
      <c r="C99" s="530"/>
      <c r="D99" s="531"/>
      <c r="E99" s="282"/>
      <c r="F99" s="282">
        <f t="shared" ref="F99:V99" si="38">SUM(F79:F98)</f>
        <v>862368</v>
      </c>
      <c r="G99" s="282">
        <f t="shared" si="38"/>
        <v>40</v>
      </c>
      <c r="H99" s="282">
        <f t="shared" si="38"/>
        <v>4873221.75</v>
      </c>
      <c r="I99" s="282">
        <f t="shared" si="38"/>
        <v>0</v>
      </c>
      <c r="J99" s="282">
        <f t="shared" si="38"/>
        <v>4873221.75</v>
      </c>
      <c r="K99" s="282">
        <f t="shared" si="38"/>
        <v>0</v>
      </c>
      <c r="L99" s="282">
        <f t="shared" si="38"/>
        <v>862368</v>
      </c>
      <c r="M99" s="282">
        <f t="shared" si="38"/>
        <v>0</v>
      </c>
      <c r="N99" s="282">
        <f t="shared" si="38"/>
        <v>862368</v>
      </c>
      <c r="O99" s="282">
        <f t="shared" si="38"/>
        <v>0</v>
      </c>
      <c r="P99" s="282">
        <f t="shared" si="38"/>
        <v>862368</v>
      </c>
      <c r="Q99" s="282">
        <f t="shared" si="38"/>
        <v>0</v>
      </c>
      <c r="R99" s="282">
        <f t="shared" si="38"/>
        <v>0</v>
      </c>
      <c r="S99" s="282">
        <f t="shared" si="38"/>
        <v>9746.4435000000012</v>
      </c>
      <c r="T99" s="282">
        <f t="shared" si="38"/>
        <v>149.94528461538459</v>
      </c>
      <c r="U99" s="282">
        <f t="shared" si="38"/>
        <v>0</v>
      </c>
      <c r="V99" s="282">
        <f t="shared" si="38"/>
        <v>149.94528461538459</v>
      </c>
    </row>
    <row r="100" spans="1:22" s="63" customFormat="1" ht="15.75">
      <c r="A100" s="65"/>
      <c r="B100" s="87"/>
      <c r="C100" s="65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</row>
    <row r="101" spans="1:22" s="63" customFormat="1" ht="15.75">
      <c r="A101" s="65"/>
      <c r="B101" s="87"/>
      <c r="C101" s="65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123"/>
      <c r="T101" s="123"/>
      <c r="U101" s="123"/>
      <c r="V101" s="123"/>
    </row>
    <row r="102" spans="1:22" s="11" customFormat="1" ht="15.75">
      <c r="A102" s="61"/>
      <c r="B102" s="61"/>
      <c r="C102" s="61"/>
      <c r="D102" s="61"/>
      <c r="E102" s="61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462" t="s">
        <v>254</v>
      </c>
      <c r="T102" s="462"/>
      <c r="U102" s="462"/>
      <c r="V102" s="462"/>
    </row>
    <row r="103" spans="1:22" s="63" customFormat="1" ht="15.75">
      <c r="A103" s="65"/>
      <c r="B103" s="87"/>
      <c r="C103" s="65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</row>
    <row r="104" spans="1:22" s="63" customFormat="1" ht="15.75">
      <c r="A104" s="65"/>
      <c r="B104" s="87"/>
      <c r="C104" s="65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</row>
    <row r="105" spans="1:22" s="63" customFormat="1" ht="15.75">
      <c r="A105" s="65"/>
      <c r="B105" s="87"/>
      <c r="C105" s="65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</row>
    <row r="106" spans="1:22" s="63" customFormat="1" ht="15.75">
      <c r="A106" s="65"/>
      <c r="B106" s="87"/>
      <c r="C106" s="65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</row>
    <row r="107" spans="1:22" s="63" customFormat="1" ht="15.75">
      <c r="A107" s="65"/>
      <c r="B107" s="87"/>
      <c r="C107" s="65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</row>
    <row r="108" spans="1:22" s="63" customFormat="1" ht="15.75">
      <c r="A108" s="65"/>
      <c r="B108" s="87"/>
      <c r="C108" s="65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</row>
    <row r="109" spans="1:22" s="1" customFormat="1" ht="24" customHeight="1">
      <c r="A109" s="388" t="s">
        <v>342</v>
      </c>
      <c r="B109" s="388"/>
      <c r="C109" s="388"/>
      <c r="D109" s="388"/>
      <c r="E109" s="388"/>
      <c r="F109" s="388"/>
      <c r="G109" s="388"/>
      <c r="H109" s="388"/>
      <c r="I109" s="388"/>
      <c r="J109" s="388"/>
      <c r="K109" s="388"/>
      <c r="L109" s="388"/>
      <c r="M109" s="388"/>
      <c r="N109" s="388"/>
      <c r="O109" s="388"/>
      <c r="P109" s="388"/>
      <c r="Q109" s="388"/>
      <c r="R109" s="388"/>
      <c r="S109" s="388"/>
      <c r="T109" s="388"/>
      <c r="U109" s="388"/>
      <c r="V109" s="388"/>
    </row>
    <row r="110" spans="1:22" s="1" customFormat="1" ht="17.25" customHeight="1">
      <c r="A110" s="379" t="s">
        <v>343</v>
      </c>
      <c r="B110" s="379"/>
      <c r="C110" s="379"/>
      <c r="D110" s="379"/>
      <c r="E110" s="379"/>
      <c r="F110" s="379"/>
      <c r="G110" s="379"/>
      <c r="H110" s="379"/>
      <c r="I110" s="379"/>
      <c r="J110" s="379"/>
      <c r="K110" s="379"/>
      <c r="L110" s="379"/>
      <c r="M110" s="379"/>
      <c r="N110" s="379"/>
      <c r="O110" s="379"/>
      <c r="P110" s="379"/>
      <c r="Q110" s="379"/>
      <c r="R110" s="379"/>
      <c r="S110" s="379"/>
      <c r="T110" s="379"/>
      <c r="U110" s="379"/>
      <c r="V110" s="379"/>
    </row>
    <row r="111" spans="1:22" s="1" customFormat="1" ht="15.75" customHeight="1">
      <c r="A111" s="313" t="s">
        <v>274</v>
      </c>
      <c r="B111" s="313"/>
      <c r="C111" s="313"/>
      <c r="D111" s="313"/>
      <c r="E111" s="313"/>
      <c r="F111" s="313"/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  <c r="T111" s="313"/>
      <c r="U111" s="313"/>
      <c r="V111" s="313"/>
    </row>
    <row r="112" spans="1:22" ht="20.25">
      <c r="A112" s="477" t="s">
        <v>331</v>
      </c>
      <c r="B112" s="477"/>
      <c r="C112" s="477"/>
      <c r="D112" s="477"/>
      <c r="E112" s="477"/>
      <c r="F112" s="477"/>
      <c r="G112" s="477"/>
      <c r="H112" s="477"/>
      <c r="I112" s="477"/>
      <c r="J112" s="477"/>
      <c r="K112" s="477"/>
      <c r="L112" s="477"/>
      <c r="M112" s="477"/>
      <c r="N112" s="477"/>
      <c r="O112" s="477"/>
      <c r="P112" s="477"/>
      <c r="Q112" s="477"/>
      <c r="R112" s="86"/>
      <c r="S112" s="86"/>
      <c r="T112" s="86"/>
      <c r="U112" s="86"/>
      <c r="V112" s="86"/>
    </row>
    <row r="113" spans="1:22" ht="15" customHeight="1">
      <c r="A113" s="510" t="s">
        <v>15</v>
      </c>
      <c r="B113" s="510" t="s">
        <v>64</v>
      </c>
      <c r="C113" s="510" t="s">
        <v>65</v>
      </c>
      <c r="D113" s="512" t="s">
        <v>66</v>
      </c>
      <c r="E113" s="283"/>
      <c r="F113" s="277" t="s">
        <v>88</v>
      </c>
      <c r="G113" s="278" t="s">
        <v>157</v>
      </c>
      <c r="H113" s="505" t="s">
        <v>84</v>
      </c>
      <c r="I113" s="505" t="s">
        <v>138</v>
      </c>
      <c r="J113" s="505"/>
      <c r="K113" s="506" t="s">
        <v>139</v>
      </c>
      <c r="L113" s="506"/>
      <c r="M113" s="506" t="s">
        <v>86</v>
      </c>
      <c r="N113" s="506"/>
      <c r="O113" s="506" t="s">
        <v>25</v>
      </c>
      <c r="P113" s="506"/>
      <c r="Q113" s="506" t="s">
        <v>87</v>
      </c>
      <c r="R113" s="505" t="s">
        <v>146</v>
      </c>
      <c r="S113" s="506" t="s">
        <v>140</v>
      </c>
      <c r="T113" s="506"/>
      <c r="U113" s="506"/>
      <c r="V113" s="506"/>
    </row>
    <row r="114" spans="1:22">
      <c r="A114" s="511"/>
      <c r="B114" s="511"/>
      <c r="C114" s="511"/>
      <c r="D114" s="513"/>
      <c r="E114" s="279"/>
      <c r="F114" s="280" t="s">
        <v>334</v>
      </c>
      <c r="G114" s="278"/>
      <c r="H114" s="505"/>
      <c r="I114" s="278" t="s">
        <v>85</v>
      </c>
      <c r="J114" s="278" t="s">
        <v>70</v>
      </c>
      <c r="K114" s="281" t="s">
        <v>85</v>
      </c>
      <c r="L114" s="281" t="s">
        <v>70</v>
      </c>
      <c r="M114" s="278" t="s">
        <v>86</v>
      </c>
      <c r="N114" s="281" t="s">
        <v>70</v>
      </c>
      <c r="O114" s="281" t="s">
        <v>25</v>
      </c>
      <c r="P114" s="281" t="s">
        <v>70</v>
      </c>
      <c r="Q114" s="506"/>
      <c r="R114" s="505"/>
      <c r="S114" s="281" t="s">
        <v>155</v>
      </c>
      <c r="T114" s="281" t="s">
        <v>156</v>
      </c>
      <c r="U114" s="281" t="s">
        <v>141</v>
      </c>
      <c r="V114" s="281" t="s">
        <v>70</v>
      </c>
    </row>
    <row r="115" spans="1:22">
      <c r="A115" s="285">
        <v>1</v>
      </c>
      <c r="B115" s="286" t="s">
        <v>45</v>
      </c>
      <c r="C115" s="273" t="s">
        <v>190</v>
      </c>
      <c r="D115" s="274">
        <v>13.5</v>
      </c>
      <c r="E115" s="274"/>
      <c r="F115" s="274">
        <v>37028</v>
      </c>
      <c r="G115" s="285">
        <v>3.75</v>
      </c>
      <c r="H115" s="285">
        <f>G115*F115</f>
        <v>138855</v>
      </c>
      <c r="I115" s="117"/>
      <c r="J115" s="285">
        <f>H115-I115</f>
        <v>138855</v>
      </c>
      <c r="K115" s="285">
        <f>I115/G115</f>
        <v>0</v>
      </c>
      <c r="L115" s="285">
        <f>F115-K115</f>
        <v>37028</v>
      </c>
      <c r="M115" s="117"/>
      <c r="N115" s="285">
        <f>F115-M115</f>
        <v>37028</v>
      </c>
      <c r="O115" s="285">
        <f>'Sec-6'!D22</f>
        <v>0</v>
      </c>
      <c r="P115" s="285">
        <f>F115-O115</f>
        <v>37028</v>
      </c>
      <c r="Q115" s="285">
        <f>M115-O115</f>
        <v>0</v>
      </c>
      <c r="R115" s="285">
        <f t="shared" ref="R115:R135" si="39">D115*M115/1000</f>
        <v>0</v>
      </c>
      <c r="S115" s="285">
        <f t="shared" ref="S115:S135" si="40">D115*F115/1000</f>
        <v>499.87799999999999</v>
      </c>
      <c r="T115" s="285">
        <f>S115/75</f>
        <v>6.6650399999999994</v>
      </c>
      <c r="U115" s="285">
        <f t="shared" ref="U115:U135" si="41">D115*K115/1000/75</f>
        <v>0</v>
      </c>
      <c r="V115" s="285">
        <f>T115-U115</f>
        <v>6.6650399999999994</v>
      </c>
    </row>
    <row r="116" spans="1:22">
      <c r="A116" s="285">
        <v>2</v>
      </c>
      <c r="B116" s="286" t="s">
        <v>191</v>
      </c>
      <c r="C116" s="273" t="s">
        <v>190</v>
      </c>
      <c r="D116" s="274">
        <v>8</v>
      </c>
      <c r="E116" s="274"/>
      <c r="F116" s="274">
        <v>37028</v>
      </c>
      <c r="G116" s="285">
        <v>2</v>
      </c>
      <c r="H116" s="285">
        <f t="shared" ref="H116:H135" si="42">G116*F116</f>
        <v>74056</v>
      </c>
      <c r="I116" s="117"/>
      <c r="J116" s="285">
        <f t="shared" ref="J116:J135" si="43">H116-I116</f>
        <v>74056</v>
      </c>
      <c r="K116" s="285">
        <f t="shared" ref="K116:K135" si="44">I116/G116</f>
        <v>0</v>
      </c>
      <c r="L116" s="285">
        <f t="shared" ref="L116:L135" si="45">F116-K116</f>
        <v>37028</v>
      </c>
      <c r="M116" s="117"/>
      <c r="N116" s="285">
        <f t="shared" ref="N116:N135" si="46">F116-M116</f>
        <v>37028</v>
      </c>
      <c r="O116" s="285">
        <f>'Sec-6'!E22</f>
        <v>0</v>
      </c>
      <c r="P116" s="285">
        <f t="shared" ref="P116:P135" si="47">F116-O116</f>
        <v>37028</v>
      </c>
      <c r="Q116" s="285">
        <f t="shared" ref="Q116:Q135" si="48">M116-O116</f>
        <v>0</v>
      </c>
      <c r="R116" s="285">
        <f t="shared" si="39"/>
        <v>0</v>
      </c>
      <c r="S116" s="285">
        <f t="shared" si="40"/>
        <v>296.22399999999999</v>
      </c>
      <c r="T116" s="285">
        <f t="shared" ref="T116:T135" si="49">S116/75</f>
        <v>3.949653333333333</v>
      </c>
      <c r="U116" s="285">
        <f t="shared" si="41"/>
        <v>0</v>
      </c>
      <c r="V116" s="285">
        <f t="shared" ref="V116:V135" si="50">T116-U116</f>
        <v>3.949653333333333</v>
      </c>
    </row>
    <row r="117" spans="1:22">
      <c r="A117" s="285">
        <v>3</v>
      </c>
      <c r="B117" s="286" t="s">
        <v>56</v>
      </c>
      <c r="C117" s="273" t="s">
        <v>190</v>
      </c>
      <c r="D117" s="274">
        <v>13.5</v>
      </c>
      <c r="E117" s="274"/>
      <c r="F117" s="274">
        <v>37028</v>
      </c>
      <c r="G117" s="285">
        <v>3.75</v>
      </c>
      <c r="H117" s="285">
        <f t="shared" si="42"/>
        <v>138855</v>
      </c>
      <c r="I117" s="117"/>
      <c r="J117" s="285">
        <f t="shared" si="43"/>
        <v>138855</v>
      </c>
      <c r="K117" s="285">
        <f t="shared" si="44"/>
        <v>0</v>
      </c>
      <c r="L117" s="285">
        <f t="shared" si="45"/>
        <v>37028</v>
      </c>
      <c r="M117" s="117"/>
      <c r="N117" s="285">
        <f t="shared" si="46"/>
        <v>37028</v>
      </c>
      <c r="O117" s="285">
        <f>'Sec-6'!F22</f>
        <v>0</v>
      </c>
      <c r="P117" s="285">
        <f t="shared" si="47"/>
        <v>37028</v>
      </c>
      <c r="Q117" s="285">
        <f t="shared" si="48"/>
        <v>0</v>
      </c>
      <c r="R117" s="285">
        <f t="shared" si="39"/>
        <v>0</v>
      </c>
      <c r="S117" s="285">
        <f t="shared" si="40"/>
        <v>499.87799999999999</v>
      </c>
      <c r="T117" s="285">
        <f t="shared" si="49"/>
        <v>6.6650399999999994</v>
      </c>
      <c r="U117" s="285">
        <f t="shared" si="41"/>
        <v>0</v>
      </c>
      <c r="V117" s="285">
        <f t="shared" si="50"/>
        <v>6.6650399999999994</v>
      </c>
    </row>
    <row r="118" spans="1:22">
      <c r="A118" s="285">
        <v>4</v>
      </c>
      <c r="B118" s="286" t="s">
        <v>27</v>
      </c>
      <c r="C118" s="273" t="s">
        <v>190</v>
      </c>
      <c r="D118" s="274">
        <v>14</v>
      </c>
      <c r="E118" s="274"/>
      <c r="F118" s="274">
        <v>37028</v>
      </c>
      <c r="G118" s="285">
        <v>4</v>
      </c>
      <c r="H118" s="285">
        <f t="shared" si="42"/>
        <v>148112</v>
      </c>
      <c r="I118" s="117"/>
      <c r="J118" s="285">
        <f t="shared" si="43"/>
        <v>148112</v>
      </c>
      <c r="K118" s="285">
        <f t="shared" si="44"/>
        <v>0</v>
      </c>
      <c r="L118" s="285">
        <f t="shared" si="45"/>
        <v>37028</v>
      </c>
      <c r="M118" s="117"/>
      <c r="N118" s="285">
        <f t="shared" si="46"/>
        <v>37028</v>
      </c>
      <c r="O118" s="285">
        <f>'Sec-6'!G22</f>
        <v>0</v>
      </c>
      <c r="P118" s="285">
        <f t="shared" si="47"/>
        <v>37028</v>
      </c>
      <c r="Q118" s="285">
        <f t="shared" si="48"/>
        <v>0</v>
      </c>
      <c r="R118" s="285">
        <f t="shared" si="39"/>
        <v>0</v>
      </c>
      <c r="S118" s="285">
        <f t="shared" si="40"/>
        <v>518.39200000000005</v>
      </c>
      <c r="T118" s="285">
        <f t="shared" si="49"/>
        <v>6.9118933333333343</v>
      </c>
      <c r="U118" s="285">
        <f t="shared" si="41"/>
        <v>0</v>
      </c>
      <c r="V118" s="285">
        <f t="shared" si="50"/>
        <v>6.9118933333333343</v>
      </c>
    </row>
    <row r="119" spans="1:22">
      <c r="A119" s="285">
        <v>5</v>
      </c>
      <c r="B119" s="286" t="s">
        <v>41</v>
      </c>
      <c r="C119" s="273" t="s">
        <v>190</v>
      </c>
      <c r="D119" s="274">
        <v>15</v>
      </c>
      <c r="E119" s="274"/>
      <c r="F119" s="274">
        <v>37028</v>
      </c>
      <c r="G119" s="285">
        <v>4.5</v>
      </c>
      <c r="H119" s="285">
        <f t="shared" si="42"/>
        <v>166626</v>
      </c>
      <c r="I119" s="117"/>
      <c r="J119" s="285">
        <f t="shared" si="43"/>
        <v>166626</v>
      </c>
      <c r="K119" s="285">
        <f t="shared" si="44"/>
        <v>0</v>
      </c>
      <c r="L119" s="285">
        <f t="shared" si="45"/>
        <v>37028</v>
      </c>
      <c r="M119" s="117"/>
      <c r="N119" s="285">
        <f t="shared" si="46"/>
        <v>37028</v>
      </c>
      <c r="O119" s="285">
        <f>'Sec-6'!H22</f>
        <v>0</v>
      </c>
      <c r="P119" s="285">
        <f t="shared" si="47"/>
        <v>37028</v>
      </c>
      <c r="Q119" s="285">
        <f t="shared" si="48"/>
        <v>0</v>
      </c>
      <c r="R119" s="285">
        <f t="shared" si="39"/>
        <v>0</v>
      </c>
      <c r="S119" s="285">
        <f t="shared" si="40"/>
        <v>555.41999999999996</v>
      </c>
      <c r="T119" s="285">
        <f t="shared" si="49"/>
        <v>7.4055999999999997</v>
      </c>
      <c r="U119" s="285">
        <f t="shared" si="41"/>
        <v>0</v>
      </c>
      <c r="V119" s="285">
        <f t="shared" si="50"/>
        <v>7.4055999999999997</v>
      </c>
    </row>
    <row r="120" spans="1:22">
      <c r="A120" s="285">
        <v>6</v>
      </c>
      <c r="B120" s="286" t="s">
        <v>31</v>
      </c>
      <c r="C120" s="273" t="s">
        <v>190</v>
      </c>
      <c r="D120" s="274">
        <v>20</v>
      </c>
      <c r="E120" s="274"/>
      <c r="F120" s="274">
        <v>37028</v>
      </c>
      <c r="G120" s="285">
        <v>5</v>
      </c>
      <c r="H120" s="285">
        <f t="shared" si="42"/>
        <v>185140</v>
      </c>
      <c r="I120" s="117"/>
      <c r="J120" s="285">
        <f t="shared" si="43"/>
        <v>185140</v>
      </c>
      <c r="K120" s="285">
        <f t="shared" si="44"/>
        <v>0</v>
      </c>
      <c r="L120" s="285">
        <f t="shared" si="45"/>
        <v>37028</v>
      </c>
      <c r="M120" s="117"/>
      <c r="N120" s="285">
        <f t="shared" si="46"/>
        <v>37028</v>
      </c>
      <c r="O120" s="285">
        <f>'Sec-6'!I22</f>
        <v>0</v>
      </c>
      <c r="P120" s="285">
        <f t="shared" si="47"/>
        <v>37028</v>
      </c>
      <c r="Q120" s="285">
        <f t="shared" si="48"/>
        <v>0</v>
      </c>
      <c r="R120" s="285">
        <f t="shared" si="39"/>
        <v>0</v>
      </c>
      <c r="S120" s="285">
        <f t="shared" si="40"/>
        <v>740.56</v>
      </c>
      <c r="T120" s="285">
        <f t="shared" si="49"/>
        <v>9.874133333333333</v>
      </c>
      <c r="U120" s="285">
        <f t="shared" si="41"/>
        <v>0</v>
      </c>
      <c r="V120" s="285">
        <f t="shared" si="50"/>
        <v>9.874133333333333</v>
      </c>
    </row>
    <row r="121" spans="1:22">
      <c r="A121" s="285">
        <v>7</v>
      </c>
      <c r="B121" s="286" t="s">
        <v>72</v>
      </c>
      <c r="C121" s="273" t="s">
        <v>190</v>
      </c>
      <c r="D121" s="274">
        <v>8.5</v>
      </c>
      <c r="E121" s="274"/>
      <c r="F121" s="274">
        <v>37028</v>
      </c>
      <c r="G121" s="285">
        <v>2.25</v>
      </c>
      <c r="H121" s="285">
        <f t="shared" si="42"/>
        <v>83313</v>
      </c>
      <c r="I121" s="117"/>
      <c r="J121" s="285">
        <f t="shared" si="43"/>
        <v>83313</v>
      </c>
      <c r="K121" s="285">
        <f t="shared" si="44"/>
        <v>0</v>
      </c>
      <c r="L121" s="285">
        <f t="shared" si="45"/>
        <v>37028</v>
      </c>
      <c r="M121" s="117"/>
      <c r="N121" s="285">
        <f t="shared" si="46"/>
        <v>37028</v>
      </c>
      <c r="O121" s="285">
        <f>'Sec-6'!J22</f>
        <v>0</v>
      </c>
      <c r="P121" s="285">
        <f t="shared" si="47"/>
        <v>37028</v>
      </c>
      <c r="Q121" s="285">
        <f t="shared" si="48"/>
        <v>0</v>
      </c>
      <c r="R121" s="285">
        <f t="shared" si="39"/>
        <v>0</v>
      </c>
      <c r="S121" s="285">
        <f t="shared" si="40"/>
        <v>314.738</v>
      </c>
      <c r="T121" s="285">
        <f t="shared" si="49"/>
        <v>4.1965066666666671</v>
      </c>
      <c r="U121" s="285">
        <f t="shared" si="41"/>
        <v>0</v>
      </c>
      <c r="V121" s="285">
        <f t="shared" si="50"/>
        <v>4.1965066666666671</v>
      </c>
    </row>
    <row r="122" spans="1:22">
      <c r="A122" s="285">
        <v>8</v>
      </c>
      <c r="B122" s="286" t="s">
        <v>32</v>
      </c>
      <c r="C122" s="273" t="s">
        <v>190</v>
      </c>
      <c r="D122" s="274">
        <v>17</v>
      </c>
      <c r="E122" s="274"/>
      <c r="F122" s="274">
        <v>37028</v>
      </c>
      <c r="G122" s="285">
        <v>4.5</v>
      </c>
      <c r="H122" s="285">
        <f t="shared" si="42"/>
        <v>166626</v>
      </c>
      <c r="I122" s="117"/>
      <c r="J122" s="285">
        <f t="shared" si="43"/>
        <v>166626</v>
      </c>
      <c r="K122" s="285">
        <f t="shared" si="44"/>
        <v>0</v>
      </c>
      <c r="L122" s="285">
        <f t="shared" si="45"/>
        <v>37028</v>
      </c>
      <c r="M122" s="117"/>
      <c r="N122" s="285">
        <f t="shared" si="46"/>
        <v>37028</v>
      </c>
      <c r="O122" s="285">
        <f>'Sec-6'!K22</f>
        <v>0</v>
      </c>
      <c r="P122" s="285">
        <f t="shared" si="47"/>
        <v>37028</v>
      </c>
      <c r="Q122" s="285">
        <f t="shared" si="48"/>
        <v>0</v>
      </c>
      <c r="R122" s="285">
        <f t="shared" si="39"/>
        <v>0</v>
      </c>
      <c r="S122" s="285">
        <f t="shared" si="40"/>
        <v>629.476</v>
      </c>
      <c r="T122" s="285">
        <f t="shared" si="49"/>
        <v>8.3930133333333341</v>
      </c>
      <c r="U122" s="285">
        <f t="shared" si="41"/>
        <v>0</v>
      </c>
      <c r="V122" s="285">
        <f t="shared" si="50"/>
        <v>8.3930133333333341</v>
      </c>
    </row>
    <row r="123" spans="1:22">
      <c r="A123" s="285">
        <v>9</v>
      </c>
      <c r="B123" s="286" t="s">
        <v>73</v>
      </c>
      <c r="C123" s="273" t="s">
        <v>190</v>
      </c>
      <c r="D123" s="274">
        <v>9</v>
      </c>
      <c r="E123" s="274"/>
      <c r="F123" s="274">
        <v>37028</v>
      </c>
      <c r="G123" s="285">
        <v>4.5</v>
      </c>
      <c r="H123" s="285">
        <f t="shared" si="42"/>
        <v>166626</v>
      </c>
      <c r="I123" s="117"/>
      <c r="J123" s="285">
        <f t="shared" si="43"/>
        <v>166626</v>
      </c>
      <c r="K123" s="285">
        <f t="shared" si="44"/>
        <v>0</v>
      </c>
      <c r="L123" s="285">
        <f t="shared" si="45"/>
        <v>37028</v>
      </c>
      <c r="M123" s="117"/>
      <c r="N123" s="285">
        <f t="shared" si="46"/>
        <v>37028</v>
      </c>
      <c r="O123" s="285">
        <f>'Sec-6'!L22</f>
        <v>0</v>
      </c>
      <c r="P123" s="285">
        <f t="shared" si="47"/>
        <v>37028</v>
      </c>
      <c r="Q123" s="285">
        <f t="shared" si="48"/>
        <v>0</v>
      </c>
      <c r="R123" s="285">
        <f t="shared" si="39"/>
        <v>0</v>
      </c>
      <c r="S123" s="285">
        <f t="shared" si="40"/>
        <v>333.25200000000001</v>
      </c>
      <c r="T123" s="285">
        <f t="shared" si="49"/>
        <v>4.4433600000000002</v>
      </c>
      <c r="U123" s="285">
        <f t="shared" si="41"/>
        <v>0</v>
      </c>
      <c r="V123" s="285">
        <f t="shared" si="50"/>
        <v>4.4433600000000002</v>
      </c>
    </row>
    <row r="124" spans="1:22">
      <c r="A124" s="285">
        <v>10</v>
      </c>
      <c r="B124" s="286" t="s">
        <v>74</v>
      </c>
      <c r="C124" s="273" t="s">
        <v>190</v>
      </c>
      <c r="D124" s="274">
        <v>8.5</v>
      </c>
      <c r="E124" s="274"/>
      <c r="F124" s="274">
        <v>0</v>
      </c>
      <c r="G124" s="285">
        <v>2.25</v>
      </c>
      <c r="H124" s="285">
        <f t="shared" si="42"/>
        <v>0</v>
      </c>
      <c r="I124" s="117"/>
      <c r="J124" s="285">
        <f t="shared" si="43"/>
        <v>0</v>
      </c>
      <c r="K124" s="285">
        <f t="shared" si="44"/>
        <v>0</v>
      </c>
      <c r="L124" s="285">
        <f t="shared" si="45"/>
        <v>0</v>
      </c>
      <c r="M124" s="117"/>
      <c r="N124" s="285">
        <f t="shared" si="46"/>
        <v>0</v>
      </c>
      <c r="O124" s="285">
        <f>'Sec-6'!M22</f>
        <v>0</v>
      </c>
      <c r="P124" s="285">
        <f t="shared" si="47"/>
        <v>0</v>
      </c>
      <c r="Q124" s="285">
        <f t="shared" si="48"/>
        <v>0</v>
      </c>
      <c r="R124" s="285">
        <f t="shared" si="39"/>
        <v>0</v>
      </c>
      <c r="S124" s="285">
        <f t="shared" si="40"/>
        <v>0</v>
      </c>
      <c r="T124" s="285">
        <f t="shared" si="49"/>
        <v>0</v>
      </c>
      <c r="U124" s="285">
        <f t="shared" si="41"/>
        <v>0</v>
      </c>
      <c r="V124" s="285">
        <f t="shared" si="50"/>
        <v>0</v>
      </c>
    </row>
    <row r="125" spans="1:22">
      <c r="A125" s="285">
        <v>11</v>
      </c>
      <c r="B125" s="286" t="s">
        <v>43</v>
      </c>
      <c r="C125" s="273" t="s">
        <v>190</v>
      </c>
      <c r="D125" s="274">
        <v>9</v>
      </c>
      <c r="E125" s="274"/>
      <c r="F125" s="274">
        <v>955</v>
      </c>
      <c r="G125" s="285">
        <v>2.5</v>
      </c>
      <c r="H125" s="285">
        <f t="shared" si="42"/>
        <v>2387.5</v>
      </c>
      <c r="I125" s="117"/>
      <c r="J125" s="285">
        <f t="shared" si="43"/>
        <v>2387.5</v>
      </c>
      <c r="K125" s="285">
        <f t="shared" si="44"/>
        <v>0</v>
      </c>
      <c r="L125" s="285">
        <f t="shared" si="45"/>
        <v>955</v>
      </c>
      <c r="M125" s="117"/>
      <c r="N125" s="285">
        <f t="shared" si="46"/>
        <v>955</v>
      </c>
      <c r="O125" s="285">
        <f>'Sec-6'!N22</f>
        <v>0</v>
      </c>
      <c r="P125" s="285">
        <f t="shared" si="47"/>
        <v>955</v>
      </c>
      <c r="Q125" s="285">
        <f t="shared" si="48"/>
        <v>0</v>
      </c>
      <c r="R125" s="285">
        <f t="shared" si="39"/>
        <v>0</v>
      </c>
      <c r="S125" s="285">
        <f t="shared" si="40"/>
        <v>8.5950000000000006</v>
      </c>
      <c r="T125" s="285">
        <f t="shared" si="49"/>
        <v>0.11460000000000001</v>
      </c>
      <c r="U125" s="285">
        <f t="shared" si="41"/>
        <v>0</v>
      </c>
      <c r="V125" s="285">
        <f t="shared" si="50"/>
        <v>0.11460000000000001</v>
      </c>
    </row>
    <row r="126" spans="1:22">
      <c r="A126" s="285">
        <v>12</v>
      </c>
      <c r="B126" s="286" t="s">
        <v>47</v>
      </c>
      <c r="C126" s="273" t="s">
        <v>190</v>
      </c>
      <c r="D126" s="274">
        <v>14</v>
      </c>
      <c r="E126" s="274"/>
      <c r="F126" s="274">
        <v>32437</v>
      </c>
      <c r="G126" s="285">
        <v>4</v>
      </c>
      <c r="H126" s="285">
        <f t="shared" si="42"/>
        <v>129748</v>
      </c>
      <c r="I126" s="117"/>
      <c r="J126" s="285">
        <f t="shared" si="43"/>
        <v>129748</v>
      </c>
      <c r="K126" s="285">
        <f t="shared" si="44"/>
        <v>0</v>
      </c>
      <c r="L126" s="285">
        <f t="shared" si="45"/>
        <v>32437</v>
      </c>
      <c r="M126" s="117"/>
      <c r="N126" s="285">
        <f t="shared" si="46"/>
        <v>32437</v>
      </c>
      <c r="O126" s="285">
        <f>'Sec-6'!O22</f>
        <v>0</v>
      </c>
      <c r="P126" s="285">
        <f t="shared" si="47"/>
        <v>32437</v>
      </c>
      <c r="Q126" s="285">
        <f t="shared" si="48"/>
        <v>0</v>
      </c>
      <c r="R126" s="285">
        <f t="shared" si="39"/>
        <v>0</v>
      </c>
      <c r="S126" s="285">
        <f t="shared" si="40"/>
        <v>454.11799999999999</v>
      </c>
      <c r="T126" s="285">
        <f t="shared" si="49"/>
        <v>6.0549066666666667</v>
      </c>
      <c r="U126" s="285">
        <f t="shared" si="41"/>
        <v>0</v>
      </c>
      <c r="V126" s="285">
        <f t="shared" si="50"/>
        <v>6.0549066666666667</v>
      </c>
    </row>
    <row r="127" spans="1:22">
      <c r="A127" s="285">
        <v>13</v>
      </c>
      <c r="B127" s="286" t="s">
        <v>193</v>
      </c>
      <c r="C127" s="273" t="s">
        <v>190</v>
      </c>
      <c r="D127" s="274">
        <v>17</v>
      </c>
      <c r="E127" s="274"/>
      <c r="F127" s="274">
        <v>3636</v>
      </c>
      <c r="G127" s="285">
        <v>4.5</v>
      </c>
      <c r="H127" s="285">
        <f t="shared" si="42"/>
        <v>16362</v>
      </c>
      <c r="I127" s="117"/>
      <c r="J127" s="285">
        <f t="shared" si="43"/>
        <v>16362</v>
      </c>
      <c r="K127" s="285">
        <f t="shared" si="44"/>
        <v>0</v>
      </c>
      <c r="L127" s="285">
        <f t="shared" si="45"/>
        <v>3636</v>
      </c>
      <c r="M127" s="117"/>
      <c r="N127" s="285">
        <f t="shared" si="46"/>
        <v>3636</v>
      </c>
      <c r="O127" s="285">
        <f>'Sec-6'!P22</f>
        <v>0</v>
      </c>
      <c r="P127" s="285">
        <f t="shared" si="47"/>
        <v>3636</v>
      </c>
      <c r="Q127" s="285">
        <f t="shared" si="48"/>
        <v>0</v>
      </c>
      <c r="R127" s="285">
        <f t="shared" si="39"/>
        <v>0</v>
      </c>
      <c r="S127" s="285">
        <f t="shared" si="40"/>
        <v>61.811999999999998</v>
      </c>
      <c r="T127" s="285">
        <f t="shared" si="49"/>
        <v>0.82416</v>
      </c>
      <c r="U127" s="285">
        <f t="shared" si="41"/>
        <v>0</v>
      </c>
      <c r="V127" s="285">
        <f t="shared" si="50"/>
        <v>0.82416</v>
      </c>
    </row>
    <row r="128" spans="1:22">
      <c r="A128" s="285">
        <v>14</v>
      </c>
      <c r="B128" s="286" t="s">
        <v>48</v>
      </c>
      <c r="C128" s="273" t="s">
        <v>190</v>
      </c>
      <c r="D128" s="274">
        <v>14.5</v>
      </c>
      <c r="E128" s="274"/>
      <c r="F128" s="274">
        <v>28103</v>
      </c>
      <c r="G128" s="285">
        <v>4.25</v>
      </c>
      <c r="H128" s="285">
        <f t="shared" si="42"/>
        <v>119437.75</v>
      </c>
      <c r="I128" s="117"/>
      <c r="J128" s="285">
        <f t="shared" si="43"/>
        <v>119437.75</v>
      </c>
      <c r="K128" s="285">
        <f t="shared" si="44"/>
        <v>0</v>
      </c>
      <c r="L128" s="285">
        <f t="shared" si="45"/>
        <v>28103</v>
      </c>
      <c r="M128" s="117"/>
      <c r="N128" s="285">
        <f t="shared" si="46"/>
        <v>28103</v>
      </c>
      <c r="O128" s="285">
        <f>'Sec-6'!Q22</f>
        <v>0</v>
      </c>
      <c r="P128" s="285">
        <f t="shared" si="47"/>
        <v>28103</v>
      </c>
      <c r="Q128" s="285">
        <f t="shared" si="48"/>
        <v>0</v>
      </c>
      <c r="R128" s="285">
        <f t="shared" si="39"/>
        <v>0</v>
      </c>
      <c r="S128" s="285">
        <f t="shared" si="40"/>
        <v>407.49349999999998</v>
      </c>
      <c r="T128" s="285">
        <f t="shared" si="49"/>
        <v>5.4332466666666663</v>
      </c>
      <c r="U128" s="285">
        <f t="shared" si="41"/>
        <v>0</v>
      </c>
      <c r="V128" s="285">
        <f t="shared" si="50"/>
        <v>5.4332466666666663</v>
      </c>
    </row>
    <row r="129" spans="1:22">
      <c r="A129" s="285">
        <v>15</v>
      </c>
      <c r="B129" s="286" t="s">
        <v>49</v>
      </c>
      <c r="C129" s="273" t="s">
        <v>190</v>
      </c>
      <c r="D129" s="274">
        <v>11</v>
      </c>
      <c r="E129" s="274"/>
      <c r="F129" s="274">
        <v>8901</v>
      </c>
      <c r="G129" s="285">
        <v>3.5</v>
      </c>
      <c r="H129" s="285">
        <f t="shared" si="42"/>
        <v>31153.5</v>
      </c>
      <c r="I129" s="117"/>
      <c r="J129" s="285">
        <f t="shared" si="43"/>
        <v>31153.5</v>
      </c>
      <c r="K129" s="285">
        <f t="shared" si="44"/>
        <v>0</v>
      </c>
      <c r="L129" s="285">
        <f t="shared" si="45"/>
        <v>8901</v>
      </c>
      <c r="M129" s="117"/>
      <c r="N129" s="285">
        <f t="shared" si="46"/>
        <v>8901</v>
      </c>
      <c r="O129" s="285">
        <f>'Sec-6'!R22</f>
        <v>0</v>
      </c>
      <c r="P129" s="285">
        <f t="shared" si="47"/>
        <v>8901</v>
      </c>
      <c r="Q129" s="285">
        <f t="shared" si="48"/>
        <v>0</v>
      </c>
      <c r="R129" s="285">
        <f t="shared" si="39"/>
        <v>0</v>
      </c>
      <c r="S129" s="285">
        <f t="shared" si="40"/>
        <v>97.911000000000001</v>
      </c>
      <c r="T129" s="285">
        <f t="shared" si="49"/>
        <v>1.30548</v>
      </c>
      <c r="U129" s="285">
        <f t="shared" si="41"/>
        <v>0</v>
      </c>
      <c r="V129" s="285">
        <f t="shared" si="50"/>
        <v>1.30548</v>
      </c>
    </row>
    <row r="130" spans="1:22">
      <c r="A130" s="285">
        <v>16</v>
      </c>
      <c r="B130" s="286" t="s">
        <v>76</v>
      </c>
      <c r="C130" s="273" t="s">
        <v>190</v>
      </c>
      <c r="D130" s="274">
        <v>12.5</v>
      </c>
      <c r="E130" s="274"/>
      <c r="F130" s="274">
        <v>31</v>
      </c>
      <c r="G130" s="285">
        <v>3.25</v>
      </c>
      <c r="H130" s="285">
        <f t="shared" si="42"/>
        <v>100.75</v>
      </c>
      <c r="I130" s="117"/>
      <c r="J130" s="285">
        <f t="shared" si="43"/>
        <v>100.75</v>
      </c>
      <c r="K130" s="285">
        <f t="shared" si="44"/>
        <v>0</v>
      </c>
      <c r="L130" s="285">
        <f t="shared" si="45"/>
        <v>31</v>
      </c>
      <c r="M130" s="117"/>
      <c r="N130" s="285">
        <f t="shared" si="46"/>
        <v>31</v>
      </c>
      <c r="O130" s="285">
        <f>'Sec-6'!S22</f>
        <v>0</v>
      </c>
      <c r="P130" s="285">
        <f t="shared" si="47"/>
        <v>31</v>
      </c>
      <c r="Q130" s="285">
        <f t="shared" si="48"/>
        <v>0</v>
      </c>
      <c r="R130" s="285">
        <f t="shared" si="39"/>
        <v>0</v>
      </c>
      <c r="S130" s="285">
        <f t="shared" si="40"/>
        <v>0.38750000000000001</v>
      </c>
      <c r="T130" s="285">
        <f t="shared" si="49"/>
        <v>5.1666666666666666E-3</v>
      </c>
      <c r="U130" s="285">
        <f t="shared" si="41"/>
        <v>0</v>
      </c>
      <c r="V130" s="285">
        <f t="shared" si="50"/>
        <v>5.1666666666666666E-3</v>
      </c>
    </row>
    <row r="131" spans="1:22">
      <c r="A131" s="285">
        <v>17</v>
      </c>
      <c r="B131" s="286" t="s">
        <v>51</v>
      </c>
      <c r="C131" s="273" t="s">
        <v>190</v>
      </c>
      <c r="D131" s="274">
        <v>13.5</v>
      </c>
      <c r="E131" s="274"/>
      <c r="F131" s="274">
        <v>7</v>
      </c>
      <c r="G131" s="285">
        <v>3.75</v>
      </c>
      <c r="H131" s="285">
        <f t="shared" si="42"/>
        <v>26.25</v>
      </c>
      <c r="I131" s="117"/>
      <c r="J131" s="285">
        <f t="shared" si="43"/>
        <v>26.25</v>
      </c>
      <c r="K131" s="285">
        <f t="shared" si="44"/>
        <v>0</v>
      </c>
      <c r="L131" s="285">
        <f t="shared" si="45"/>
        <v>7</v>
      </c>
      <c r="M131" s="117"/>
      <c r="N131" s="285">
        <f t="shared" si="46"/>
        <v>7</v>
      </c>
      <c r="O131" s="285">
        <f>'Sec-6'!T22</f>
        <v>0</v>
      </c>
      <c r="P131" s="285">
        <f t="shared" si="47"/>
        <v>7</v>
      </c>
      <c r="Q131" s="285">
        <f t="shared" si="48"/>
        <v>0</v>
      </c>
      <c r="R131" s="285">
        <f t="shared" si="39"/>
        <v>0</v>
      </c>
      <c r="S131" s="285">
        <f t="shared" si="40"/>
        <v>9.4500000000000001E-2</v>
      </c>
      <c r="T131" s="285">
        <f t="shared" si="49"/>
        <v>1.2600000000000001E-3</v>
      </c>
      <c r="U131" s="285">
        <f t="shared" si="41"/>
        <v>0</v>
      </c>
      <c r="V131" s="285">
        <f t="shared" si="50"/>
        <v>1.2600000000000001E-3</v>
      </c>
    </row>
    <row r="132" spans="1:22">
      <c r="A132" s="285">
        <v>18</v>
      </c>
      <c r="B132" s="286" t="s">
        <v>112</v>
      </c>
      <c r="C132" s="273" t="s">
        <v>190</v>
      </c>
      <c r="D132" s="274">
        <v>7</v>
      </c>
      <c r="E132" s="274"/>
      <c r="F132" s="274">
        <v>0</v>
      </c>
      <c r="G132" s="285">
        <v>2.5</v>
      </c>
      <c r="H132" s="285">
        <f t="shared" si="42"/>
        <v>0</v>
      </c>
      <c r="I132" s="117"/>
      <c r="J132" s="285">
        <f t="shared" si="43"/>
        <v>0</v>
      </c>
      <c r="K132" s="285">
        <f t="shared" si="44"/>
        <v>0</v>
      </c>
      <c r="L132" s="285">
        <f t="shared" si="45"/>
        <v>0</v>
      </c>
      <c r="M132" s="117"/>
      <c r="N132" s="285">
        <f t="shared" si="46"/>
        <v>0</v>
      </c>
      <c r="O132" s="285">
        <f>'Sec-6'!U22</f>
        <v>0</v>
      </c>
      <c r="P132" s="285">
        <f t="shared" si="47"/>
        <v>0</v>
      </c>
      <c r="Q132" s="285">
        <f t="shared" si="48"/>
        <v>0</v>
      </c>
      <c r="R132" s="285">
        <f t="shared" si="39"/>
        <v>0</v>
      </c>
      <c r="S132" s="285">
        <f t="shared" si="40"/>
        <v>0</v>
      </c>
      <c r="T132" s="285">
        <f t="shared" si="49"/>
        <v>0</v>
      </c>
      <c r="U132" s="285">
        <f t="shared" si="41"/>
        <v>0</v>
      </c>
      <c r="V132" s="285">
        <f t="shared" si="50"/>
        <v>0</v>
      </c>
    </row>
    <row r="133" spans="1:22">
      <c r="A133" s="285">
        <v>19</v>
      </c>
      <c r="B133" s="286" t="s">
        <v>217</v>
      </c>
      <c r="C133" s="273" t="s">
        <v>190</v>
      </c>
      <c r="D133" s="274">
        <v>14.5</v>
      </c>
      <c r="E133" s="274"/>
      <c r="F133" s="274">
        <v>0</v>
      </c>
      <c r="G133" s="285">
        <v>4.25</v>
      </c>
      <c r="H133" s="285">
        <f t="shared" si="42"/>
        <v>0</v>
      </c>
      <c r="I133" s="117"/>
      <c r="J133" s="285">
        <f t="shared" si="43"/>
        <v>0</v>
      </c>
      <c r="K133" s="285">
        <f t="shared" si="44"/>
        <v>0</v>
      </c>
      <c r="L133" s="285">
        <f t="shared" si="45"/>
        <v>0</v>
      </c>
      <c r="M133" s="117"/>
      <c r="N133" s="285">
        <f t="shared" si="46"/>
        <v>0</v>
      </c>
      <c r="O133" s="285">
        <f>'Sec-6'!V22</f>
        <v>0</v>
      </c>
      <c r="P133" s="285">
        <f t="shared" si="47"/>
        <v>0</v>
      </c>
      <c r="Q133" s="285">
        <f t="shared" si="48"/>
        <v>0</v>
      </c>
      <c r="R133" s="285">
        <f t="shared" si="39"/>
        <v>0</v>
      </c>
      <c r="S133" s="285">
        <f t="shared" si="40"/>
        <v>0</v>
      </c>
      <c r="T133" s="285">
        <f t="shared" si="49"/>
        <v>0</v>
      </c>
      <c r="U133" s="285">
        <f t="shared" si="41"/>
        <v>0</v>
      </c>
      <c r="V133" s="285">
        <f t="shared" si="50"/>
        <v>0</v>
      </c>
    </row>
    <row r="134" spans="1:22">
      <c r="A134" s="285">
        <v>20</v>
      </c>
      <c r="B134" s="286" t="s">
        <v>149</v>
      </c>
      <c r="C134" s="273" t="s">
        <v>190</v>
      </c>
      <c r="D134" s="274">
        <v>7.5</v>
      </c>
      <c r="E134" s="274"/>
      <c r="F134" s="274">
        <v>0</v>
      </c>
      <c r="G134" s="285">
        <v>2.75</v>
      </c>
      <c r="H134" s="285">
        <f t="shared" si="42"/>
        <v>0</v>
      </c>
      <c r="I134" s="117"/>
      <c r="J134" s="285">
        <f t="shared" si="43"/>
        <v>0</v>
      </c>
      <c r="K134" s="285">
        <f t="shared" si="44"/>
        <v>0</v>
      </c>
      <c r="L134" s="285">
        <f t="shared" si="45"/>
        <v>0</v>
      </c>
      <c r="M134" s="117"/>
      <c r="N134" s="285">
        <f t="shared" si="46"/>
        <v>0</v>
      </c>
      <c r="O134" s="285">
        <f>'Sec-6'!W22</f>
        <v>0</v>
      </c>
      <c r="P134" s="285">
        <f t="shared" si="47"/>
        <v>0</v>
      </c>
      <c r="Q134" s="285">
        <f t="shared" si="48"/>
        <v>0</v>
      </c>
      <c r="R134" s="285">
        <f t="shared" si="39"/>
        <v>0</v>
      </c>
      <c r="S134" s="285">
        <f t="shared" si="40"/>
        <v>0</v>
      </c>
      <c r="T134" s="285">
        <f t="shared" si="49"/>
        <v>0</v>
      </c>
      <c r="U134" s="285">
        <f t="shared" si="41"/>
        <v>0</v>
      </c>
      <c r="V134" s="285">
        <f t="shared" si="50"/>
        <v>0</v>
      </c>
    </row>
    <row r="135" spans="1:22">
      <c r="A135" s="285">
        <v>21</v>
      </c>
      <c r="B135" s="286" t="s">
        <v>99</v>
      </c>
      <c r="C135" s="273" t="s">
        <v>190</v>
      </c>
      <c r="D135" s="274">
        <v>12.5</v>
      </c>
      <c r="E135" s="274"/>
      <c r="F135" s="274">
        <v>0</v>
      </c>
      <c r="G135" s="285">
        <v>3.25</v>
      </c>
      <c r="H135" s="285">
        <f t="shared" si="42"/>
        <v>0</v>
      </c>
      <c r="I135" s="117"/>
      <c r="J135" s="285">
        <f t="shared" si="43"/>
        <v>0</v>
      </c>
      <c r="K135" s="285">
        <f t="shared" si="44"/>
        <v>0</v>
      </c>
      <c r="L135" s="285">
        <f t="shared" si="45"/>
        <v>0</v>
      </c>
      <c r="M135" s="117"/>
      <c r="N135" s="285">
        <f t="shared" si="46"/>
        <v>0</v>
      </c>
      <c r="O135" s="285">
        <f>'Sec-6'!X22</f>
        <v>0</v>
      </c>
      <c r="P135" s="285">
        <f t="shared" si="47"/>
        <v>0</v>
      </c>
      <c r="Q135" s="285">
        <f t="shared" si="48"/>
        <v>0</v>
      </c>
      <c r="R135" s="285">
        <f t="shared" si="39"/>
        <v>0</v>
      </c>
      <c r="S135" s="285">
        <f t="shared" si="40"/>
        <v>0</v>
      </c>
      <c r="T135" s="285">
        <f t="shared" si="49"/>
        <v>0</v>
      </c>
      <c r="U135" s="285">
        <f t="shared" si="41"/>
        <v>0</v>
      </c>
      <c r="V135" s="285">
        <f t="shared" si="50"/>
        <v>0</v>
      </c>
    </row>
    <row r="136" spans="1:22">
      <c r="A136" s="507" t="s">
        <v>67</v>
      </c>
      <c r="B136" s="508"/>
      <c r="C136" s="508"/>
      <c r="D136" s="509"/>
      <c r="E136" s="284"/>
      <c r="F136" s="284">
        <f t="shared" ref="F136:V136" si="51">SUM(F115:F135)</f>
        <v>407322</v>
      </c>
      <c r="G136" s="284">
        <f t="shared" si="51"/>
        <v>75</v>
      </c>
      <c r="H136" s="284">
        <f t="shared" si="51"/>
        <v>1567424.75</v>
      </c>
      <c r="I136" s="284">
        <f t="shared" si="51"/>
        <v>0</v>
      </c>
      <c r="J136" s="284">
        <f t="shared" si="51"/>
        <v>1567424.75</v>
      </c>
      <c r="K136" s="284">
        <f t="shared" si="51"/>
        <v>0</v>
      </c>
      <c r="L136" s="284">
        <f t="shared" si="51"/>
        <v>407322</v>
      </c>
      <c r="M136" s="284">
        <f t="shared" si="51"/>
        <v>0</v>
      </c>
      <c r="N136" s="284">
        <f t="shared" si="51"/>
        <v>407322</v>
      </c>
      <c r="O136" s="284">
        <f t="shared" si="51"/>
        <v>0</v>
      </c>
      <c r="P136" s="284">
        <f t="shared" si="51"/>
        <v>407322</v>
      </c>
      <c r="Q136" s="284">
        <f t="shared" si="51"/>
        <v>0</v>
      </c>
      <c r="R136" s="284">
        <f t="shared" si="51"/>
        <v>0</v>
      </c>
      <c r="S136" s="284">
        <f t="shared" si="51"/>
        <v>5418.2295000000004</v>
      </c>
      <c r="T136" s="284">
        <f t="shared" si="51"/>
        <v>72.243060000000014</v>
      </c>
      <c r="U136" s="284">
        <f t="shared" si="51"/>
        <v>0</v>
      </c>
      <c r="V136" s="284">
        <f t="shared" si="51"/>
        <v>72.243060000000014</v>
      </c>
    </row>
    <row r="137" spans="1:22" s="11" customFormat="1" ht="15.75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</row>
    <row r="138" spans="1:22" s="11" customFormat="1" ht="15.75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6"/>
      <c r="T138" s="66"/>
      <c r="U138" s="66"/>
      <c r="V138" s="66"/>
    </row>
    <row r="139" spans="1:22" s="11" customFormat="1" ht="15.75">
      <c r="A139" s="61"/>
      <c r="B139" s="61"/>
      <c r="C139" s="61"/>
      <c r="D139" s="61"/>
      <c r="E139" s="61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462" t="s">
        <v>254</v>
      </c>
      <c r="T139" s="462"/>
      <c r="U139" s="462"/>
      <c r="V139" s="462"/>
    </row>
    <row r="140" spans="1:22" s="11" customFormat="1" ht="15.75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</row>
    <row r="141" spans="1:22" s="11" customFormat="1" ht="15.75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</row>
    <row r="142" spans="1:22" s="11" customFormat="1" ht="15.75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</row>
    <row r="143" spans="1:22" s="11" customFormat="1" ht="15.75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</row>
    <row r="144" spans="1:22" s="11" customFormat="1" ht="15.75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</row>
    <row r="145" spans="1:22" s="1" customFormat="1" ht="24" customHeight="1">
      <c r="A145" s="388" t="s">
        <v>342</v>
      </c>
      <c r="B145" s="388"/>
      <c r="C145" s="388"/>
      <c r="D145" s="388"/>
      <c r="E145" s="388"/>
      <c r="F145" s="388"/>
      <c r="G145" s="388"/>
      <c r="H145" s="388"/>
      <c r="I145" s="388"/>
      <c r="J145" s="388"/>
      <c r="K145" s="388"/>
      <c r="L145" s="388"/>
      <c r="M145" s="388"/>
      <c r="N145" s="388"/>
      <c r="O145" s="388"/>
      <c r="P145" s="388"/>
      <c r="Q145" s="388"/>
      <c r="R145" s="388"/>
      <c r="S145" s="388"/>
      <c r="T145" s="388"/>
      <c r="U145" s="388"/>
      <c r="V145" s="388"/>
    </row>
    <row r="146" spans="1:22" s="1" customFormat="1" ht="17.25" customHeight="1">
      <c r="A146" s="379" t="s">
        <v>343</v>
      </c>
      <c r="B146" s="379"/>
      <c r="C146" s="379"/>
      <c r="D146" s="379"/>
      <c r="E146" s="379"/>
      <c r="F146" s="379"/>
      <c r="G146" s="379"/>
      <c r="H146" s="379"/>
      <c r="I146" s="379"/>
      <c r="J146" s="379"/>
      <c r="K146" s="379"/>
      <c r="L146" s="379"/>
      <c r="M146" s="379"/>
      <c r="N146" s="379"/>
      <c r="O146" s="379"/>
      <c r="P146" s="379"/>
      <c r="Q146" s="379"/>
      <c r="R146" s="379"/>
      <c r="S146" s="379"/>
      <c r="T146" s="379"/>
      <c r="U146" s="379"/>
      <c r="V146" s="379"/>
    </row>
    <row r="147" spans="1:22" s="1" customFormat="1" ht="15.75" customHeight="1">
      <c r="A147" s="313" t="s">
        <v>274</v>
      </c>
      <c r="B147" s="313"/>
      <c r="C147" s="313"/>
      <c r="D147" s="313"/>
      <c r="E147" s="313"/>
      <c r="F147" s="313"/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  <c r="T147" s="313"/>
      <c r="U147" s="313"/>
      <c r="V147" s="313"/>
    </row>
    <row r="148" spans="1:22" ht="20.25">
      <c r="A148" s="379" t="s">
        <v>224</v>
      </c>
      <c r="B148" s="379"/>
      <c r="C148" s="379"/>
      <c r="D148" s="379"/>
      <c r="E148" s="379"/>
      <c r="F148" s="379"/>
      <c r="G148" s="379"/>
      <c r="H148" s="379"/>
      <c r="I148" s="379"/>
      <c r="J148" s="379"/>
      <c r="K148" s="379"/>
      <c r="L148" s="379"/>
      <c r="M148" s="379"/>
      <c r="N148" s="379"/>
      <c r="O148" s="379"/>
      <c r="P148" s="379"/>
      <c r="Q148" s="379"/>
      <c r="R148" s="379"/>
      <c r="S148" s="379"/>
      <c r="T148" s="379"/>
      <c r="U148" s="379"/>
      <c r="V148" s="379"/>
    </row>
    <row r="149" spans="1:22" ht="15" customHeight="1">
      <c r="A149" s="510" t="s">
        <v>15</v>
      </c>
      <c r="B149" s="510" t="s">
        <v>64</v>
      </c>
      <c r="C149" s="510" t="s">
        <v>65</v>
      </c>
      <c r="D149" s="512" t="s">
        <v>66</v>
      </c>
      <c r="E149" s="283"/>
      <c r="F149" s="277" t="s">
        <v>88</v>
      </c>
      <c r="G149" s="278" t="s">
        <v>157</v>
      </c>
      <c r="H149" s="505" t="s">
        <v>84</v>
      </c>
      <c r="I149" s="505" t="s">
        <v>138</v>
      </c>
      <c r="J149" s="505"/>
      <c r="K149" s="506" t="s">
        <v>139</v>
      </c>
      <c r="L149" s="506"/>
      <c r="M149" s="506" t="s">
        <v>86</v>
      </c>
      <c r="N149" s="506"/>
      <c r="O149" s="506" t="s">
        <v>25</v>
      </c>
      <c r="P149" s="506"/>
      <c r="Q149" s="506" t="s">
        <v>87</v>
      </c>
      <c r="R149" s="505" t="s">
        <v>146</v>
      </c>
      <c r="S149" s="506" t="s">
        <v>140</v>
      </c>
      <c r="T149" s="506"/>
      <c r="U149" s="506"/>
      <c r="V149" s="506"/>
    </row>
    <row r="150" spans="1:22">
      <c r="A150" s="511"/>
      <c r="B150" s="511"/>
      <c r="C150" s="511"/>
      <c r="D150" s="513"/>
      <c r="E150" s="279"/>
      <c r="F150" s="280" t="s">
        <v>335</v>
      </c>
      <c r="G150" s="278"/>
      <c r="H150" s="505"/>
      <c r="I150" s="278" t="s">
        <v>85</v>
      </c>
      <c r="J150" s="278" t="s">
        <v>70</v>
      </c>
      <c r="K150" s="281" t="s">
        <v>85</v>
      </c>
      <c r="L150" s="281" t="s">
        <v>70</v>
      </c>
      <c r="M150" s="278" t="s">
        <v>86</v>
      </c>
      <c r="N150" s="281" t="s">
        <v>70</v>
      </c>
      <c r="O150" s="281" t="s">
        <v>25</v>
      </c>
      <c r="P150" s="281" t="s">
        <v>70</v>
      </c>
      <c r="Q150" s="506"/>
      <c r="R150" s="505"/>
      <c r="S150" s="281" t="s">
        <v>155</v>
      </c>
      <c r="T150" s="281" t="s">
        <v>156</v>
      </c>
      <c r="U150" s="281" t="s">
        <v>141</v>
      </c>
      <c r="V150" s="281" t="s">
        <v>70</v>
      </c>
    </row>
    <row r="151" spans="1:22">
      <c r="A151" s="285">
        <v>1</v>
      </c>
      <c r="B151" s="286" t="s">
        <v>28</v>
      </c>
      <c r="C151" s="273" t="s">
        <v>190</v>
      </c>
      <c r="D151" s="274">
        <v>14</v>
      </c>
      <c r="E151" s="274"/>
      <c r="F151" s="274">
        <v>53320</v>
      </c>
      <c r="G151" s="285">
        <v>4</v>
      </c>
      <c r="H151" s="285">
        <f>G151*F151</f>
        <v>213280</v>
      </c>
      <c r="I151" s="117"/>
      <c r="J151" s="285">
        <f>H151-I151</f>
        <v>213280</v>
      </c>
      <c r="K151" s="285">
        <f>I151/G151</f>
        <v>0</v>
      </c>
      <c r="L151" s="285">
        <f>F151-K151</f>
        <v>53320</v>
      </c>
      <c r="M151" s="117"/>
      <c r="N151" s="285">
        <f>F151-M151</f>
        <v>53320</v>
      </c>
      <c r="O151" s="285">
        <f>'Dakhil-6'!D92</f>
        <v>0</v>
      </c>
      <c r="P151" s="285">
        <f>F151-O151</f>
        <v>53320</v>
      </c>
      <c r="Q151" s="285">
        <f>M151-O151</f>
        <v>0</v>
      </c>
      <c r="R151" s="285">
        <f t="shared" ref="R151:R165" si="52">D151*M151/1000</f>
        <v>0</v>
      </c>
      <c r="S151" s="285">
        <f t="shared" ref="S151:S165" si="53">D151*F151/1000</f>
        <v>746.48</v>
      </c>
      <c r="T151" s="285">
        <f>S151/75</f>
        <v>9.9530666666666665</v>
      </c>
      <c r="U151" s="285">
        <f t="shared" ref="U151:U165" si="54">D151*K151/1000/75</f>
        <v>0</v>
      </c>
      <c r="V151" s="285">
        <f>T151-U151</f>
        <v>9.9530666666666665</v>
      </c>
    </row>
    <row r="152" spans="1:22">
      <c r="A152" s="285">
        <v>2</v>
      </c>
      <c r="B152" s="286" t="s">
        <v>200</v>
      </c>
      <c r="C152" s="273" t="s">
        <v>190</v>
      </c>
      <c r="D152" s="274">
        <v>17.5</v>
      </c>
      <c r="E152" s="274"/>
      <c r="F152" s="274">
        <v>53320</v>
      </c>
      <c r="G152" s="285">
        <v>4.75</v>
      </c>
      <c r="H152" s="285">
        <f t="shared" ref="H152:H165" si="55">G152*F152</f>
        <v>253270</v>
      </c>
      <c r="I152" s="117"/>
      <c r="J152" s="285">
        <f t="shared" ref="J152:J165" si="56">H152-I152</f>
        <v>253270</v>
      </c>
      <c r="K152" s="285">
        <f t="shared" ref="K152:K165" si="57">I152/G152</f>
        <v>0</v>
      </c>
      <c r="L152" s="285">
        <f t="shared" ref="L152:L165" si="58">F152-K152</f>
        <v>53320</v>
      </c>
      <c r="M152" s="117"/>
      <c r="N152" s="285">
        <f t="shared" ref="N152:N165" si="59">F152-M152</f>
        <v>53320</v>
      </c>
      <c r="O152" s="285">
        <f>'Dakhil-6'!E92</f>
        <v>0</v>
      </c>
      <c r="P152" s="285">
        <f t="shared" ref="P152:P165" si="60">F152-O152</f>
        <v>53320</v>
      </c>
      <c r="Q152" s="285">
        <f t="shared" ref="Q152:Q165" si="61">M152-O152</f>
        <v>0</v>
      </c>
      <c r="R152" s="285">
        <f t="shared" si="52"/>
        <v>0</v>
      </c>
      <c r="S152" s="285">
        <f t="shared" si="53"/>
        <v>933.1</v>
      </c>
      <c r="T152" s="285">
        <f t="shared" ref="T152:T165" si="62">S152/75</f>
        <v>12.441333333333334</v>
      </c>
      <c r="U152" s="285">
        <f t="shared" si="54"/>
        <v>0</v>
      </c>
      <c r="V152" s="285">
        <f t="shared" ref="V152:V165" si="63">T152-U152</f>
        <v>12.441333333333334</v>
      </c>
    </row>
    <row r="153" spans="1:22">
      <c r="A153" s="285">
        <v>3</v>
      </c>
      <c r="B153" s="286" t="s">
        <v>183</v>
      </c>
      <c r="C153" s="273" t="s">
        <v>190</v>
      </c>
      <c r="D153" s="274">
        <v>14.5</v>
      </c>
      <c r="E153" s="274"/>
      <c r="F153" s="274">
        <v>53320</v>
      </c>
      <c r="G153" s="285">
        <v>4.25</v>
      </c>
      <c r="H153" s="285">
        <f t="shared" si="55"/>
        <v>226610</v>
      </c>
      <c r="I153" s="117"/>
      <c r="J153" s="285">
        <f t="shared" si="56"/>
        <v>226610</v>
      </c>
      <c r="K153" s="285">
        <f t="shared" si="57"/>
        <v>0</v>
      </c>
      <c r="L153" s="285">
        <f t="shared" si="58"/>
        <v>53320</v>
      </c>
      <c r="M153" s="117"/>
      <c r="N153" s="285">
        <f t="shared" si="59"/>
        <v>53320</v>
      </c>
      <c r="O153" s="285">
        <f>'Dakhil-6'!F92</f>
        <v>0</v>
      </c>
      <c r="P153" s="285">
        <f t="shared" si="60"/>
        <v>53320</v>
      </c>
      <c r="Q153" s="285">
        <f t="shared" si="61"/>
        <v>0</v>
      </c>
      <c r="R153" s="285">
        <f t="shared" si="52"/>
        <v>0</v>
      </c>
      <c r="S153" s="285">
        <f t="shared" si="53"/>
        <v>773.14</v>
      </c>
      <c r="T153" s="285">
        <f t="shared" si="62"/>
        <v>10.308533333333333</v>
      </c>
      <c r="U153" s="285">
        <f t="shared" si="54"/>
        <v>0</v>
      </c>
      <c r="V153" s="285">
        <f t="shared" si="63"/>
        <v>10.308533333333333</v>
      </c>
    </row>
    <row r="154" spans="1:22">
      <c r="A154" s="285">
        <v>4</v>
      </c>
      <c r="B154" s="286" t="s">
        <v>201</v>
      </c>
      <c r="C154" s="273" t="s">
        <v>190</v>
      </c>
      <c r="D154" s="274">
        <v>17.5</v>
      </c>
      <c r="E154" s="274"/>
      <c r="F154" s="274">
        <v>53320</v>
      </c>
      <c r="G154" s="285">
        <v>4.75</v>
      </c>
      <c r="H154" s="285">
        <f t="shared" si="55"/>
        <v>253270</v>
      </c>
      <c r="I154" s="117"/>
      <c r="J154" s="285">
        <f t="shared" si="56"/>
        <v>253270</v>
      </c>
      <c r="K154" s="285">
        <f t="shared" si="57"/>
        <v>0</v>
      </c>
      <c r="L154" s="285">
        <f t="shared" si="58"/>
        <v>53320</v>
      </c>
      <c r="M154" s="117"/>
      <c r="N154" s="285">
        <f t="shared" si="59"/>
        <v>53320</v>
      </c>
      <c r="O154" s="285">
        <f>'Dakhil-6'!G92</f>
        <v>0</v>
      </c>
      <c r="P154" s="285">
        <f t="shared" si="60"/>
        <v>53320</v>
      </c>
      <c r="Q154" s="285">
        <f t="shared" si="61"/>
        <v>0</v>
      </c>
      <c r="R154" s="285">
        <f t="shared" si="52"/>
        <v>0</v>
      </c>
      <c r="S154" s="285">
        <f t="shared" si="53"/>
        <v>933.1</v>
      </c>
      <c r="T154" s="285">
        <f t="shared" si="62"/>
        <v>12.441333333333334</v>
      </c>
      <c r="U154" s="285">
        <f t="shared" si="54"/>
        <v>0</v>
      </c>
      <c r="V154" s="285">
        <f t="shared" si="63"/>
        <v>12.441333333333334</v>
      </c>
    </row>
    <row r="155" spans="1:22">
      <c r="A155" s="285">
        <v>5</v>
      </c>
      <c r="B155" s="286" t="s">
        <v>45</v>
      </c>
      <c r="C155" s="273" t="s">
        <v>190</v>
      </c>
      <c r="D155" s="274">
        <v>13.5</v>
      </c>
      <c r="E155" s="274"/>
      <c r="F155" s="274">
        <v>53320</v>
      </c>
      <c r="G155" s="285">
        <v>3.75</v>
      </c>
      <c r="H155" s="285">
        <f t="shared" si="55"/>
        <v>199950</v>
      </c>
      <c r="I155" s="117"/>
      <c r="J155" s="285">
        <f t="shared" si="56"/>
        <v>199950</v>
      </c>
      <c r="K155" s="285">
        <f t="shared" si="57"/>
        <v>0</v>
      </c>
      <c r="L155" s="285">
        <f t="shared" si="58"/>
        <v>53320</v>
      </c>
      <c r="M155" s="117"/>
      <c r="N155" s="285">
        <f t="shared" si="59"/>
        <v>53320</v>
      </c>
      <c r="O155" s="285">
        <f>'Dakhil-6'!H92</f>
        <v>0</v>
      </c>
      <c r="P155" s="285">
        <f t="shared" si="60"/>
        <v>53320</v>
      </c>
      <c r="Q155" s="285">
        <f t="shared" si="61"/>
        <v>0</v>
      </c>
      <c r="R155" s="285">
        <f t="shared" si="52"/>
        <v>0</v>
      </c>
      <c r="S155" s="285">
        <f t="shared" si="53"/>
        <v>719.82</v>
      </c>
      <c r="T155" s="285">
        <f t="shared" si="62"/>
        <v>9.5975999999999999</v>
      </c>
      <c r="U155" s="285">
        <f t="shared" si="54"/>
        <v>0</v>
      </c>
      <c r="V155" s="285">
        <f t="shared" si="63"/>
        <v>9.5975999999999999</v>
      </c>
    </row>
    <row r="156" spans="1:22">
      <c r="A156" s="285">
        <v>6</v>
      </c>
      <c r="B156" s="286" t="s">
        <v>56</v>
      </c>
      <c r="C156" s="273" t="s">
        <v>190</v>
      </c>
      <c r="D156" s="274">
        <v>13.5</v>
      </c>
      <c r="E156" s="274"/>
      <c r="F156" s="274">
        <v>53320</v>
      </c>
      <c r="G156" s="285">
        <v>3.75</v>
      </c>
      <c r="H156" s="285">
        <f t="shared" si="55"/>
        <v>199950</v>
      </c>
      <c r="I156" s="117"/>
      <c r="J156" s="285">
        <f t="shared" si="56"/>
        <v>199950</v>
      </c>
      <c r="K156" s="285">
        <f t="shared" si="57"/>
        <v>0</v>
      </c>
      <c r="L156" s="285">
        <f t="shared" si="58"/>
        <v>53320</v>
      </c>
      <c r="M156" s="117"/>
      <c r="N156" s="285">
        <f t="shared" si="59"/>
        <v>53320</v>
      </c>
      <c r="O156" s="285">
        <f>'Dakhil-6'!I92</f>
        <v>0</v>
      </c>
      <c r="P156" s="285">
        <f t="shared" si="60"/>
        <v>53320</v>
      </c>
      <c r="Q156" s="285">
        <f t="shared" si="61"/>
        <v>0</v>
      </c>
      <c r="R156" s="285">
        <f t="shared" si="52"/>
        <v>0</v>
      </c>
      <c r="S156" s="285">
        <f t="shared" si="53"/>
        <v>719.82</v>
      </c>
      <c r="T156" s="285">
        <f t="shared" si="62"/>
        <v>9.5975999999999999</v>
      </c>
      <c r="U156" s="285">
        <f t="shared" si="54"/>
        <v>0</v>
      </c>
      <c r="V156" s="285">
        <f t="shared" si="63"/>
        <v>9.5975999999999999</v>
      </c>
    </row>
    <row r="157" spans="1:22">
      <c r="A157" s="285">
        <v>7</v>
      </c>
      <c r="B157" s="286" t="s">
        <v>27</v>
      </c>
      <c r="C157" s="273" t="s">
        <v>190</v>
      </c>
      <c r="D157" s="274">
        <v>14.5</v>
      </c>
      <c r="E157" s="274"/>
      <c r="F157" s="274">
        <v>53414</v>
      </c>
      <c r="G157" s="285">
        <v>4.25</v>
      </c>
      <c r="H157" s="285">
        <f t="shared" si="55"/>
        <v>227009.5</v>
      </c>
      <c r="I157" s="117"/>
      <c r="J157" s="285">
        <f t="shared" si="56"/>
        <v>227009.5</v>
      </c>
      <c r="K157" s="285">
        <f t="shared" si="57"/>
        <v>0</v>
      </c>
      <c r="L157" s="285">
        <f t="shared" si="58"/>
        <v>53414</v>
      </c>
      <c r="M157" s="117"/>
      <c r="N157" s="285">
        <f t="shared" si="59"/>
        <v>53414</v>
      </c>
      <c r="O157" s="285">
        <f>'Dakhil-6'!J92</f>
        <v>0</v>
      </c>
      <c r="P157" s="285">
        <f t="shared" si="60"/>
        <v>53414</v>
      </c>
      <c r="Q157" s="285">
        <f t="shared" si="61"/>
        <v>0</v>
      </c>
      <c r="R157" s="285">
        <f t="shared" si="52"/>
        <v>0</v>
      </c>
      <c r="S157" s="285">
        <f t="shared" si="53"/>
        <v>774.50300000000004</v>
      </c>
      <c r="T157" s="285">
        <f t="shared" si="62"/>
        <v>10.326706666666666</v>
      </c>
      <c r="U157" s="285">
        <f t="shared" si="54"/>
        <v>0</v>
      </c>
      <c r="V157" s="285">
        <f t="shared" si="63"/>
        <v>10.326706666666666</v>
      </c>
    </row>
    <row r="158" spans="1:22">
      <c r="A158" s="285">
        <v>8</v>
      </c>
      <c r="B158" s="286" t="s">
        <v>175</v>
      </c>
      <c r="C158" s="273" t="s">
        <v>190</v>
      </c>
      <c r="D158" s="274">
        <v>15</v>
      </c>
      <c r="E158" s="274"/>
      <c r="F158" s="274">
        <v>53320</v>
      </c>
      <c r="G158" s="285">
        <v>4.5</v>
      </c>
      <c r="H158" s="285">
        <f t="shared" si="55"/>
        <v>239940</v>
      </c>
      <c r="I158" s="117"/>
      <c r="J158" s="285">
        <f t="shared" si="56"/>
        <v>239940</v>
      </c>
      <c r="K158" s="285">
        <f t="shared" si="57"/>
        <v>0</v>
      </c>
      <c r="L158" s="285">
        <f t="shared" si="58"/>
        <v>53320</v>
      </c>
      <c r="M158" s="117"/>
      <c r="N158" s="285">
        <f t="shared" si="59"/>
        <v>53320</v>
      </c>
      <c r="O158" s="285">
        <f>'Dakhil-6'!K92</f>
        <v>0</v>
      </c>
      <c r="P158" s="285">
        <f t="shared" si="60"/>
        <v>53320</v>
      </c>
      <c r="Q158" s="285">
        <f t="shared" si="61"/>
        <v>0</v>
      </c>
      <c r="R158" s="285">
        <f t="shared" si="52"/>
        <v>0</v>
      </c>
      <c r="S158" s="285">
        <f t="shared" si="53"/>
        <v>799.8</v>
      </c>
      <c r="T158" s="285">
        <f t="shared" si="62"/>
        <v>10.664</v>
      </c>
      <c r="U158" s="285">
        <f t="shared" si="54"/>
        <v>0</v>
      </c>
      <c r="V158" s="285">
        <f t="shared" si="63"/>
        <v>10.664</v>
      </c>
    </row>
    <row r="159" spans="1:22">
      <c r="A159" s="285">
        <v>9</v>
      </c>
      <c r="B159" s="286" t="s">
        <v>31</v>
      </c>
      <c r="C159" s="273" t="s">
        <v>190</v>
      </c>
      <c r="D159" s="274">
        <v>20</v>
      </c>
      <c r="E159" s="274"/>
      <c r="F159" s="274">
        <v>53320</v>
      </c>
      <c r="G159" s="285">
        <v>5</v>
      </c>
      <c r="H159" s="285">
        <f t="shared" si="55"/>
        <v>266600</v>
      </c>
      <c r="I159" s="117"/>
      <c r="J159" s="285">
        <f t="shared" si="56"/>
        <v>266600</v>
      </c>
      <c r="K159" s="285">
        <f t="shared" si="57"/>
        <v>0</v>
      </c>
      <c r="L159" s="285">
        <f t="shared" si="58"/>
        <v>53320</v>
      </c>
      <c r="M159" s="117"/>
      <c r="N159" s="285">
        <f t="shared" si="59"/>
        <v>53320</v>
      </c>
      <c r="O159" s="285">
        <f>'Dakhil-6'!L92</f>
        <v>0</v>
      </c>
      <c r="P159" s="285">
        <f t="shared" si="60"/>
        <v>53320</v>
      </c>
      <c r="Q159" s="285">
        <f t="shared" si="61"/>
        <v>0</v>
      </c>
      <c r="R159" s="285">
        <f t="shared" si="52"/>
        <v>0</v>
      </c>
      <c r="S159" s="285">
        <f t="shared" si="53"/>
        <v>1066.4000000000001</v>
      </c>
      <c r="T159" s="285">
        <f t="shared" si="62"/>
        <v>14.218666666666667</v>
      </c>
      <c r="U159" s="285">
        <f t="shared" si="54"/>
        <v>0</v>
      </c>
      <c r="V159" s="285">
        <f t="shared" si="63"/>
        <v>14.218666666666667</v>
      </c>
    </row>
    <row r="160" spans="1:22">
      <c r="A160" s="285">
        <v>10</v>
      </c>
      <c r="B160" s="286" t="s">
        <v>202</v>
      </c>
      <c r="C160" s="273" t="s">
        <v>190</v>
      </c>
      <c r="D160" s="274">
        <v>8</v>
      </c>
      <c r="E160" s="274"/>
      <c r="F160" s="274">
        <v>53320</v>
      </c>
      <c r="G160" s="285">
        <v>2</v>
      </c>
      <c r="H160" s="285">
        <f t="shared" si="55"/>
        <v>106640</v>
      </c>
      <c r="I160" s="117"/>
      <c r="J160" s="285">
        <f t="shared" si="56"/>
        <v>106640</v>
      </c>
      <c r="K160" s="285">
        <f t="shared" si="57"/>
        <v>0</v>
      </c>
      <c r="L160" s="285">
        <f t="shared" si="58"/>
        <v>53320</v>
      </c>
      <c r="M160" s="117"/>
      <c r="N160" s="285">
        <f t="shared" si="59"/>
        <v>53320</v>
      </c>
      <c r="O160" s="285">
        <f>'Dakhil-6'!M92</f>
        <v>0</v>
      </c>
      <c r="P160" s="285">
        <f t="shared" si="60"/>
        <v>53320</v>
      </c>
      <c r="Q160" s="285">
        <f t="shared" si="61"/>
        <v>0</v>
      </c>
      <c r="R160" s="285">
        <f t="shared" si="52"/>
        <v>0</v>
      </c>
      <c r="S160" s="285">
        <f t="shared" si="53"/>
        <v>426.56</v>
      </c>
      <c r="T160" s="285">
        <f t="shared" si="62"/>
        <v>5.6874666666666664</v>
      </c>
      <c r="U160" s="285">
        <f t="shared" si="54"/>
        <v>0</v>
      </c>
      <c r="V160" s="285">
        <f t="shared" si="63"/>
        <v>5.6874666666666664</v>
      </c>
    </row>
    <row r="161" spans="1:22">
      <c r="A161" s="285">
        <v>11</v>
      </c>
      <c r="B161" s="286" t="s">
        <v>32</v>
      </c>
      <c r="C161" s="273" t="s">
        <v>190</v>
      </c>
      <c r="D161" s="274">
        <v>17</v>
      </c>
      <c r="E161" s="274"/>
      <c r="F161" s="274">
        <v>53320</v>
      </c>
      <c r="G161" s="285">
        <v>4.5</v>
      </c>
      <c r="H161" s="285">
        <f t="shared" si="55"/>
        <v>239940</v>
      </c>
      <c r="I161" s="117"/>
      <c r="J161" s="285">
        <f t="shared" si="56"/>
        <v>239940</v>
      </c>
      <c r="K161" s="285">
        <f t="shared" si="57"/>
        <v>0</v>
      </c>
      <c r="L161" s="285">
        <f t="shared" si="58"/>
        <v>53320</v>
      </c>
      <c r="M161" s="117"/>
      <c r="N161" s="285">
        <f t="shared" si="59"/>
        <v>53320</v>
      </c>
      <c r="O161" s="285">
        <f>'Dakhil-6'!N92</f>
        <v>0</v>
      </c>
      <c r="P161" s="285">
        <f t="shared" si="60"/>
        <v>53320</v>
      </c>
      <c r="Q161" s="285">
        <f t="shared" si="61"/>
        <v>0</v>
      </c>
      <c r="R161" s="285">
        <f t="shared" si="52"/>
        <v>0</v>
      </c>
      <c r="S161" s="285">
        <f t="shared" si="53"/>
        <v>906.44</v>
      </c>
      <c r="T161" s="285">
        <f t="shared" si="62"/>
        <v>12.085866666666668</v>
      </c>
      <c r="U161" s="285">
        <f t="shared" si="54"/>
        <v>0</v>
      </c>
      <c r="V161" s="285">
        <f t="shared" si="63"/>
        <v>12.085866666666668</v>
      </c>
    </row>
    <row r="162" spans="1:22">
      <c r="A162" s="285">
        <v>12</v>
      </c>
      <c r="B162" s="286" t="s">
        <v>44</v>
      </c>
      <c r="C162" s="273" t="s">
        <v>190</v>
      </c>
      <c r="D162" s="274">
        <v>9</v>
      </c>
      <c r="E162" s="274"/>
      <c r="F162" s="274">
        <v>53320</v>
      </c>
      <c r="G162" s="285">
        <v>2.5</v>
      </c>
      <c r="H162" s="285">
        <f t="shared" si="55"/>
        <v>133300</v>
      </c>
      <c r="I162" s="117"/>
      <c r="J162" s="285">
        <f t="shared" si="56"/>
        <v>133300</v>
      </c>
      <c r="K162" s="285">
        <f t="shared" si="57"/>
        <v>0</v>
      </c>
      <c r="L162" s="285">
        <f t="shared" si="58"/>
        <v>53320</v>
      </c>
      <c r="M162" s="117"/>
      <c r="N162" s="285">
        <f t="shared" si="59"/>
        <v>53320</v>
      </c>
      <c r="O162" s="285">
        <f>'Dakhil-6'!O92</f>
        <v>0</v>
      </c>
      <c r="P162" s="285">
        <f t="shared" si="60"/>
        <v>53320</v>
      </c>
      <c r="Q162" s="285">
        <f t="shared" si="61"/>
        <v>0</v>
      </c>
      <c r="R162" s="285">
        <f t="shared" si="52"/>
        <v>0</v>
      </c>
      <c r="S162" s="285">
        <f t="shared" si="53"/>
        <v>479.88</v>
      </c>
      <c r="T162" s="285">
        <f t="shared" si="62"/>
        <v>6.3983999999999996</v>
      </c>
      <c r="U162" s="285">
        <f t="shared" si="54"/>
        <v>0</v>
      </c>
      <c r="V162" s="285">
        <f t="shared" si="63"/>
        <v>6.3983999999999996</v>
      </c>
    </row>
    <row r="163" spans="1:22">
      <c r="A163" s="285">
        <v>13</v>
      </c>
      <c r="B163" s="286" t="s">
        <v>43</v>
      </c>
      <c r="C163" s="273" t="s">
        <v>190</v>
      </c>
      <c r="D163" s="274">
        <v>9</v>
      </c>
      <c r="E163" s="274"/>
      <c r="F163" s="274">
        <v>2854</v>
      </c>
      <c r="G163" s="285">
        <v>2.5</v>
      </c>
      <c r="H163" s="285">
        <f t="shared" si="55"/>
        <v>7135</v>
      </c>
      <c r="I163" s="117"/>
      <c r="J163" s="285">
        <f t="shared" si="56"/>
        <v>7135</v>
      </c>
      <c r="K163" s="285">
        <f t="shared" si="57"/>
        <v>0</v>
      </c>
      <c r="L163" s="285">
        <f t="shared" si="58"/>
        <v>2854</v>
      </c>
      <c r="M163" s="117"/>
      <c r="N163" s="285">
        <f t="shared" si="59"/>
        <v>2854</v>
      </c>
      <c r="O163" s="285">
        <f>'Dakhil-6'!P92</f>
        <v>0</v>
      </c>
      <c r="P163" s="285">
        <f t="shared" si="60"/>
        <v>2854</v>
      </c>
      <c r="Q163" s="285">
        <f t="shared" si="61"/>
        <v>0</v>
      </c>
      <c r="R163" s="285">
        <f t="shared" si="52"/>
        <v>0</v>
      </c>
      <c r="S163" s="285">
        <f t="shared" si="53"/>
        <v>25.686</v>
      </c>
      <c r="T163" s="285">
        <f t="shared" si="62"/>
        <v>0.34248000000000001</v>
      </c>
      <c r="U163" s="285">
        <f t="shared" si="54"/>
        <v>0</v>
      </c>
      <c r="V163" s="285">
        <f t="shared" si="63"/>
        <v>0.34248000000000001</v>
      </c>
    </row>
    <row r="164" spans="1:22">
      <c r="A164" s="285">
        <v>14</v>
      </c>
      <c r="B164" s="286" t="s">
        <v>47</v>
      </c>
      <c r="C164" s="273" t="s">
        <v>190</v>
      </c>
      <c r="D164" s="274">
        <v>14</v>
      </c>
      <c r="E164" s="274"/>
      <c r="F164" s="274">
        <v>50026</v>
      </c>
      <c r="G164" s="285">
        <v>4</v>
      </c>
      <c r="H164" s="285">
        <f t="shared" si="55"/>
        <v>200104</v>
      </c>
      <c r="I164" s="117"/>
      <c r="J164" s="285">
        <f t="shared" si="56"/>
        <v>200104</v>
      </c>
      <c r="K164" s="285">
        <f t="shared" si="57"/>
        <v>0</v>
      </c>
      <c r="L164" s="285">
        <f t="shared" si="58"/>
        <v>50026</v>
      </c>
      <c r="M164" s="117"/>
      <c r="N164" s="285">
        <f t="shared" si="59"/>
        <v>50026</v>
      </c>
      <c r="O164" s="285">
        <f>'Dakhil-6'!Q92</f>
        <v>0</v>
      </c>
      <c r="P164" s="285">
        <f t="shared" si="60"/>
        <v>50026</v>
      </c>
      <c r="Q164" s="285">
        <f t="shared" si="61"/>
        <v>0</v>
      </c>
      <c r="R164" s="285">
        <f t="shared" si="52"/>
        <v>0</v>
      </c>
      <c r="S164" s="285">
        <f t="shared" si="53"/>
        <v>700.36400000000003</v>
      </c>
      <c r="T164" s="285">
        <f t="shared" si="62"/>
        <v>9.3381866666666671</v>
      </c>
      <c r="U164" s="285">
        <f t="shared" si="54"/>
        <v>0</v>
      </c>
      <c r="V164" s="285">
        <f t="shared" si="63"/>
        <v>9.3381866666666671</v>
      </c>
    </row>
    <row r="165" spans="1:22">
      <c r="A165" s="285">
        <v>15</v>
      </c>
      <c r="B165" s="286" t="s">
        <v>78</v>
      </c>
      <c r="C165" s="273" t="s">
        <v>190</v>
      </c>
      <c r="D165" s="274">
        <v>17</v>
      </c>
      <c r="E165" s="274"/>
      <c r="F165" s="274">
        <v>440</v>
      </c>
      <c r="G165" s="285">
        <v>4.5</v>
      </c>
      <c r="H165" s="285">
        <f t="shared" si="55"/>
        <v>1980</v>
      </c>
      <c r="I165" s="117"/>
      <c r="J165" s="285">
        <f t="shared" si="56"/>
        <v>1980</v>
      </c>
      <c r="K165" s="285">
        <f t="shared" si="57"/>
        <v>0</v>
      </c>
      <c r="L165" s="285">
        <f t="shared" si="58"/>
        <v>440</v>
      </c>
      <c r="M165" s="117"/>
      <c r="N165" s="285">
        <f t="shared" si="59"/>
        <v>440</v>
      </c>
      <c r="O165" s="285">
        <f>'Dakhil-6'!R92</f>
        <v>0</v>
      </c>
      <c r="P165" s="285">
        <f t="shared" si="60"/>
        <v>440</v>
      </c>
      <c r="Q165" s="285">
        <f t="shared" si="61"/>
        <v>0</v>
      </c>
      <c r="R165" s="285">
        <f t="shared" si="52"/>
        <v>0</v>
      </c>
      <c r="S165" s="285">
        <f t="shared" si="53"/>
        <v>7.48</v>
      </c>
      <c r="T165" s="285">
        <f t="shared" si="62"/>
        <v>9.973333333333334E-2</v>
      </c>
      <c r="U165" s="285">
        <f t="shared" si="54"/>
        <v>0</v>
      </c>
      <c r="V165" s="285">
        <f t="shared" si="63"/>
        <v>9.973333333333334E-2</v>
      </c>
    </row>
    <row r="166" spans="1:22">
      <c r="A166" s="507" t="s">
        <v>67</v>
      </c>
      <c r="B166" s="508"/>
      <c r="C166" s="508"/>
      <c r="D166" s="509"/>
      <c r="E166" s="284"/>
      <c r="F166" s="284">
        <f t="shared" ref="F166:V166" si="64">SUM(F151:F165)</f>
        <v>693254</v>
      </c>
      <c r="G166" s="284">
        <f t="shared" si="64"/>
        <v>59</v>
      </c>
      <c r="H166" s="284">
        <f t="shared" si="64"/>
        <v>2768978.5</v>
      </c>
      <c r="I166" s="284">
        <f t="shared" si="64"/>
        <v>0</v>
      </c>
      <c r="J166" s="284">
        <f t="shared" si="64"/>
        <v>2768978.5</v>
      </c>
      <c r="K166" s="284">
        <f t="shared" si="64"/>
        <v>0</v>
      </c>
      <c r="L166" s="284">
        <f t="shared" si="64"/>
        <v>693254</v>
      </c>
      <c r="M166" s="284">
        <f t="shared" si="64"/>
        <v>0</v>
      </c>
      <c r="N166" s="284">
        <f t="shared" si="64"/>
        <v>693254</v>
      </c>
      <c r="O166" s="284">
        <f t="shared" si="64"/>
        <v>0</v>
      </c>
      <c r="P166" s="284">
        <f t="shared" si="64"/>
        <v>693254</v>
      </c>
      <c r="Q166" s="284">
        <f t="shared" si="64"/>
        <v>0</v>
      </c>
      <c r="R166" s="284">
        <f t="shared" si="64"/>
        <v>0</v>
      </c>
      <c r="S166" s="284">
        <f t="shared" si="64"/>
        <v>10012.572999999997</v>
      </c>
      <c r="T166" s="284">
        <f t="shared" si="64"/>
        <v>133.50097333333332</v>
      </c>
      <c r="U166" s="284">
        <f t="shared" si="64"/>
        <v>0</v>
      </c>
      <c r="V166" s="284">
        <f t="shared" si="64"/>
        <v>133.50097333333332</v>
      </c>
    </row>
    <row r="167" spans="1:22" s="11" customFormat="1" ht="15.75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</row>
    <row r="168" spans="1:22" s="11" customFormat="1" ht="15.75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6"/>
      <c r="T168" s="66"/>
      <c r="U168" s="66"/>
      <c r="V168" s="66"/>
    </row>
    <row r="169" spans="1:22" s="11" customFormat="1" ht="15.75">
      <c r="A169" s="61"/>
      <c r="B169" s="61"/>
      <c r="C169" s="61"/>
      <c r="D169" s="61"/>
      <c r="E169" s="61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462" t="s">
        <v>254</v>
      </c>
      <c r="T169" s="462"/>
      <c r="U169" s="462"/>
      <c r="V169" s="462"/>
    </row>
    <row r="170" spans="1:22" s="11" customFormat="1" ht="15.75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</row>
    <row r="171" spans="1:22" s="11" customFormat="1" ht="15.75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</row>
    <row r="172" spans="1:22" s="11" customFormat="1" ht="15.75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</row>
    <row r="173" spans="1:22" s="11" customFormat="1" ht="15.75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</row>
    <row r="174" spans="1:22" s="11" customFormat="1" ht="15.75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</row>
    <row r="175" spans="1:22" s="11" customFormat="1" ht="15.75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</row>
    <row r="176" spans="1:22" s="11" customFormat="1" ht="15.75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</row>
    <row r="177" spans="1:22" s="11" customFormat="1" ht="15.75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</row>
    <row r="178" spans="1:22" s="11" customFormat="1" ht="15.75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</row>
    <row r="179" spans="1:22" s="11" customFormat="1" ht="15.75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</row>
    <row r="180" spans="1:22" s="11" customFormat="1" ht="15.75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</row>
    <row r="181" spans="1:22" s="1" customFormat="1" ht="24" customHeight="1">
      <c r="A181" s="388" t="s">
        <v>342</v>
      </c>
      <c r="B181" s="388"/>
      <c r="C181" s="388"/>
      <c r="D181" s="388"/>
      <c r="E181" s="388"/>
      <c r="F181" s="388"/>
      <c r="G181" s="388"/>
      <c r="H181" s="388"/>
      <c r="I181" s="388"/>
      <c r="J181" s="388"/>
      <c r="K181" s="388"/>
      <c r="L181" s="388"/>
      <c r="M181" s="388"/>
      <c r="N181" s="388"/>
      <c r="O181" s="388"/>
      <c r="P181" s="388"/>
      <c r="Q181" s="388"/>
      <c r="R181" s="388"/>
      <c r="S181" s="388"/>
      <c r="T181" s="388"/>
      <c r="U181" s="388"/>
      <c r="V181" s="388"/>
    </row>
    <row r="182" spans="1:22" s="1" customFormat="1" ht="17.25" customHeight="1">
      <c r="A182" s="379" t="s">
        <v>343</v>
      </c>
      <c r="B182" s="379"/>
      <c r="C182" s="379"/>
      <c r="D182" s="379"/>
      <c r="E182" s="379"/>
      <c r="F182" s="379"/>
      <c r="G182" s="379"/>
      <c r="H182" s="379"/>
      <c r="I182" s="379"/>
      <c r="J182" s="379"/>
      <c r="K182" s="379"/>
      <c r="L182" s="379"/>
      <c r="M182" s="379"/>
      <c r="N182" s="379"/>
      <c r="O182" s="379"/>
      <c r="P182" s="379"/>
      <c r="Q182" s="379"/>
      <c r="R182" s="379"/>
      <c r="S182" s="379"/>
      <c r="T182" s="379"/>
      <c r="U182" s="379"/>
      <c r="V182" s="379"/>
    </row>
    <row r="183" spans="1:22" s="1" customFormat="1" ht="15.75" customHeight="1">
      <c r="A183" s="313" t="s">
        <v>274</v>
      </c>
      <c r="B183" s="313"/>
      <c r="C183" s="313"/>
      <c r="D183" s="313"/>
      <c r="E183" s="313"/>
      <c r="F183" s="313"/>
      <c r="G183" s="313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  <c r="T183" s="313"/>
      <c r="U183" s="313"/>
      <c r="V183" s="313"/>
    </row>
    <row r="184" spans="1:22" ht="20.25">
      <c r="A184" s="379" t="s">
        <v>332</v>
      </c>
      <c r="B184" s="470"/>
      <c r="C184" s="470"/>
      <c r="D184" s="470"/>
      <c r="E184" s="470"/>
      <c r="F184" s="470"/>
      <c r="G184" s="470"/>
      <c r="H184" s="470"/>
      <c r="I184" s="470"/>
      <c r="J184" s="470"/>
      <c r="K184" s="470"/>
      <c r="L184" s="470"/>
      <c r="M184" s="470"/>
      <c r="N184" s="470"/>
      <c r="O184" s="470"/>
      <c r="P184" s="470"/>
      <c r="Q184" s="470"/>
      <c r="R184" s="470"/>
      <c r="S184" s="470"/>
      <c r="T184" s="470"/>
      <c r="U184" s="470"/>
      <c r="V184" s="470"/>
    </row>
    <row r="185" spans="1:22" ht="15" customHeight="1">
      <c r="A185" s="510" t="s">
        <v>15</v>
      </c>
      <c r="B185" s="510" t="s">
        <v>64</v>
      </c>
      <c r="C185" s="510" t="s">
        <v>65</v>
      </c>
      <c r="D185" s="512" t="s">
        <v>66</v>
      </c>
      <c r="E185" s="283"/>
      <c r="F185" s="277" t="s">
        <v>88</v>
      </c>
      <c r="G185" s="278" t="s">
        <v>157</v>
      </c>
      <c r="H185" s="505" t="s">
        <v>84</v>
      </c>
      <c r="I185" s="505" t="s">
        <v>138</v>
      </c>
      <c r="J185" s="505"/>
      <c r="K185" s="506" t="s">
        <v>139</v>
      </c>
      <c r="L185" s="506"/>
      <c r="M185" s="506" t="s">
        <v>86</v>
      </c>
      <c r="N185" s="506"/>
      <c r="O185" s="506" t="s">
        <v>25</v>
      </c>
      <c r="P185" s="506"/>
      <c r="Q185" s="506" t="s">
        <v>87</v>
      </c>
      <c r="R185" s="505" t="s">
        <v>146</v>
      </c>
      <c r="S185" s="506" t="s">
        <v>140</v>
      </c>
      <c r="T185" s="506"/>
      <c r="U185" s="506"/>
      <c r="V185" s="506"/>
    </row>
    <row r="186" spans="1:22">
      <c r="A186" s="511"/>
      <c r="B186" s="511"/>
      <c r="C186" s="511"/>
      <c r="D186" s="513"/>
      <c r="E186" s="279"/>
      <c r="F186" s="280" t="s">
        <v>336</v>
      </c>
      <c r="G186" s="278"/>
      <c r="H186" s="505"/>
      <c r="I186" s="278" t="s">
        <v>85</v>
      </c>
      <c r="J186" s="278" t="s">
        <v>70</v>
      </c>
      <c r="K186" s="281" t="s">
        <v>85</v>
      </c>
      <c r="L186" s="281" t="s">
        <v>70</v>
      </c>
      <c r="M186" s="278" t="s">
        <v>86</v>
      </c>
      <c r="N186" s="281" t="s">
        <v>70</v>
      </c>
      <c r="O186" s="281" t="s">
        <v>25</v>
      </c>
      <c r="P186" s="281" t="s">
        <v>70</v>
      </c>
      <c r="Q186" s="506"/>
      <c r="R186" s="505"/>
      <c r="S186" s="281" t="s">
        <v>155</v>
      </c>
      <c r="T186" s="281" t="s">
        <v>156</v>
      </c>
      <c r="U186" s="281" t="s">
        <v>141</v>
      </c>
      <c r="V186" s="281" t="s">
        <v>70</v>
      </c>
    </row>
    <row r="187" spans="1:22">
      <c r="A187" s="285">
        <v>1</v>
      </c>
      <c r="B187" s="288" t="s">
        <v>225</v>
      </c>
      <c r="C187" s="273" t="s">
        <v>196</v>
      </c>
      <c r="D187" s="274">
        <v>17</v>
      </c>
      <c r="E187" s="274"/>
      <c r="F187" s="274">
        <v>42967</v>
      </c>
      <c r="G187" s="285">
        <v>4.5</v>
      </c>
      <c r="H187" s="285">
        <f>G187*F187</f>
        <v>193351.5</v>
      </c>
      <c r="I187" s="117"/>
      <c r="J187" s="285">
        <f>H187-I187</f>
        <v>193351.5</v>
      </c>
      <c r="K187" s="285">
        <f>I187/G187</f>
        <v>0</v>
      </c>
      <c r="L187" s="285">
        <f>F187-K187</f>
        <v>42967</v>
      </c>
      <c r="M187" s="117"/>
      <c r="N187" s="285">
        <f>F187-M187</f>
        <v>42967</v>
      </c>
      <c r="O187" s="285">
        <f>'Sec-8'!D14</f>
        <v>0</v>
      </c>
      <c r="P187" s="285">
        <f>F187-O187</f>
        <v>42967</v>
      </c>
      <c r="Q187" s="285">
        <f>M187-O187</f>
        <v>0</v>
      </c>
      <c r="R187" s="285">
        <f t="shared" ref="R187:R208" si="65">D187*M187/1000</f>
        <v>0</v>
      </c>
      <c r="S187" s="285">
        <f t="shared" ref="S187:S208" si="66">D187*F187/1000</f>
        <v>730.43899999999996</v>
      </c>
      <c r="T187" s="285">
        <f>S187/75</f>
        <v>9.7391866666666669</v>
      </c>
      <c r="U187" s="285">
        <f t="shared" ref="U187:U208" si="67">D187*K187/1000/75</f>
        <v>0</v>
      </c>
      <c r="V187" s="285">
        <f>T187-U187</f>
        <v>9.7391866666666669</v>
      </c>
    </row>
    <row r="188" spans="1:22">
      <c r="A188" s="285">
        <v>2</v>
      </c>
      <c r="B188" s="288" t="s">
        <v>173</v>
      </c>
      <c r="C188" s="273" t="s">
        <v>196</v>
      </c>
      <c r="D188" s="274">
        <v>8</v>
      </c>
      <c r="E188" s="274"/>
      <c r="F188" s="274">
        <v>42967</v>
      </c>
      <c r="G188" s="285">
        <v>2</v>
      </c>
      <c r="H188" s="285">
        <f t="shared" ref="H188:H208" si="68">G188*F188</f>
        <v>85934</v>
      </c>
      <c r="I188" s="117"/>
      <c r="J188" s="285">
        <f t="shared" ref="J188:J208" si="69">H188-I188</f>
        <v>85934</v>
      </c>
      <c r="K188" s="285">
        <f t="shared" ref="K188:K208" si="70">I188/G188</f>
        <v>0</v>
      </c>
      <c r="L188" s="285">
        <f t="shared" ref="L188:L208" si="71">F188-K188</f>
        <v>42967</v>
      </c>
      <c r="M188" s="117"/>
      <c r="N188" s="285">
        <f t="shared" ref="N188:N208" si="72">F188-M188</f>
        <v>42967</v>
      </c>
      <c r="O188" s="285">
        <f>'Sec-8'!E14</f>
        <v>0</v>
      </c>
      <c r="P188" s="285">
        <f t="shared" ref="P188:P208" si="73">F188-O188</f>
        <v>42967</v>
      </c>
      <c r="Q188" s="285">
        <f t="shared" ref="Q188:Q208" si="74">M188-O188</f>
        <v>0</v>
      </c>
      <c r="R188" s="285">
        <f t="shared" si="65"/>
        <v>0</v>
      </c>
      <c r="S188" s="285">
        <f t="shared" si="66"/>
        <v>343.73599999999999</v>
      </c>
      <c r="T188" s="285">
        <f t="shared" ref="T188:T208" si="75">S188/75</f>
        <v>4.5831466666666669</v>
      </c>
      <c r="U188" s="285">
        <f t="shared" si="67"/>
        <v>0</v>
      </c>
      <c r="V188" s="285">
        <f t="shared" ref="V188:V208" si="76">T188-U188</f>
        <v>4.5831466666666669</v>
      </c>
    </row>
    <row r="189" spans="1:22">
      <c r="A189" s="285">
        <v>3</v>
      </c>
      <c r="B189" s="288" t="s">
        <v>56</v>
      </c>
      <c r="C189" s="273" t="s">
        <v>196</v>
      </c>
      <c r="D189" s="274">
        <v>17.5</v>
      </c>
      <c r="E189" s="274"/>
      <c r="F189" s="274">
        <v>42967</v>
      </c>
      <c r="G189" s="285">
        <v>4.75</v>
      </c>
      <c r="H189" s="285">
        <f t="shared" si="68"/>
        <v>204093.25</v>
      </c>
      <c r="I189" s="117"/>
      <c r="J189" s="285">
        <f t="shared" si="69"/>
        <v>204093.25</v>
      </c>
      <c r="K189" s="285">
        <f t="shared" si="70"/>
        <v>0</v>
      </c>
      <c r="L189" s="285">
        <f t="shared" si="71"/>
        <v>42967</v>
      </c>
      <c r="M189" s="117"/>
      <c r="N189" s="285">
        <f t="shared" si="72"/>
        <v>42967</v>
      </c>
      <c r="O189" s="285">
        <f>'Sec-8'!F14</f>
        <v>0</v>
      </c>
      <c r="P189" s="285">
        <f t="shared" si="73"/>
        <v>42967</v>
      </c>
      <c r="Q189" s="285">
        <f t="shared" si="74"/>
        <v>0</v>
      </c>
      <c r="R189" s="285">
        <f t="shared" si="65"/>
        <v>0</v>
      </c>
      <c r="S189" s="285">
        <f t="shared" si="66"/>
        <v>751.92250000000001</v>
      </c>
      <c r="T189" s="285">
        <f t="shared" si="75"/>
        <v>10.025633333333333</v>
      </c>
      <c r="U189" s="285">
        <f t="shared" si="67"/>
        <v>0</v>
      </c>
      <c r="V189" s="285">
        <f t="shared" si="76"/>
        <v>10.025633333333333</v>
      </c>
    </row>
    <row r="190" spans="1:22">
      <c r="A190" s="285">
        <v>4</v>
      </c>
      <c r="B190" s="288" t="s">
        <v>27</v>
      </c>
      <c r="C190" s="273" t="s">
        <v>196</v>
      </c>
      <c r="D190" s="274">
        <v>20</v>
      </c>
      <c r="E190" s="274"/>
      <c r="F190" s="274">
        <v>42967</v>
      </c>
      <c r="G190" s="285">
        <v>5</v>
      </c>
      <c r="H190" s="285">
        <f t="shared" si="68"/>
        <v>214835</v>
      </c>
      <c r="I190" s="117"/>
      <c r="J190" s="285">
        <f t="shared" si="69"/>
        <v>214835</v>
      </c>
      <c r="K190" s="285">
        <f t="shared" si="70"/>
        <v>0</v>
      </c>
      <c r="L190" s="285">
        <f t="shared" si="71"/>
        <v>42967</v>
      </c>
      <c r="M190" s="117"/>
      <c r="N190" s="285">
        <f t="shared" si="72"/>
        <v>42967</v>
      </c>
      <c r="O190" s="285">
        <f>'Sec-8'!G14</f>
        <v>0</v>
      </c>
      <c r="P190" s="285">
        <f t="shared" si="73"/>
        <v>42967</v>
      </c>
      <c r="Q190" s="285">
        <f t="shared" si="74"/>
        <v>0</v>
      </c>
      <c r="R190" s="285">
        <f t="shared" si="65"/>
        <v>0</v>
      </c>
      <c r="S190" s="285">
        <f t="shared" si="66"/>
        <v>859.34</v>
      </c>
      <c r="T190" s="285">
        <f t="shared" si="75"/>
        <v>11.457866666666668</v>
      </c>
      <c r="U190" s="285">
        <f t="shared" si="67"/>
        <v>0</v>
      </c>
      <c r="V190" s="285">
        <f t="shared" si="76"/>
        <v>11.457866666666668</v>
      </c>
    </row>
    <row r="191" spans="1:22">
      <c r="A191" s="285">
        <v>5</v>
      </c>
      <c r="B191" s="288" t="s">
        <v>175</v>
      </c>
      <c r="C191" s="273" t="s">
        <v>196</v>
      </c>
      <c r="D191" s="274">
        <v>31</v>
      </c>
      <c r="E191" s="274"/>
      <c r="F191" s="274">
        <v>42967</v>
      </c>
      <c r="G191" s="285">
        <v>8.5</v>
      </c>
      <c r="H191" s="285">
        <f t="shared" si="68"/>
        <v>365219.5</v>
      </c>
      <c r="I191" s="117"/>
      <c r="J191" s="285">
        <f t="shared" si="69"/>
        <v>365219.5</v>
      </c>
      <c r="K191" s="285">
        <f t="shared" si="70"/>
        <v>0</v>
      </c>
      <c r="L191" s="285">
        <f t="shared" si="71"/>
        <v>42967</v>
      </c>
      <c r="M191" s="117"/>
      <c r="N191" s="285">
        <f t="shared" si="72"/>
        <v>42967</v>
      </c>
      <c r="O191" s="285">
        <f>'Sec-8'!H14</f>
        <v>0</v>
      </c>
      <c r="P191" s="285">
        <f t="shared" si="73"/>
        <v>42967</v>
      </c>
      <c r="Q191" s="285">
        <f t="shared" si="74"/>
        <v>0</v>
      </c>
      <c r="R191" s="285">
        <f t="shared" si="65"/>
        <v>0</v>
      </c>
      <c r="S191" s="285">
        <f t="shared" si="66"/>
        <v>1331.9770000000001</v>
      </c>
      <c r="T191" s="285">
        <f t="shared" si="75"/>
        <v>17.759693333333335</v>
      </c>
      <c r="U191" s="285">
        <f t="shared" si="67"/>
        <v>0</v>
      </c>
      <c r="V191" s="285">
        <f t="shared" si="76"/>
        <v>17.759693333333335</v>
      </c>
    </row>
    <row r="192" spans="1:22">
      <c r="A192" s="285">
        <v>6</v>
      </c>
      <c r="B192" s="288" t="s">
        <v>31</v>
      </c>
      <c r="C192" s="273" t="s">
        <v>196</v>
      </c>
      <c r="D192" s="274">
        <v>23.5</v>
      </c>
      <c r="E192" s="274"/>
      <c r="F192" s="274">
        <v>42967</v>
      </c>
      <c r="G192" s="285">
        <v>6.75</v>
      </c>
      <c r="H192" s="285">
        <f t="shared" si="68"/>
        <v>290027.25</v>
      </c>
      <c r="I192" s="117"/>
      <c r="J192" s="285">
        <f t="shared" si="69"/>
        <v>290027.25</v>
      </c>
      <c r="K192" s="285">
        <f t="shared" si="70"/>
        <v>0</v>
      </c>
      <c r="L192" s="285">
        <f t="shared" si="71"/>
        <v>42967</v>
      </c>
      <c r="M192" s="117"/>
      <c r="N192" s="285">
        <f t="shared" si="72"/>
        <v>42967</v>
      </c>
      <c r="O192" s="285">
        <f>'Sec-8'!I14</f>
        <v>0</v>
      </c>
      <c r="P192" s="285">
        <f t="shared" si="73"/>
        <v>42967</v>
      </c>
      <c r="Q192" s="285">
        <f t="shared" si="74"/>
        <v>0</v>
      </c>
      <c r="R192" s="285">
        <f t="shared" si="65"/>
        <v>0</v>
      </c>
      <c r="S192" s="285">
        <f t="shared" si="66"/>
        <v>1009.7245</v>
      </c>
      <c r="T192" s="285">
        <f t="shared" si="75"/>
        <v>13.462993333333333</v>
      </c>
      <c r="U192" s="285">
        <f t="shared" si="67"/>
        <v>0</v>
      </c>
      <c r="V192" s="285">
        <f t="shared" si="76"/>
        <v>13.462993333333333</v>
      </c>
    </row>
    <row r="193" spans="1:22">
      <c r="A193" s="285">
        <v>7</v>
      </c>
      <c r="B193" s="288" t="s">
        <v>72</v>
      </c>
      <c r="C193" s="273" t="s">
        <v>196</v>
      </c>
      <c r="D193" s="274">
        <v>18.5</v>
      </c>
      <c r="E193" s="274"/>
      <c r="F193" s="274">
        <v>42967</v>
      </c>
      <c r="G193" s="285">
        <v>5.25</v>
      </c>
      <c r="H193" s="285">
        <f t="shared" si="68"/>
        <v>225576.75</v>
      </c>
      <c r="I193" s="117"/>
      <c r="J193" s="285">
        <f t="shared" si="69"/>
        <v>225576.75</v>
      </c>
      <c r="K193" s="285">
        <f t="shared" si="70"/>
        <v>0</v>
      </c>
      <c r="L193" s="285">
        <f t="shared" si="71"/>
        <v>42967</v>
      </c>
      <c r="M193" s="117"/>
      <c r="N193" s="285">
        <f t="shared" si="72"/>
        <v>42967</v>
      </c>
      <c r="O193" s="285">
        <f>'Sec-8'!J14</f>
        <v>0</v>
      </c>
      <c r="P193" s="285">
        <f t="shared" si="73"/>
        <v>42967</v>
      </c>
      <c r="Q193" s="285">
        <f t="shared" si="74"/>
        <v>0</v>
      </c>
      <c r="R193" s="285">
        <f t="shared" si="65"/>
        <v>0</v>
      </c>
      <c r="S193" s="285">
        <f t="shared" si="66"/>
        <v>794.8895</v>
      </c>
      <c r="T193" s="285">
        <f t="shared" si="75"/>
        <v>10.598526666666666</v>
      </c>
      <c r="U193" s="285">
        <f t="shared" si="67"/>
        <v>0</v>
      </c>
      <c r="V193" s="285">
        <f t="shared" si="76"/>
        <v>10.598526666666666</v>
      </c>
    </row>
    <row r="194" spans="1:22">
      <c r="A194" s="285">
        <v>8</v>
      </c>
      <c r="B194" s="288" t="s">
        <v>32</v>
      </c>
      <c r="C194" s="273" t="s">
        <v>196</v>
      </c>
      <c r="D194" s="274">
        <v>20</v>
      </c>
      <c r="E194" s="274"/>
      <c r="F194" s="274">
        <v>42967</v>
      </c>
      <c r="G194" s="285">
        <v>5</v>
      </c>
      <c r="H194" s="285">
        <f t="shared" si="68"/>
        <v>214835</v>
      </c>
      <c r="I194" s="117"/>
      <c r="J194" s="285">
        <f t="shared" si="69"/>
        <v>214835</v>
      </c>
      <c r="K194" s="285">
        <f t="shared" si="70"/>
        <v>0</v>
      </c>
      <c r="L194" s="285">
        <f t="shared" si="71"/>
        <v>42967</v>
      </c>
      <c r="M194" s="117"/>
      <c r="N194" s="285">
        <f t="shared" si="72"/>
        <v>42967</v>
      </c>
      <c r="O194" s="285">
        <f>'Sec-8'!K14</f>
        <v>0</v>
      </c>
      <c r="P194" s="285">
        <f t="shared" si="73"/>
        <v>42967</v>
      </c>
      <c r="Q194" s="285">
        <f t="shared" si="74"/>
        <v>0</v>
      </c>
      <c r="R194" s="285">
        <f t="shared" si="65"/>
        <v>0</v>
      </c>
      <c r="S194" s="285">
        <f t="shared" si="66"/>
        <v>859.34</v>
      </c>
      <c r="T194" s="285">
        <f t="shared" si="75"/>
        <v>11.457866666666668</v>
      </c>
      <c r="U194" s="285">
        <f t="shared" si="67"/>
        <v>0</v>
      </c>
      <c r="V194" s="285">
        <f t="shared" si="76"/>
        <v>11.457866666666668</v>
      </c>
    </row>
    <row r="195" spans="1:22">
      <c r="A195" s="285">
        <v>9</v>
      </c>
      <c r="B195" s="288" t="s">
        <v>43</v>
      </c>
      <c r="C195" s="273" t="s">
        <v>196</v>
      </c>
      <c r="D195" s="274">
        <v>9</v>
      </c>
      <c r="E195" s="274"/>
      <c r="F195" s="274">
        <v>4000</v>
      </c>
      <c r="G195" s="285">
        <v>2.5</v>
      </c>
      <c r="H195" s="285">
        <f t="shared" si="68"/>
        <v>10000</v>
      </c>
      <c r="I195" s="117"/>
      <c r="J195" s="285">
        <f t="shared" si="69"/>
        <v>10000</v>
      </c>
      <c r="K195" s="285">
        <f t="shared" si="70"/>
        <v>0</v>
      </c>
      <c r="L195" s="285">
        <f t="shared" si="71"/>
        <v>4000</v>
      </c>
      <c r="M195" s="117"/>
      <c r="N195" s="285">
        <f t="shared" si="72"/>
        <v>4000</v>
      </c>
      <c r="O195" s="285">
        <f>'Sec-8'!L14</f>
        <v>0</v>
      </c>
      <c r="P195" s="285">
        <f t="shared" si="73"/>
        <v>4000</v>
      </c>
      <c r="Q195" s="285">
        <f t="shared" si="74"/>
        <v>0</v>
      </c>
      <c r="R195" s="285">
        <f t="shared" si="65"/>
        <v>0</v>
      </c>
      <c r="S195" s="285">
        <f t="shared" si="66"/>
        <v>36</v>
      </c>
      <c r="T195" s="285">
        <f t="shared" si="75"/>
        <v>0.48</v>
      </c>
      <c r="U195" s="285">
        <f t="shared" si="67"/>
        <v>0</v>
      </c>
      <c r="V195" s="285">
        <f t="shared" si="76"/>
        <v>0.48</v>
      </c>
    </row>
    <row r="196" spans="1:22">
      <c r="A196" s="285">
        <v>10</v>
      </c>
      <c r="B196" s="288" t="s">
        <v>73</v>
      </c>
      <c r="C196" s="273" t="s">
        <v>196</v>
      </c>
      <c r="D196" s="274">
        <v>10.5</v>
      </c>
      <c r="E196" s="274"/>
      <c r="F196" s="274">
        <v>42967</v>
      </c>
      <c r="G196" s="285">
        <v>3.25</v>
      </c>
      <c r="H196" s="285">
        <f t="shared" si="68"/>
        <v>139642.75</v>
      </c>
      <c r="I196" s="117"/>
      <c r="J196" s="285">
        <f t="shared" si="69"/>
        <v>139642.75</v>
      </c>
      <c r="K196" s="285">
        <f t="shared" si="70"/>
        <v>0</v>
      </c>
      <c r="L196" s="285">
        <f t="shared" si="71"/>
        <v>42967</v>
      </c>
      <c r="M196" s="117"/>
      <c r="N196" s="285">
        <f t="shared" si="72"/>
        <v>42967</v>
      </c>
      <c r="O196" s="285">
        <f>'Sec-8'!M14</f>
        <v>0</v>
      </c>
      <c r="P196" s="285">
        <f t="shared" si="73"/>
        <v>42967</v>
      </c>
      <c r="Q196" s="285">
        <f t="shared" si="74"/>
        <v>0</v>
      </c>
      <c r="R196" s="285">
        <f t="shared" si="65"/>
        <v>0</v>
      </c>
      <c r="S196" s="285">
        <f t="shared" si="66"/>
        <v>451.15350000000001</v>
      </c>
      <c r="T196" s="285">
        <f t="shared" si="75"/>
        <v>6.0153800000000004</v>
      </c>
      <c r="U196" s="285">
        <f t="shared" si="67"/>
        <v>0</v>
      </c>
      <c r="V196" s="285">
        <f t="shared" si="76"/>
        <v>6.0153800000000004</v>
      </c>
    </row>
    <row r="197" spans="1:22">
      <c r="A197" s="285">
        <v>11</v>
      </c>
      <c r="B197" s="288" t="s">
        <v>74</v>
      </c>
      <c r="C197" s="273" t="s">
        <v>196</v>
      </c>
      <c r="D197" s="274">
        <v>9</v>
      </c>
      <c r="E197" s="274"/>
      <c r="F197" s="274">
        <v>2250</v>
      </c>
      <c r="G197" s="285">
        <v>2.5</v>
      </c>
      <c r="H197" s="285">
        <f t="shared" si="68"/>
        <v>5625</v>
      </c>
      <c r="I197" s="117"/>
      <c r="J197" s="285">
        <f t="shared" si="69"/>
        <v>5625</v>
      </c>
      <c r="K197" s="285">
        <f t="shared" si="70"/>
        <v>0</v>
      </c>
      <c r="L197" s="285">
        <f t="shared" si="71"/>
        <v>2250</v>
      </c>
      <c r="M197" s="117"/>
      <c r="N197" s="285">
        <f t="shared" si="72"/>
        <v>2250</v>
      </c>
      <c r="O197" s="285">
        <f>'Sec-8'!N14</f>
        <v>0</v>
      </c>
      <c r="P197" s="285">
        <f t="shared" si="73"/>
        <v>2250</v>
      </c>
      <c r="Q197" s="285">
        <f t="shared" si="74"/>
        <v>0</v>
      </c>
      <c r="R197" s="285">
        <f t="shared" si="65"/>
        <v>0</v>
      </c>
      <c r="S197" s="285">
        <f t="shared" si="66"/>
        <v>20.25</v>
      </c>
      <c r="T197" s="285">
        <f t="shared" si="75"/>
        <v>0.27</v>
      </c>
      <c r="U197" s="285">
        <f t="shared" si="67"/>
        <v>0</v>
      </c>
      <c r="V197" s="285">
        <f t="shared" si="76"/>
        <v>0.27</v>
      </c>
    </row>
    <row r="198" spans="1:22">
      <c r="A198" s="285">
        <v>12</v>
      </c>
      <c r="B198" s="288" t="s">
        <v>192</v>
      </c>
      <c r="C198" s="273" t="s">
        <v>196</v>
      </c>
      <c r="D198" s="274">
        <v>10.5</v>
      </c>
      <c r="E198" s="274"/>
      <c r="F198" s="274">
        <v>1050</v>
      </c>
      <c r="G198" s="285">
        <v>3.25</v>
      </c>
      <c r="H198" s="285">
        <f t="shared" si="68"/>
        <v>3412.5</v>
      </c>
      <c r="I198" s="117"/>
      <c r="J198" s="285">
        <f t="shared" si="69"/>
        <v>3412.5</v>
      </c>
      <c r="K198" s="285">
        <f t="shared" si="70"/>
        <v>0</v>
      </c>
      <c r="L198" s="285">
        <f t="shared" si="71"/>
        <v>1050</v>
      </c>
      <c r="M198" s="117"/>
      <c r="N198" s="285">
        <f t="shared" si="72"/>
        <v>1050</v>
      </c>
      <c r="O198" s="285">
        <f>'Sec-8'!O14</f>
        <v>0</v>
      </c>
      <c r="P198" s="285">
        <f t="shared" si="73"/>
        <v>1050</v>
      </c>
      <c r="Q198" s="285">
        <f t="shared" si="74"/>
        <v>0</v>
      </c>
      <c r="R198" s="285">
        <f t="shared" si="65"/>
        <v>0</v>
      </c>
      <c r="S198" s="285">
        <f t="shared" si="66"/>
        <v>11.025</v>
      </c>
      <c r="T198" s="285">
        <f t="shared" si="75"/>
        <v>0.14699999999999999</v>
      </c>
      <c r="U198" s="285">
        <f t="shared" si="67"/>
        <v>0</v>
      </c>
      <c r="V198" s="285">
        <f t="shared" si="76"/>
        <v>0.14699999999999999</v>
      </c>
    </row>
    <row r="199" spans="1:22">
      <c r="A199" s="285">
        <v>13</v>
      </c>
      <c r="B199" s="288" t="s">
        <v>47</v>
      </c>
      <c r="C199" s="273" t="s">
        <v>196</v>
      </c>
      <c r="D199" s="274">
        <v>17</v>
      </c>
      <c r="E199" s="274"/>
      <c r="F199" s="274">
        <v>27326</v>
      </c>
      <c r="G199" s="285">
        <v>4.5</v>
      </c>
      <c r="H199" s="285">
        <f t="shared" si="68"/>
        <v>122967</v>
      </c>
      <c r="I199" s="117"/>
      <c r="J199" s="285">
        <f t="shared" si="69"/>
        <v>122967</v>
      </c>
      <c r="K199" s="285">
        <f t="shared" si="70"/>
        <v>0</v>
      </c>
      <c r="L199" s="285">
        <f t="shared" si="71"/>
        <v>27326</v>
      </c>
      <c r="M199" s="117"/>
      <c r="N199" s="285">
        <f t="shared" si="72"/>
        <v>27326</v>
      </c>
      <c r="O199" s="285">
        <f>'Sec-8'!P14</f>
        <v>0</v>
      </c>
      <c r="P199" s="285">
        <f t="shared" si="73"/>
        <v>27326</v>
      </c>
      <c r="Q199" s="285">
        <f t="shared" si="74"/>
        <v>0</v>
      </c>
      <c r="R199" s="285">
        <f t="shared" si="65"/>
        <v>0</v>
      </c>
      <c r="S199" s="285">
        <f t="shared" si="66"/>
        <v>464.54199999999997</v>
      </c>
      <c r="T199" s="285">
        <f t="shared" si="75"/>
        <v>6.1938933333333326</v>
      </c>
      <c r="U199" s="285">
        <f t="shared" si="67"/>
        <v>0</v>
      </c>
      <c r="V199" s="285">
        <f t="shared" si="76"/>
        <v>6.1938933333333326</v>
      </c>
    </row>
    <row r="200" spans="1:22">
      <c r="A200" s="285">
        <v>14</v>
      </c>
      <c r="B200" s="288" t="s">
        <v>226</v>
      </c>
      <c r="C200" s="273" t="s">
        <v>196</v>
      </c>
      <c r="D200" s="274">
        <v>17</v>
      </c>
      <c r="E200" s="274"/>
      <c r="F200" s="274">
        <v>8341</v>
      </c>
      <c r="G200" s="285">
        <v>4.5</v>
      </c>
      <c r="H200" s="285">
        <f t="shared" si="68"/>
        <v>37534.5</v>
      </c>
      <c r="I200" s="117"/>
      <c r="J200" s="285">
        <f t="shared" si="69"/>
        <v>37534.5</v>
      </c>
      <c r="K200" s="285">
        <f t="shared" si="70"/>
        <v>0</v>
      </c>
      <c r="L200" s="285">
        <f t="shared" si="71"/>
        <v>8341</v>
      </c>
      <c r="M200" s="117"/>
      <c r="N200" s="285">
        <f t="shared" si="72"/>
        <v>8341</v>
      </c>
      <c r="O200" s="285">
        <f>'Sec-8'!Q14</f>
        <v>0</v>
      </c>
      <c r="P200" s="285">
        <f t="shared" si="73"/>
        <v>8341</v>
      </c>
      <c r="Q200" s="285">
        <f t="shared" si="74"/>
        <v>0</v>
      </c>
      <c r="R200" s="285">
        <f t="shared" si="65"/>
        <v>0</v>
      </c>
      <c r="S200" s="285">
        <f t="shared" si="66"/>
        <v>141.797</v>
      </c>
      <c r="T200" s="285">
        <f t="shared" si="75"/>
        <v>1.8906266666666667</v>
      </c>
      <c r="U200" s="285">
        <f t="shared" si="67"/>
        <v>0</v>
      </c>
      <c r="V200" s="285">
        <f t="shared" si="76"/>
        <v>1.8906266666666667</v>
      </c>
    </row>
    <row r="201" spans="1:22">
      <c r="A201" s="285">
        <v>15</v>
      </c>
      <c r="B201" s="288" t="s">
        <v>180</v>
      </c>
      <c r="C201" s="273" t="s">
        <v>196</v>
      </c>
      <c r="D201" s="274">
        <v>17.5</v>
      </c>
      <c r="E201" s="274"/>
      <c r="F201" s="274">
        <v>31938</v>
      </c>
      <c r="G201" s="285">
        <v>4.75</v>
      </c>
      <c r="H201" s="285">
        <f t="shared" si="68"/>
        <v>151705.5</v>
      </c>
      <c r="I201" s="117"/>
      <c r="J201" s="285">
        <f t="shared" si="69"/>
        <v>151705.5</v>
      </c>
      <c r="K201" s="285">
        <f t="shared" si="70"/>
        <v>0</v>
      </c>
      <c r="L201" s="285">
        <f t="shared" si="71"/>
        <v>31938</v>
      </c>
      <c r="M201" s="117"/>
      <c r="N201" s="285">
        <f t="shared" si="72"/>
        <v>31938</v>
      </c>
      <c r="O201" s="285">
        <f>'Sec-8'!R14</f>
        <v>0</v>
      </c>
      <c r="P201" s="285">
        <f t="shared" si="73"/>
        <v>31938</v>
      </c>
      <c r="Q201" s="285">
        <f t="shared" si="74"/>
        <v>0</v>
      </c>
      <c r="R201" s="285">
        <f t="shared" si="65"/>
        <v>0</v>
      </c>
      <c r="S201" s="285">
        <f t="shared" si="66"/>
        <v>558.91499999999996</v>
      </c>
      <c r="T201" s="285">
        <f t="shared" si="75"/>
        <v>7.4521999999999995</v>
      </c>
      <c r="U201" s="285">
        <f t="shared" si="67"/>
        <v>0</v>
      </c>
      <c r="V201" s="285">
        <f t="shared" si="76"/>
        <v>7.4521999999999995</v>
      </c>
    </row>
    <row r="202" spans="1:22">
      <c r="A202" s="285">
        <v>16</v>
      </c>
      <c r="B202" s="288" t="s">
        <v>181</v>
      </c>
      <c r="C202" s="273" t="s">
        <v>196</v>
      </c>
      <c r="D202" s="274">
        <v>14.5</v>
      </c>
      <c r="E202" s="274"/>
      <c r="F202" s="274">
        <v>8464</v>
      </c>
      <c r="G202" s="285">
        <v>4.25</v>
      </c>
      <c r="H202" s="285">
        <f t="shared" si="68"/>
        <v>35972</v>
      </c>
      <c r="I202" s="117"/>
      <c r="J202" s="285">
        <f t="shared" si="69"/>
        <v>35972</v>
      </c>
      <c r="K202" s="285">
        <f t="shared" si="70"/>
        <v>0</v>
      </c>
      <c r="L202" s="285">
        <f t="shared" si="71"/>
        <v>8464</v>
      </c>
      <c r="M202" s="117"/>
      <c r="N202" s="285">
        <f t="shared" si="72"/>
        <v>8464</v>
      </c>
      <c r="O202" s="285">
        <f>'Sec-8'!S14</f>
        <v>0</v>
      </c>
      <c r="P202" s="285">
        <f t="shared" si="73"/>
        <v>8464</v>
      </c>
      <c r="Q202" s="285">
        <f t="shared" si="74"/>
        <v>0</v>
      </c>
      <c r="R202" s="285">
        <f t="shared" si="65"/>
        <v>0</v>
      </c>
      <c r="S202" s="285">
        <f t="shared" si="66"/>
        <v>122.72799999999999</v>
      </c>
      <c r="T202" s="285">
        <f t="shared" si="75"/>
        <v>1.6363733333333332</v>
      </c>
      <c r="U202" s="285">
        <f t="shared" si="67"/>
        <v>0</v>
      </c>
      <c r="V202" s="285">
        <f t="shared" si="76"/>
        <v>1.6363733333333332</v>
      </c>
    </row>
    <row r="203" spans="1:22">
      <c r="A203" s="285">
        <v>17</v>
      </c>
      <c r="B203" s="288" t="s">
        <v>76</v>
      </c>
      <c r="C203" s="273" t="s">
        <v>196</v>
      </c>
      <c r="D203" s="274">
        <v>14</v>
      </c>
      <c r="E203" s="274"/>
      <c r="F203" s="274">
        <v>1205</v>
      </c>
      <c r="G203" s="285">
        <v>4</v>
      </c>
      <c r="H203" s="285">
        <f t="shared" si="68"/>
        <v>4820</v>
      </c>
      <c r="I203" s="117"/>
      <c r="J203" s="285">
        <f t="shared" si="69"/>
        <v>4820</v>
      </c>
      <c r="K203" s="285">
        <f t="shared" si="70"/>
        <v>0</v>
      </c>
      <c r="L203" s="285">
        <f t="shared" si="71"/>
        <v>1205</v>
      </c>
      <c r="M203" s="117"/>
      <c r="N203" s="285">
        <f t="shared" si="72"/>
        <v>1205</v>
      </c>
      <c r="O203" s="285">
        <f>'Sec-8'!T14</f>
        <v>0</v>
      </c>
      <c r="P203" s="285">
        <f t="shared" si="73"/>
        <v>1205</v>
      </c>
      <c r="Q203" s="285">
        <f t="shared" si="74"/>
        <v>0</v>
      </c>
      <c r="R203" s="285">
        <f t="shared" si="65"/>
        <v>0</v>
      </c>
      <c r="S203" s="285">
        <f t="shared" si="66"/>
        <v>16.87</v>
      </c>
      <c r="T203" s="285">
        <f t="shared" si="75"/>
        <v>0.22493333333333335</v>
      </c>
      <c r="U203" s="285">
        <f t="shared" si="67"/>
        <v>0</v>
      </c>
      <c r="V203" s="285">
        <f t="shared" si="76"/>
        <v>0.22493333333333335</v>
      </c>
    </row>
    <row r="204" spans="1:22">
      <c r="A204" s="285">
        <v>18</v>
      </c>
      <c r="B204" s="288" t="s">
        <v>51</v>
      </c>
      <c r="C204" s="273" t="s">
        <v>196</v>
      </c>
      <c r="D204" s="274">
        <v>17</v>
      </c>
      <c r="E204" s="274"/>
      <c r="F204" s="274">
        <v>1610</v>
      </c>
      <c r="G204" s="285">
        <v>4.5</v>
      </c>
      <c r="H204" s="285">
        <f t="shared" si="68"/>
        <v>7245</v>
      </c>
      <c r="I204" s="117"/>
      <c r="J204" s="285">
        <f t="shared" si="69"/>
        <v>7245</v>
      </c>
      <c r="K204" s="285">
        <f t="shared" si="70"/>
        <v>0</v>
      </c>
      <c r="L204" s="285">
        <f t="shared" si="71"/>
        <v>1610</v>
      </c>
      <c r="M204" s="117"/>
      <c r="N204" s="285">
        <f t="shared" si="72"/>
        <v>1610</v>
      </c>
      <c r="O204" s="285">
        <f>'Sec-8'!U14</f>
        <v>0</v>
      </c>
      <c r="P204" s="285">
        <f t="shared" si="73"/>
        <v>1610</v>
      </c>
      <c r="Q204" s="285">
        <f t="shared" si="74"/>
        <v>0</v>
      </c>
      <c r="R204" s="285">
        <f t="shared" si="65"/>
        <v>0</v>
      </c>
      <c r="S204" s="285">
        <f t="shared" si="66"/>
        <v>27.37</v>
      </c>
      <c r="T204" s="285">
        <f t="shared" si="75"/>
        <v>0.36493333333333333</v>
      </c>
      <c r="U204" s="285">
        <f t="shared" si="67"/>
        <v>0</v>
      </c>
      <c r="V204" s="285">
        <f t="shared" si="76"/>
        <v>0.36493333333333333</v>
      </c>
    </row>
    <row r="205" spans="1:22">
      <c r="A205" s="285">
        <v>19</v>
      </c>
      <c r="B205" s="288" t="s">
        <v>112</v>
      </c>
      <c r="C205" s="273" t="s">
        <v>196</v>
      </c>
      <c r="D205" s="274">
        <v>15</v>
      </c>
      <c r="E205" s="274"/>
      <c r="F205" s="274">
        <v>0</v>
      </c>
      <c r="G205" s="285">
        <v>4.5</v>
      </c>
      <c r="H205" s="285">
        <f t="shared" si="68"/>
        <v>0</v>
      </c>
      <c r="I205" s="117"/>
      <c r="J205" s="285">
        <f t="shared" si="69"/>
        <v>0</v>
      </c>
      <c r="K205" s="285">
        <f t="shared" si="70"/>
        <v>0</v>
      </c>
      <c r="L205" s="285">
        <f t="shared" si="71"/>
        <v>0</v>
      </c>
      <c r="M205" s="117"/>
      <c r="N205" s="285">
        <f t="shared" si="72"/>
        <v>0</v>
      </c>
      <c r="O205" s="285">
        <f>'Sec-8'!V14</f>
        <v>0</v>
      </c>
      <c r="P205" s="285">
        <f t="shared" si="73"/>
        <v>0</v>
      </c>
      <c r="Q205" s="285">
        <f t="shared" si="74"/>
        <v>0</v>
      </c>
      <c r="R205" s="285">
        <f t="shared" si="65"/>
        <v>0</v>
      </c>
      <c r="S205" s="285">
        <f t="shared" si="66"/>
        <v>0</v>
      </c>
      <c r="T205" s="285">
        <f t="shared" si="75"/>
        <v>0</v>
      </c>
      <c r="U205" s="285">
        <f t="shared" si="67"/>
        <v>0</v>
      </c>
      <c r="V205" s="285">
        <f t="shared" si="76"/>
        <v>0</v>
      </c>
    </row>
    <row r="206" spans="1:22">
      <c r="A206" s="285">
        <v>20</v>
      </c>
      <c r="B206" s="288" t="s">
        <v>217</v>
      </c>
      <c r="C206" s="273" t="s">
        <v>196</v>
      </c>
      <c r="D206" s="274">
        <v>18.5</v>
      </c>
      <c r="E206" s="274"/>
      <c r="F206" s="274">
        <v>20</v>
      </c>
      <c r="G206" s="285">
        <v>5.25</v>
      </c>
      <c r="H206" s="285">
        <f t="shared" si="68"/>
        <v>105</v>
      </c>
      <c r="I206" s="117"/>
      <c r="J206" s="285">
        <f t="shared" si="69"/>
        <v>105</v>
      </c>
      <c r="K206" s="285">
        <f t="shared" si="70"/>
        <v>0</v>
      </c>
      <c r="L206" s="285">
        <f t="shared" si="71"/>
        <v>20</v>
      </c>
      <c r="M206" s="117"/>
      <c r="N206" s="285">
        <f t="shared" si="72"/>
        <v>20</v>
      </c>
      <c r="O206" s="285">
        <f>'Sec-8'!W14</f>
        <v>0</v>
      </c>
      <c r="P206" s="285">
        <f t="shared" si="73"/>
        <v>20</v>
      </c>
      <c r="Q206" s="285">
        <f t="shared" si="74"/>
        <v>0</v>
      </c>
      <c r="R206" s="285">
        <f t="shared" si="65"/>
        <v>0</v>
      </c>
      <c r="S206" s="285">
        <f t="shared" si="66"/>
        <v>0.37</v>
      </c>
      <c r="T206" s="285">
        <f t="shared" si="75"/>
        <v>4.933333333333333E-3</v>
      </c>
      <c r="U206" s="285">
        <f t="shared" si="67"/>
        <v>0</v>
      </c>
      <c r="V206" s="285">
        <f t="shared" si="76"/>
        <v>4.933333333333333E-3</v>
      </c>
    </row>
    <row r="207" spans="1:22">
      <c r="A207" s="285">
        <v>21</v>
      </c>
      <c r="B207" s="288" t="s">
        <v>149</v>
      </c>
      <c r="C207" s="273" t="s">
        <v>196</v>
      </c>
      <c r="D207" s="274">
        <v>19.5</v>
      </c>
      <c r="E207" s="274"/>
      <c r="F207" s="274">
        <v>0</v>
      </c>
      <c r="G207" s="285">
        <v>5.75</v>
      </c>
      <c r="H207" s="285">
        <f t="shared" si="68"/>
        <v>0</v>
      </c>
      <c r="I207" s="117"/>
      <c r="J207" s="285">
        <f t="shared" si="69"/>
        <v>0</v>
      </c>
      <c r="K207" s="285">
        <f t="shared" si="70"/>
        <v>0</v>
      </c>
      <c r="L207" s="285">
        <f t="shared" si="71"/>
        <v>0</v>
      </c>
      <c r="M207" s="117"/>
      <c r="N207" s="285">
        <f t="shared" si="72"/>
        <v>0</v>
      </c>
      <c r="O207" s="285">
        <f>'Sec-8'!X14</f>
        <v>0</v>
      </c>
      <c r="P207" s="285">
        <f t="shared" si="73"/>
        <v>0</v>
      </c>
      <c r="Q207" s="285">
        <f t="shared" si="74"/>
        <v>0</v>
      </c>
      <c r="R207" s="285">
        <f t="shared" si="65"/>
        <v>0</v>
      </c>
      <c r="S207" s="285">
        <f t="shared" si="66"/>
        <v>0</v>
      </c>
      <c r="T207" s="285">
        <f t="shared" si="75"/>
        <v>0</v>
      </c>
      <c r="U207" s="285">
        <f t="shared" si="67"/>
        <v>0</v>
      </c>
      <c r="V207" s="285">
        <f t="shared" si="76"/>
        <v>0</v>
      </c>
    </row>
    <row r="208" spans="1:22">
      <c r="A208" s="285">
        <v>22</v>
      </c>
      <c r="B208" s="288" t="s">
        <v>99</v>
      </c>
      <c r="C208" s="273" t="s">
        <v>196</v>
      </c>
      <c r="D208" s="274">
        <v>12.5</v>
      </c>
      <c r="E208" s="274"/>
      <c r="F208" s="274">
        <v>30</v>
      </c>
      <c r="G208" s="285">
        <v>3.25</v>
      </c>
      <c r="H208" s="285">
        <f t="shared" si="68"/>
        <v>97.5</v>
      </c>
      <c r="I208" s="117"/>
      <c r="J208" s="285">
        <f t="shared" si="69"/>
        <v>97.5</v>
      </c>
      <c r="K208" s="285">
        <f t="shared" si="70"/>
        <v>0</v>
      </c>
      <c r="L208" s="285">
        <f t="shared" si="71"/>
        <v>30</v>
      </c>
      <c r="M208" s="117"/>
      <c r="N208" s="285">
        <f t="shared" si="72"/>
        <v>30</v>
      </c>
      <c r="O208" s="285">
        <f>'Sec-8'!Y14</f>
        <v>0</v>
      </c>
      <c r="P208" s="285">
        <f t="shared" si="73"/>
        <v>30</v>
      </c>
      <c r="Q208" s="285">
        <f t="shared" si="74"/>
        <v>0</v>
      </c>
      <c r="R208" s="285">
        <f t="shared" si="65"/>
        <v>0</v>
      </c>
      <c r="S208" s="285">
        <f t="shared" si="66"/>
        <v>0.375</v>
      </c>
      <c r="T208" s="285">
        <f t="shared" si="75"/>
        <v>5.0000000000000001E-3</v>
      </c>
      <c r="U208" s="285">
        <f t="shared" si="67"/>
        <v>0</v>
      </c>
      <c r="V208" s="285">
        <f t="shared" si="76"/>
        <v>5.0000000000000001E-3</v>
      </c>
    </row>
    <row r="209" spans="1:22">
      <c r="A209" s="507" t="s">
        <v>67</v>
      </c>
      <c r="B209" s="508"/>
      <c r="C209" s="508"/>
      <c r="D209" s="509"/>
      <c r="E209" s="282"/>
      <c r="F209" s="282">
        <f t="shared" ref="F209:V209" si="77">SUM(F187:F208)</f>
        <v>472937</v>
      </c>
      <c r="G209" s="282">
        <f t="shared" si="77"/>
        <v>98.5</v>
      </c>
      <c r="H209" s="282">
        <f t="shared" si="77"/>
        <v>2312999</v>
      </c>
      <c r="I209" s="282">
        <f t="shared" si="77"/>
        <v>0</v>
      </c>
      <c r="J209" s="282">
        <f t="shared" si="77"/>
        <v>2312999</v>
      </c>
      <c r="K209" s="282">
        <f t="shared" si="77"/>
        <v>0</v>
      </c>
      <c r="L209" s="282">
        <f t="shared" si="77"/>
        <v>472937</v>
      </c>
      <c r="M209" s="282">
        <f t="shared" si="77"/>
        <v>0</v>
      </c>
      <c r="N209" s="282">
        <f t="shared" si="77"/>
        <v>472937</v>
      </c>
      <c r="O209" s="282">
        <f t="shared" si="77"/>
        <v>0</v>
      </c>
      <c r="P209" s="282">
        <f t="shared" si="77"/>
        <v>472937</v>
      </c>
      <c r="Q209" s="282">
        <f t="shared" si="77"/>
        <v>0</v>
      </c>
      <c r="R209" s="282">
        <f t="shared" si="77"/>
        <v>0</v>
      </c>
      <c r="S209" s="282">
        <f t="shared" si="77"/>
        <v>8532.764000000001</v>
      </c>
      <c r="T209" s="282">
        <f t="shared" si="77"/>
        <v>113.77018666666669</v>
      </c>
      <c r="U209" s="282">
        <f t="shared" si="77"/>
        <v>0</v>
      </c>
      <c r="V209" s="282">
        <f t="shared" si="77"/>
        <v>113.77018666666669</v>
      </c>
    </row>
    <row r="211" spans="1:22">
      <c r="S211" s="85"/>
      <c r="T211" s="85"/>
      <c r="U211" s="85"/>
      <c r="V211" s="85"/>
    </row>
    <row r="212" spans="1:22" s="11" customFormat="1" ht="15.75">
      <c r="A212" s="61"/>
      <c r="B212" s="61"/>
      <c r="C212" s="61"/>
      <c r="D212" s="61"/>
      <c r="E212" s="61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462" t="s">
        <v>254</v>
      </c>
      <c r="T212" s="462"/>
      <c r="U212" s="462"/>
      <c r="V212" s="462"/>
    </row>
    <row r="218" spans="1:22" s="1" customFormat="1" ht="24" customHeight="1">
      <c r="A218" s="388" t="s">
        <v>342</v>
      </c>
      <c r="B218" s="388"/>
      <c r="C218" s="388"/>
      <c r="D218" s="388"/>
      <c r="E218" s="388"/>
      <c r="F218" s="388"/>
      <c r="G218" s="388"/>
      <c r="H218" s="388"/>
      <c r="I218" s="388"/>
      <c r="J218" s="388"/>
      <c r="K218" s="388"/>
      <c r="L218" s="388"/>
      <c r="M218" s="388"/>
      <c r="N218" s="388"/>
      <c r="O218" s="388"/>
      <c r="P218" s="388"/>
      <c r="Q218" s="388"/>
      <c r="R218" s="388"/>
      <c r="S218" s="388"/>
      <c r="T218" s="388"/>
      <c r="U218" s="388"/>
      <c r="V218" s="388"/>
    </row>
    <row r="219" spans="1:22" s="1" customFormat="1" ht="17.25" customHeight="1">
      <c r="A219" s="379" t="s">
        <v>343</v>
      </c>
      <c r="B219" s="379"/>
      <c r="C219" s="379"/>
      <c r="D219" s="379"/>
      <c r="E219" s="379"/>
      <c r="F219" s="379"/>
      <c r="G219" s="379"/>
      <c r="H219" s="379"/>
      <c r="I219" s="379"/>
      <c r="J219" s="379"/>
      <c r="K219" s="379"/>
      <c r="L219" s="379"/>
      <c r="M219" s="379"/>
      <c r="N219" s="379"/>
      <c r="O219" s="379"/>
      <c r="P219" s="379"/>
      <c r="Q219" s="379"/>
      <c r="R219" s="379"/>
      <c r="S219" s="379"/>
      <c r="T219" s="379"/>
      <c r="U219" s="379"/>
      <c r="V219" s="379"/>
    </row>
    <row r="220" spans="1:22" s="1" customFormat="1" ht="15.75" customHeight="1">
      <c r="A220" s="313" t="s">
        <v>274</v>
      </c>
      <c r="B220" s="313"/>
      <c r="C220" s="313"/>
      <c r="D220" s="313"/>
      <c r="E220" s="313"/>
      <c r="F220" s="313"/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  <c r="T220" s="313"/>
      <c r="U220" s="313"/>
      <c r="V220" s="313"/>
    </row>
    <row r="221" spans="1:22" ht="20.25">
      <c r="A221" s="379" t="s">
        <v>332</v>
      </c>
      <c r="B221" s="470"/>
      <c r="C221" s="470"/>
      <c r="D221" s="470"/>
      <c r="E221" s="470"/>
      <c r="F221" s="470"/>
      <c r="G221" s="470"/>
      <c r="H221" s="470"/>
      <c r="I221" s="470"/>
      <c r="J221" s="470"/>
      <c r="K221" s="470"/>
      <c r="L221" s="470"/>
      <c r="M221" s="470"/>
      <c r="N221" s="470"/>
      <c r="O221" s="470"/>
      <c r="P221" s="470"/>
      <c r="Q221" s="470"/>
      <c r="R221" s="470"/>
      <c r="S221" s="470"/>
      <c r="T221" s="470"/>
      <c r="U221" s="470"/>
      <c r="V221" s="470"/>
    </row>
    <row r="222" spans="1:22" ht="15" customHeight="1">
      <c r="A222" s="510" t="s">
        <v>15</v>
      </c>
      <c r="B222" s="510" t="s">
        <v>64</v>
      </c>
      <c r="C222" s="510" t="s">
        <v>65</v>
      </c>
      <c r="D222" s="512" t="s">
        <v>66</v>
      </c>
      <c r="E222" s="283"/>
      <c r="F222" s="277" t="s">
        <v>88</v>
      </c>
      <c r="G222" s="278" t="s">
        <v>157</v>
      </c>
      <c r="H222" s="505" t="s">
        <v>84</v>
      </c>
      <c r="I222" s="505" t="s">
        <v>138</v>
      </c>
      <c r="J222" s="505"/>
      <c r="K222" s="506" t="s">
        <v>139</v>
      </c>
      <c r="L222" s="506"/>
      <c r="M222" s="506" t="s">
        <v>86</v>
      </c>
      <c r="N222" s="506"/>
      <c r="O222" s="506" t="s">
        <v>25</v>
      </c>
      <c r="P222" s="506"/>
      <c r="Q222" s="506" t="s">
        <v>87</v>
      </c>
      <c r="R222" s="505" t="s">
        <v>146</v>
      </c>
      <c r="S222" s="506" t="s">
        <v>140</v>
      </c>
      <c r="T222" s="506"/>
      <c r="U222" s="506"/>
      <c r="V222" s="506"/>
    </row>
    <row r="223" spans="1:22">
      <c r="A223" s="511"/>
      <c r="B223" s="511"/>
      <c r="C223" s="511"/>
      <c r="D223" s="513"/>
      <c r="E223" s="279"/>
      <c r="F223" s="280" t="s">
        <v>337</v>
      </c>
      <c r="G223" s="278"/>
      <c r="H223" s="505"/>
      <c r="I223" s="278" t="s">
        <v>85</v>
      </c>
      <c r="J223" s="278" t="s">
        <v>70</v>
      </c>
      <c r="K223" s="281" t="s">
        <v>85</v>
      </c>
      <c r="L223" s="281" t="s">
        <v>70</v>
      </c>
      <c r="M223" s="278" t="s">
        <v>86</v>
      </c>
      <c r="N223" s="281" t="s">
        <v>70</v>
      </c>
      <c r="O223" s="281" t="s">
        <v>25</v>
      </c>
      <c r="P223" s="281" t="s">
        <v>70</v>
      </c>
      <c r="Q223" s="506"/>
      <c r="R223" s="505"/>
      <c r="S223" s="281" t="s">
        <v>155</v>
      </c>
      <c r="T223" s="281" t="s">
        <v>156</v>
      </c>
      <c r="U223" s="281" t="s">
        <v>141</v>
      </c>
      <c r="V223" s="281" t="s">
        <v>70</v>
      </c>
    </row>
    <row r="224" spans="1:22">
      <c r="A224" s="285">
        <v>1</v>
      </c>
      <c r="B224" s="288" t="s">
        <v>225</v>
      </c>
      <c r="C224" s="273" t="s">
        <v>196</v>
      </c>
      <c r="D224" s="274">
        <v>17</v>
      </c>
      <c r="E224" s="274"/>
      <c r="F224" s="274">
        <v>42200</v>
      </c>
      <c r="G224" s="285">
        <v>4.5</v>
      </c>
      <c r="H224" s="285">
        <f>G224*F224</f>
        <v>189900</v>
      </c>
      <c r="I224" s="117"/>
      <c r="J224" s="285">
        <f>H224-I224</f>
        <v>189900</v>
      </c>
      <c r="K224" s="285">
        <f>I224/G224</f>
        <v>0</v>
      </c>
      <c r="L224" s="285">
        <f>F224-K224</f>
        <v>42200</v>
      </c>
      <c r="M224" s="117"/>
      <c r="N224" s="285">
        <f>F224-M224</f>
        <v>42200</v>
      </c>
      <c r="O224" s="285">
        <f>'Sec-8'!D36</f>
        <v>0</v>
      </c>
      <c r="P224" s="285">
        <f>F224-O224</f>
        <v>42200</v>
      </c>
      <c r="Q224" s="285">
        <f>M224-O224</f>
        <v>0</v>
      </c>
      <c r="R224" s="285">
        <f t="shared" ref="R224:R245" si="78">D224*M224/1000</f>
        <v>0</v>
      </c>
      <c r="S224" s="285">
        <f t="shared" ref="S224:S245" si="79">D224*F224/1000</f>
        <v>717.4</v>
      </c>
      <c r="T224" s="285">
        <f>S224/75</f>
        <v>9.5653333333333332</v>
      </c>
      <c r="U224" s="285">
        <f t="shared" ref="U224:U245" si="80">D224*K224/1000/75</f>
        <v>0</v>
      </c>
      <c r="V224" s="285">
        <f>T224-U224</f>
        <v>9.5653333333333332</v>
      </c>
    </row>
    <row r="225" spans="1:22">
      <c r="A225" s="285">
        <v>2</v>
      </c>
      <c r="B225" s="288" t="s">
        <v>173</v>
      </c>
      <c r="C225" s="273" t="s">
        <v>196</v>
      </c>
      <c r="D225" s="274">
        <v>8</v>
      </c>
      <c r="E225" s="274"/>
      <c r="F225" s="274">
        <v>42200</v>
      </c>
      <c r="G225" s="285">
        <v>2</v>
      </c>
      <c r="H225" s="285">
        <f t="shared" ref="H225:H245" si="81">G225*F225</f>
        <v>84400</v>
      </c>
      <c r="I225" s="117"/>
      <c r="J225" s="285">
        <f t="shared" ref="J225:J245" si="82">H225-I225</f>
        <v>84400</v>
      </c>
      <c r="K225" s="285">
        <f t="shared" ref="K225:K245" si="83">I225/G225</f>
        <v>0</v>
      </c>
      <c r="L225" s="285">
        <f t="shared" ref="L225:L245" si="84">F225-K225</f>
        <v>42200</v>
      </c>
      <c r="M225" s="117"/>
      <c r="N225" s="285">
        <f t="shared" ref="N225:N245" si="85">F225-M225</f>
        <v>42200</v>
      </c>
      <c r="O225" s="285">
        <f>'Sec-8'!E36</f>
        <v>0</v>
      </c>
      <c r="P225" s="285">
        <f t="shared" ref="P225:P245" si="86">F225-O225</f>
        <v>42200</v>
      </c>
      <c r="Q225" s="285">
        <f t="shared" ref="Q225:Q245" si="87">M225-O225</f>
        <v>0</v>
      </c>
      <c r="R225" s="285">
        <f t="shared" si="78"/>
        <v>0</v>
      </c>
      <c r="S225" s="285">
        <f t="shared" si="79"/>
        <v>337.6</v>
      </c>
      <c r="T225" s="285">
        <f t="shared" ref="T225:T245" si="88">S225/75</f>
        <v>4.5013333333333341</v>
      </c>
      <c r="U225" s="285">
        <f t="shared" si="80"/>
        <v>0</v>
      </c>
      <c r="V225" s="285">
        <f t="shared" ref="V225:V245" si="89">T225-U225</f>
        <v>4.5013333333333341</v>
      </c>
    </row>
    <row r="226" spans="1:22">
      <c r="A226" s="285">
        <v>3</v>
      </c>
      <c r="B226" s="288" t="s">
        <v>56</v>
      </c>
      <c r="C226" s="273" t="s">
        <v>196</v>
      </c>
      <c r="D226" s="274">
        <v>17.5</v>
      </c>
      <c r="E226" s="274"/>
      <c r="F226" s="274">
        <v>42200</v>
      </c>
      <c r="G226" s="285">
        <v>4.75</v>
      </c>
      <c r="H226" s="285">
        <f t="shared" si="81"/>
        <v>200450</v>
      </c>
      <c r="I226" s="117"/>
      <c r="J226" s="285">
        <f t="shared" si="82"/>
        <v>200450</v>
      </c>
      <c r="K226" s="285">
        <f t="shared" si="83"/>
        <v>0</v>
      </c>
      <c r="L226" s="285">
        <f t="shared" si="84"/>
        <v>42200</v>
      </c>
      <c r="M226" s="117"/>
      <c r="N226" s="285">
        <f t="shared" si="85"/>
        <v>42200</v>
      </c>
      <c r="O226" s="285">
        <f>'Sec-8'!F36</f>
        <v>0</v>
      </c>
      <c r="P226" s="285">
        <f t="shared" si="86"/>
        <v>42200</v>
      </c>
      <c r="Q226" s="285">
        <f t="shared" si="87"/>
        <v>0</v>
      </c>
      <c r="R226" s="285">
        <f t="shared" si="78"/>
        <v>0</v>
      </c>
      <c r="S226" s="285">
        <f t="shared" si="79"/>
        <v>738.5</v>
      </c>
      <c r="T226" s="285">
        <f t="shared" si="88"/>
        <v>9.8466666666666658</v>
      </c>
      <c r="U226" s="285">
        <f t="shared" si="80"/>
        <v>0</v>
      </c>
      <c r="V226" s="285">
        <f t="shared" si="89"/>
        <v>9.8466666666666658</v>
      </c>
    </row>
    <row r="227" spans="1:22">
      <c r="A227" s="285">
        <v>4</v>
      </c>
      <c r="B227" s="288" t="s">
        <v>27</v>
      </c>
      <c r="C227" s="273" t="s">
        <v>196</v>
      </c>
      <c r="D227" s="274">
        <v>20</v>
      </c>
      <c r="E227" s="274"/>
      <c r="F227" s="274">
        <v>42200</v>
      </c>
      <c r="G227" s="285">
        <v>5</v>
      </c>
      <c r="H227" s="285">
        <f t="shared" si="81"/>
        <v>211000</v>
      </c>
      <c r="I227" s="117"/>
      <c r="J227" s="285">
        <f t="shared" si="82"/>
        <v>211000</v>
      </c>
      <c r="K227" s="285">
        <f t="shared" si="83"/>
        <v>0</v>
      </c>
      <c r="L227" s="285">
        <f t="shared" si="84"/>
        <v>42200</v>
      </c>
      <c r="M227" s="117"/>
      <c r="N227" s="285">
        <f t="shared" si="85"/>
        <v>42200</v>
      </c>
      <c r="O227" s="285">
        <f>'Sec-8'!G36</f>
        <v>0</v>
      </c>
      <c r="P227" s="285">
        <f t="shared" si="86"/>
        <v>42200</v>
      </c>
      <c r="Q227" s="285">
        <f t="shared" si="87"/>
        <v>0</v>
      </c>
      <c r="R227" s="285">
        <f t="shared" si="78"/>
        <v>0</v>
      </c>
      <c r="S227" s="285">
        <f t="shared" si="79"/>
        <v>844</v>
      </c>
      <c r="T227" s="285">
        <f t="shared" si="88"/>
        <v>11.253333333333334</v>
      </c>
      <c r="U227" s="285">
        <f t="shared" si="80"/>
        <v>0</v>
      </c>
      <c r="V227" s="285">
        <f t="shared" si="89"/>
        <v>11.253333333333334</v>
      </c>
    </row>
    <row r="228" spans="1:22">
      <c r="A228" s="285">
        <v>5</v>
      </c>
      <c r="B228" s="288" t="s">
        <v>175</v>
      </c>
      <c r="C228" s="273" t="s">
        <v>196</v>
      </c>
      <c r="D228" s="274">
        <v>31</v>
      </c>
      <c r="E228" s="274"/>
      <c r="F228" s="274">
        <v>42200</v>
      </c>
      <c r="G228" s="285">
        <v>8.5</v>
      </c>
      <c r="H228" s="285">
        <f t="shared" si="81"/>
        <v>358700</v>
      </c>
      <c r="I228" s="117"/>
      <c r="J228" s="285">
        <f t="shared" si="82"/>
        <v>358700</v>
      </c>
      <c r="K228" s="285">
        <f t="shared" si="83"/>
        <v>0</v>
      </c>
      <c r="L228" s="285">
        <f t="shared" si="84"/>
        <v>42200</v>
      </c>
      <c r="M228" s="117"/>
      <c r="N228" s="285">
        <f t="shared" si="85"/>
        <v>42200</v>
      </c>
      <c r="O228" s="285">
        <f>'Sec-8'!H36</f>
        <v>0</v>
      </c>
      <c r="P228" s="285">
        <f t="shared" si="86"/>
        <v>42200</v>
      </c>
      <c r="Q228" s="285">
        <f t="shared" si="87"/>
        <v>0</v>
      </c>
      <c r="R228" s="285">
        <f t="shared" si="78"/>
        <v>0</v>
      </c>
      <c r="S228" s="285">
        <f t="shared" si="79"/>
        <v>1308.2</v>
      </c>
      <c r="T228" s="285">
        <f t="shared" si="88"/>
        <v>17.442666666666668</v>
      </c>
      <c r="U228" s="285">
        <f t="shared" si="80"/>
        <v>0</v>
      </c>
      <c r="V228" s="285">
        <f t="shared" si="89"/>
        <v>17.442666666666668</v>
      </c>
    </row>
    <row r="229" spans="1:22">
      <c r="A229" s="285">
        <v>6</v>
      </c>
      <c r="B229" s="288" t="s">
        <v>31</v>
      </c>
      <c r="C229" s="273" t="s">
        <v>196</v>
      </c>
      <c r="D229" s="274">
        <v>23.5</v>
      </c>
      <c r="E229" s="274"/>
      <c r="F229" s="274">
        <v>42200</v>
      </c>
      <c r="G229" s="285">
        <v>6.75</v>
      </c>
      <c r="H229" s="285">
        <f t="shared" si="81"/>
        <v>284850</v>
      </c>
      <c r="I229" s="117"/>
      <c r="J229" s="285">
        <f t="shared" si="82"/>
        <v>284850</v>
      </c>
      <c r="K229" s="285">
        <f t="shared" si="83"/>
        <v>0</v>
      </c>
      <c r="L229" s="285">
        <f t="shared" si="84"/>
        <v>42200</v>
      </c>
      <c r="M229" s="117"/>
      <c r="N229" s="285">
        <f t="shared" si="85"/>
        <v>42200</v>
      </c>
      <c r="O229" s="285">
        <f>'Sec-8'!I36</f>
        <v>0</v>
      </c>
      <c r="P229" s="285">
        <f t="shared" si="86"/>
        <v>42200</v>
      </c>
      <c r="Q229" s="285">
        <f t="shared" si="87"/>
        <v>0</v>
      </c>
      <c r="R229" s="285">
        <f t="shared" si="78"/>
        <v>0</v>
      </c>
      <c r="S229" s="285">
        <f t="shared" si="79"/>
        <v>991.7</v>
      </c>
      <c r="T229" s="285">
        <f t="shared" si="88"/>
        <v>13.222666666666667</v>
      </c>
      <c r="U229" s="285">
        <f t="shared" si="80"/>
        <v>0</v>
      </c>
      <c r="V229" s="285">
        <f t="shared" si="89"/>
        <v>13.222666666666667</v>
      </c>
    </row>
    <row r="230" spans="1:22">
      <c r="A230" s="285">
        <v>7</v>
      </c>
      <c r="B230" s="288" t="s">
        <v>72</v>
      </c>
      <c r="C230" s="273" t="s">
        <v>196</v>
      </c>
      <c r="D230" s="274">
        <v>18.5</v>
      </c>
      <c r="E230" s="274"/>
      <c r="F230" s="274">
        <v>42200</v>
      </c>
      <c r="G230" s="285">
        <v>5.25</v>
      </c>
      <c r="H230" s="285">
        <f t="shared" si="81"/>
        <v>221550</v>
      </c>
      <c r="I230" s="117"/>
      <c r="J230" s="285">
        <f t="shared" si="82"/>
        <v>221550</v>
      </c>
      <c r="K230" s="285">
        <f t="shared" si="83"/>
        <v>0</v>
      </c>
      <c r="L230" s="285">
        <f t="shared" si="84"/>
        <v>42200</v>
      </c>
      <c r="M230" s="117"/>
      <c r="N230" s="285">
        <f t="shared" si="85"/>
        <v>42200</v>
      </c>
      <c r="O230" s="285">
        <f>'Sec-8'!J36</f>
        <v>0</v>
      </c>
      <c r="P230" s="285">
        <f t="shared" si="86"/>
        <v>42200</v>
      </c>
      <c r="Q230" s="285">
        <f t="shared" si="87"/>
        <v>0</v>
      </c>
      <c r="R230" s="285">
        <f t="shared" si="78"/>
        <v>0</v>
      </c>
      <c r="S230" s="285">
        <f t="shared" si="79"/>
        <v>780.7</v>
      </c>
      <c r="T230" s="285">
        <f t="shared" si="88"/>
        <v>10.409333333333334</v>
      </c>
      <c r="U230" s="285">
        <f t="shared" si="80"/>
        <v>0</v>
      </c>
      <c r="V230" s="285">
        <f t="shared" si="89"/>
        <v>10.409333333333334</v>
      </c>
    </row>
    <row r="231" spans="1:22">
      <c r="A231" s="285">
        <v>8</v>
      </c>
      <c r="B231" s="288" t="s">
        <v>32</v>
      </c>
      <c r="C231" s="273" t="s">
        <v>196</v>
      </c>
      <c r="D231" s="274">
        <v>20</v>
      </c>
      <c r="E231" s="274"/>
      <c r="F231" s="274">
        <v>42200</v>
      </c>
      <c r="G231" s="285">
        <v>5</v>
      </c>
      <c r="H231" s="285">
        <f t="shared" si="81"/>
        <v>211000</v>
      </c>
      <c r="I231" s="117"/>
      <c r="J231" s="285">
        <f t="shared" si="82"/>
        <v>211000</v>
      </c>
      <c r="K231" s="285">
        <f t="shared" si="83"/>
        <v>0</v>
      </c>
      <c r="L231" s="285">
        <f t="shared" si="84"/>
        <v>42200</v>
      </c>
      <c r="M231" s="117"/>
      <c r="N231" s="285">
        <f t="shared" si="85"/>
        <v>42200</v>
      </c>
      <c r="O231" s="285">
        <f>'Sec-8'!K36</f>
        <v>0</v>
      </c>
      <c r="P231" s="285">
        <f t="shared" si="86"/>
        <v>42200</v>
      </c>
      <c r="Q231" s="285">
        <f t="shared" si="87"/>
        <v>0</v>
      </c>
      <c r="R231" s="285">
        <f t="shared" si="78"/>
        <v>0</v>
      </c>
      <c r="S231" s="285">
        <f t="shared" si="79"/>
        <v>844</v>
      </c>
      <c r="T231" s="285">
        <f t="shared" si="88"/>
        <v>11.253333333333334</v>
      </c>
      <c r="U231" s="285">
        <f t="shared" si="80"/>
        <v>0</v>
      </c>
      <c r="V231" s="285">
        <f t="shared" si="89"/>
        <v>11.253333333333334</v>
      </c>
    </row>
    <row r="232" spans="1:22">
      <c r="A232" s="285">
        <v>9</v>
      </c>
      <c r="B232" s="288" t="s">
        <v>43</v>
      </c>
      <c r="C232" s="273" t="s">
        <v>196</v>
      </c>
      <c r="D232" s="274">
        <v>9</v>
      </c>
      <c r="E232" s="274"/>
      <c r="F232" s="274">
        <v>2000</v>
      </c>
      <c r="G232" s="285">
        <v>2.5</v>
      </c>
      <c r="H232" s="285">
        <f t="shared" si="81"/>
        <v>5000</v>
      </c>
      <c r="I232" s="117"/>
      <c r="J232" s="285">
        <f t="shared" si="82"/>
        <v>5000</v>
      </c>
      <c r="K232" s="285">
        <f t="shared" si="83"/>
        <v>0</v>
      </c>
      <c r="L232" s="285">
        <f t="shared" si="84"/>
        <v>2000</v>
      </c>
      <c r="M232" s="117"/>
      <c r="N232" s="285">
        <f t="shared" si="85"/>
        <v>2000</v>
      </c>
      <c r="O232" s="285">
        <f>'Sec-8'!L36</f>
        <v>0</v>
      </c>
      <c r="P232" s="285">
        <f t="shared" si="86"/>
        <v>2000</v>
      </c>
      <c r="Q232" s="285">
        <f t="shared" si="87"/>
        <v>0</v>
      </c>
      <c r="R232" s="285">
        <f t="shared" si="78"/>
        <v>0</v>
      </c>
      <c r="S232" s="285">
        <f t="shared" si="79"/>
        <v>18</v>
      </c>
      <c r="T232" s="285">
        <f t="shared" si="88"/>
        <v>0.24</v>
      </c>
      <c r="U232" s="285">
        <f t="shared" si="80"/>
        <v>0</v>
      </c>
      <c r="V232" s="285">
        <f t="shared" si="89"/>
        <v>0.24</v>
      </c>
    </row>
    <row r="233" spans="1:22">
      <c r="A233" s="285">
        <v>10</v>
      </c>
      <c r="B233" s="288" t="s">
        <v>73</v>
      </c>
      <c r="C233" s="273" t="s">
        <v>196</v>
      </c>
      <c r="D233" s="274">
        <v>10.5</v>
      </c>
      <c r="E233" s="274"/>
      <c r="F233" s="274">
        <v>42200</v>
      </c>
      <c r="G233" s="285">
        <v>3.25</v>
      </c>
      <c r="H233" s="285">
        <f t="shared" si="81"/>
        <v>137150</v>
      </c>
      <c r="I233" s="117"/>
      <c r="J233" s="285">
        <f t="shared" si="82"/>
        <v>137150</v>
      </c>
      <c r="K233" s="285">
        <f t="shared" si="83"/>
        <v>0</v>
      </c>
      <c r="L233" s="285">
        <f t="shared" si="84"/>
        <v>42200</v>
      </c>
      <c r="M233" s="117"/>
      <c r="N233" s="285">
        <f t="shared" si="85"/>
        <v>42200</v>
      </c>
      <c r="O233" s="285">
        <f>'Sec-8'!M36</f>
        <v>0</v>
      </c>
      <c r="P233" s="285">
        <f t="shared" si="86"/>
        <v>42200</v>
      </c>
      <c r="Q233" s="285">
        <f t="shared" si="87"/>
        <v>0</v>
      </c>
      <c r="R233" s="285">
        <f t="shared" si="78"/>
        <v>0</v>
      </c>
      <c r="S233" s="285">
        <f t="shared" si="79"/>
        <v>443.1</v>
      </c>
      <c r="T233" s="285">
        <f t="shared" si="88"/>
        <v>5.9080000000000004</v>
      </c>
      <c r="U233" s="285">
        <f t="shared" si="80"/>
        <v>0</v>
      </c>
      <c r="V233" s="285">
        <f t="shared" si="89"/>
        <v>5.9080000000000004</v>
      </c>
    </row>
    <row r="234" spans="1:22">
      <c r="A234" s="285">
        <v>11</v>
      </c>
      <c r="B234" s="288" t="s">
        <v>74</v>
      </c>
      <c r="C234" s="273" t="s">
        <v>196</v>
      </c>
      <c r="D234" s="274">
        <v>9</v>
      </c>
      <c r="E234" s="274"/>
      <c r="F234" s="274">
        <v>0</v>
      </c>
      <c r="G234" s="285">
        <v>2.5</v>
      </c>
      <c r="H234" s="285">
        <f t="shared" si="81"/>
        <v>0</v>
      </c>
      <c r="I234" s="117"/>
      <c r="J234" s="285">
        <f t="shared" si="82"/>
        <v>0</v>
      </c>
      <c r="K234" s="285">
        <f t="shared" si="83"/>
        <v>0</v>
      </c>
      <c r="L234" s="285">
        <f t="shared" si="84"/>
        <v>0</v>
      </c>
      <c r="M234" s="117"/>
      <c r="N234" s="285">
        <f t="shared" si="85"/>
        <v>0</v>
      </c>
      <c r="O234" s="285">
        <f>'Sec-8'!N36</f>
        <v>0</v>
      </c>
      <c r="P234" s="285">
        <f t="shared" si="86"/>
        <v>0</v>
      </c>
      <c r="Q234" s="285">
        <f t="shared" si="87"/>
        <v>0</v>
      </c>
      <c r="R234" s="285">
        <f t="shared" si="78"/>
        <v>0</v>
      </c>
      <c r="S234" s="285">
        <f t="shared" si="79"/>
        <v>0</v>
      </c>
      <c r="T234" s="285">
        <f t="shared" si="88"/>
        <v>0</v>
      </c>
      <c r="U234" s="285">
        <f t="shared" si="80"/>
        <v>0</v>
      </c>
      <c r="V234" s="285">
        <f t="shared" si="89"/>
        <v>0</v>
      </c>
    </row>
    <row r="235" spans="1:22">
      <c r="A235" s="285">
        <v>12</v>
      </c>
      <c r="B235" s="288" t="s">
        <v>192</v>
      </c>
      <c r="C235" s="273" t="s">
        <v>196</v>
      </c>
      <c r="D235" s="274">
        <v>10.5</v>
      </c>
      <c r="E235" s="274"/>
      <c r="F235" s="274">
        <v>0</v>
      </c>
      <c r="G235" s="285">
        <v>3.25</v>
      </c>
      <c r="H235" s="285">
        <f t="shared" si="81"/>
        <v>0</v>
      </c>
      <c r="I235" s="117"/>
      <c r="J235" s="285">
        <f t="shared" si="82"/>
        <v>0</v>
      </c>
      <c r="K235" s="285">
        <f t="shared" si="83"/>
        <v>0</v>
      </c>
      <c r="L235" s="285">
        <f t="shared" si="84"/>
        <v>0</v>
      </c>
      <c r="M235" s="117"/>
      <c r="N235" s="285">
        <f t="shared" si="85"/>
        <v>0</v>
      </c>
      <c r="O235" s="285">
        <f>'Sec-8'!O36</f>
        <v>0</v>
      </c>
      <c r="P235" s="285">
        <f t="shared" si="86"/>
        <v>0</v>
      </c>
      <c r="Q235" s="285">
        <f t="shared" si="87"/>
        <v>0</v>
      </c>
      <c r="R235" s="285">
        <f t="shared" si="78"/>
        <v>0</v>
      </c>
      <c r="S235" s="285">
        <f t="shared" si="79"/>
        <v>0</v>
      </c>
      <c r="T235" s="285">
        <f t="shared" si="88"/>
        <v>0</v>
      </c>
      <c r="U235" s="285">
        <f t="shared" si="80"/>
        <v>0</v>
      </c>
      <c r="V235" s="285">
        <f t="shared" si="89"/>
        <v>0</v>
      </c>
    </row>
    <row r="236" spans="1:22">
      <c r="A236" s="285">
        <v>13</v>
      </c>
      <c r="B236" s="288" t="s">
        <v>47</v>
      </c>
      <c r="C236" s="273" t="s">
        <v>196</v>
      </c>
      <c r="D236" s="274">
        <v>17</v>
      </c>
      <c r="E236" s="274"/>
      <c r="F236" s="274">
        <v>36140</v>
      </c>
      <c r="G236" s="285">
        <v>4.5</v>
      </c>
      <c r="H236" s="285">
        <f t="shared" si="81"/>
        <v>162630</v>
      </c>
      <c r="I236" s="117"/>
      <c r="J236" s="285">
        <f t="shared" si="82"/>
        <v>162630</v>
      </c>
      <c r="K236" s="285">
        <f t="shared" si="83"/>
        <v>0</v>
      </c>
      <c r="L236" s="285">
        <f t="shared" si="84"/>
        <v>36140</v>
      </c>
      <c r="M236" s="117"/>
      <c r="N236" s="285">
        <f t="shared" si="85"/>
        <v>36140</v>
      </c>
      <c r="O236" s="285">
        <f>'Sec-8'!P36</f>
        <v>0</v>
      </c>
      <c r="P236" s="285">
        <f t="shared" si="86"/>
        <v>36140</v>
      </c>
      <c r="Q236" s="285">
        <f t="shared" si="87"/>
        <v>0</v>
      </c>
      <c r="R236" s="285">
        <f t="shared" si="78"/>
        <v>0</v>
      </c>
      <c r="S236" s="285">
        <f t="shared" si="79"/>
        <v>614.38</v>
      </c>
      <c r="T236" s="285">
        <f t="shared" si="88"/>
        <v>8.1917333333333335</v>
      </c>
      <c r="U236" s="285">
        <f t="shared" si="80"/>
        <v>0</v>
      </c>
      <c r="V236" s="285">
        <f t="shared" si="89"/>
        <v>8.1917333333333335</v>
      </c>
    </row>
    <row r="237" spans="1:22">
      <c r="A237" s="285">
        <v>14</v>
      </c>
      <c r="B237" s="288" t="s">
        <v>226</v>
      </c>
      <c r="C237" s="273" t="s">
        <v>196</v>
      </c>
      <c r="D237" s="274">
        <v>17</v>
      </c>
      <c r="E237" s="274"/>
      <c r="F237" s="274">
        <v>4060</v>
      </c>
      <c r="G237" s="285">
        <v>4.5</v>
      </c>
      <c r="H237" s="285">
        <f t="shared" si="81"/>
        <v>18270</v>
      </c>
      <c r="I237" s="117"/>
      <c r="J237" s="285">
        <f t="shared" si="82"/>
        <v>18270</v>
      </c>
      <c r="K237" s="285">
        <f t="shared" si="83"/>
        <v>0</v>
      </c>
      <c r="L237" s="285">
        <f t="shared" si="84"/>
        <v>4060</v>
      </c>
      <c r="M237" s="117"/>
      <c r="N237" s="285">
        <f t="shared" si="85"/>
        <v>4060</v>
      </c>
      <c r="O237" s="285">
        <f>'Sec-8'!Q36</f>
        <v>0</v>
      </c>
      <c r="P237" s="285">
        <f t="shared" si="86"/>
        <v>4060</v>
      </c>
      <c r="Q237" s="285">
        <f t="shared" si="87"/>
        <v>0</v>
      </c>
      <c r="R237" s="285">
        <f t="shared" si="78"/>
        <v>0</v>
      </c>
      <c r="S237" s="285">
        <f t="shared" si="79"/>
        <v>69.02</v>
      </c>
      <c r="T237" s="285">
        <f t="shared" si="88"/>
        <v>0.92026666666666657</v>
      </c>
      <c r="U237" s="285">
        <f t="shared" si="80"/>
        <v>0</v>
      </c>
      <c r="V237" s="285">
        <f t="shared" si="89"/>
        <v>0.92026666666666657</v>
      </c>
    </row>
    <row r="238" spans="1:22">
      <c r="A238" s="285">
        <v>15</v>
      </c>
      <c r="B238" s="288" t="s">
        <v>180</v>
      </c>
      <c r="C238" s="273" t="s">
        <v>196</v>
      </c>
      <c r="D238" s="274">
        <v>17.5</v>
      </c>
      <c r="E238" s="274"/>
      <c r="F238" s="274">
        <v>37810</v>
      </c>
      <c r="G238" s="285">
        <v>4.75</v>
      </c>
      <c r="H238" s="285">
        <f t="shared" si="81"/>
        <v>179597.5</v>
      </c>
      <c r="I238" s="117"/>
      <c r="J238" s="285">
        <f t="shared" si="82"/>
        <v>179597.5</v>
      </c>
      <c r="K238" s="285">
        <f t="shared" si="83"/>
        <v>0</v>
      </c>
      <c r="L238" s="285">
        <f t="shared" si="84"/>
        <v>37810</v>
      </c>
      <c r="M238" s="117"/>
      <c r="N238" s="285">
        <f t="shared" si="85"/>
        <v>37810</v>
      </c>
      <c r="O238" s="285">
        <f>'Sec-8'!R36</f>
        <v>0</v>
      </c>
      <c r="P238" s="285">
        <f t="shared" si="86"/>
        <v>37810</v>
      </c>
      <c r="Q238" s="285">
        <f t="shared" si="87"/>
        <v>0</v>
      </c>
      <c r="R238" s="285">
        <f t="shared" si="78"/>
        <v>0</v>
      </c>
      <c r="S238" s="285">
        <f t="shared" si="79"/>
        <v>661.67499999999995</v>
      </c>
      <c r="T238" s="285">
        <f t="shared" si="88"/>
        <v>8.8223333333333329</v>
      </c>
      <c r="U238" s="285">
        <f t="shared" si="80"/>
        <v>0</v>
      </c>
      <c r="V238" s="285">
        <f t="shared" si="89"/>
        <v>8.8223333333333329</v>
      </c>
    </row>
    <row r="239" spans="1:22">
      <c r="A239" s="285">
        <v>16</v>
      </c>
      <c r="B239" s="288" t="s">
        <v>181</v>
      </c>
      <c r="C239" s="273" t="s">
        <v>196</v>
      </c>
      <c r="D239" s="274">
        <v>14.5</v>
      </c>
      <c r="E239" s="274"/>
      <c r="F239" s="274">
        <v>4380</v>
      </c>
      <c r="G239" s="285">
        <v>4.25</v>
      </c>
      <c r="H239" s="285">
        <f t="shared" si="81"/>
        <v>18615</v>
      </c>
      <c r="I239" s="117"/>
      <c r="J239" s="285">
        <f t="shared" si="82"/>
        <v>18615</v>
      </c>
      <c r="K239" s="285">
        <f t="shared" si="83"/>
        <v>0</v>
      </c>
      <c r="L239" s="285">
        <f t="shared" si="84"/>
        <v>4380</v>
      </c>
      <c r="M239" s="117"/>
      <c r="N239" s="285">
        <f t="shared" si="85"/>
        <v>4380</v>
      </c>
      <c r="O239" s="285">
        <f>'Sec-8'!S36</f>
        <v>0</v>
      </c>
      <c r="P239" s="285">
        <f t="shared" si="86"/>
        <v>4380</v>
      </c>
      <c r="Q239" s="285">
        <f t="shared" si="87"/>
        <v>0</v>
      </c>
      <c r="R239" s="285">
        <f t="shared" si="78"/>
        <v>0</v>
      </c>
      <c r="S239" s="285">
        <f t="shared" si="79"/>
        <v>63.51</v>
      </c>
      <c r="T239" s="285">
        <f t="shared" si="88"/>
        <v>0.8468</v>
      </c>
      <c r="U239" s="285">
        <f t="shared" si="80"/>
        <v>0</v>
      </c>
      <c r="V239" s="285">
        <f t="shared" si="89"/>
        <v>0.8468</v>
      </c>
    </row>
    <row r="240" spans="1:22">
      <c r="A240" s="285">
        <v>17</v>
      </c>
      <c r="B240" s="288" t="s">
        <v>76</v>
      </c>
      <c r="C240" s="273" t="s">
        <v>196</v>
      </c>
      <c r="D240" s="274">
        <v>14</v>
      </c>
      <c r="E240" s="274"/>
      <c r="F240" s="274">
        <v>15</v>
      </c>
      <c r="G240" s="285">
        <v>4</v>
      </c>
      <c r="H240" s="285">
        <f t="shared" si="81"/>
        <v>60</v>
      </c>
      <c r="I240" s="117"/>
      <c r="J240" s="285">
        <f t="shared" si="82"/>
        <v>60</v>
      </c>
      <c r="K240" s="285">
        <f t="shared" si="83"/>
        <v>0</v>
      </c>
      <c r="L240" s="285">
        <f t="shared" si="84"/>
        <v>15</v>
      </c>
      <c r="M240" s="117"/>
      <c r="N240" s="285">
        <f t="shared" si="85"/>
        <v>15</v>
      </c>
      <c r="O240" s="285">
        <f>'Sec-8'!T36</f>
        <v>0</v>
      </c>
      <c r="P240" s="285">
        <f t="shared" si="86"/>
        <v>15</v>
      </c>
      <c r="Q240" s="285">
        <f t="shared" si="87"/>
        <v>0</v>
      </c>
      <c r="R240" s="285">
        <f t="shared" si="78"/>
        <v>0</v>
      </c>
      <c r="S240" s="285">
        <f t="shared" si="79"/>
        <v>0.21</v>
      </c>
      <c r="T240" s="285">
        <f t="shared" si="88"/>
        <v>2.8E-3</v>
      </c>
      <c r="U240" s="285">
        <f t="shared" si="80"/>
        <v>0</v>
      </c>
      <c r="V240" s="285">
        <f t="shared" si="89"/>
        <v>2.8E-3</v>
      </c>
    </row>
    <row r="241" spans="1:22">
      <c r="A241" s="285">
        <v>18</v>
      </c>
      <c r="B241" s="288" t="s">
        <v>51</v>
      </c>
      <c r="C241" s="273" t="s">
        <v>196</v>
      </c>
      <c r="D241" s="274">
        <v>17</v>
      </c>
      <c r="E241" s="274"/>
      <c r="F241" s="274">
        <v>35</v>
      </c>
      <c r="G241" s="285">
        <v>4.5</v>
      </c>
      <c r="H241" s="285">
        <f t="shared" si="81"/>
        <v>157.5</v>
      </c>
      <c r="I241" s="117"/>
      <c r="J241" s="285">
        <f t="shared" si="82"/>
        <v>157.5</v>
      </c>
      <c r="K241" s="285">
        <f t="shared" si="83"/>
        <v>0</v>
      </c>
      <c r="L241" s="285">
        <f t="shared" si="84"/>
        <v>35</v>
      </c>
      <c r="M241" s="117"/>
      <c r="N241" s="285">
        <f t="shared" si="85"/>
        <v>35</v>
      </c>
      <c r="O241" s="285">
        <f>'Sec-8'!U36</f>
        <v>0</v>
      </c>
      <c r="P241" s="285">
        <f t="shared" si="86"/>
        <v>35</v>
      </c>
      <c r="Q241" s="285">
        <f t="shared" si="87"/>
        <v>0</v>
      </c>
      <c r="R241" s="285">
        <f t="shared" si="78"/>
        <v>0</v>
      </c>
      <c r="S241" s="285">
        <f t="shared" si="79"/>
        <v>0.59499999999999997</v>
      </c>
      <c r="T241" s="285">
        <f t="shared" si="88"/>
        <v>7.9333333333333322E-3</v>
      </c>
      <c r="U241" s="285">
        <f t="shared" si="80"/>
        <v>0</v>
      </c>
      <c r="V241" s="285">
        <f t="shared" si="89"/>
        <v>7.9333333333333322E-3</v>
      </c>
    </row>
    <row r="242" spans="1:22">
      <c r="A242" s="285">
        <v>19</v>
      </c>
      <c r="B242" s="288" t="s">
        <v>112</v>
      </c>
      <c r="C242" s="273" t="s">
        <v>196</v>
      </c>
      <c r="D242" s="274">
        <v>15</v>
      </c>
      <c r="E242" s="274"/>
      <c r="F242" s="274">
        <v>0</v>
      </c>
      <c r="G242" s="285">
        <v>4.5</v>
      </c>
      <c r="H242" s="285">
        <f t="shared" si="81"/>
        <v>0</v>
      </c>
      <c r="I242" s="117"/>
      <c r="J242" s="285">
        <f t="shared" si="82"/>
        <v>0</v>
      </c>
      <c r="K242" s="285">
        <f t="shared" si="83"/>
        <v>0</v>
      </c>
      <c r="L242" s="285">
        <f t="shared" si="84"/>
        <v>0</v>
      </c>
      <c r="M242" s="117"/>
      <c r="N242" s="285">
        <f t="shared" si="85"/>
        <v>0</v>
      </c>
      <c r="O242" s="285">
        <f>'Sec-8'!V36</f>
        <v>0</v>
      </c>
      <c r="P242" s="285">
        <f t="shared" si="86"/>
        <v>0</v>
      </c>
      <c r="Q242" s="285">
        <f t="shared" si="87"/>
        <v>0</v>
      </c>
      <c r="R242" s="285">
        <f t="shared" si="78"/>
        <v>0</v>
      </c>
      <c r="S242" s="285">
        <f t="shared" si="79"/>
        <v>0</v>
      </c>
      <c r="T242" s="285">
        <f t="shared" si="88"/>
        <v>0</v>
      </c>
      <c r="U242" s="285">
        <f t="shared" si="80"/>
        <v>0</v>
      </c>
      <c r="V242" s="285">
        <f t="shared" si="89"/>
        <v>0</v>
      </c>
    </row>
    <row r="243" spans="1:22">
      <c r="A243" s="285">
        <v>20</v>
      </c>
      <c r="B243" s="288" t="s">
        <v>217</v>
      </c>
      <c r="C243" s="273" t="s">
        <v>196</v>
      </c>
      <c r="D243" s="274">
        <v>18.5</v>
      </c>
      <c r="E243" s="274"/>
      <c r="F243" s="274">
        <v>0</v>
      </c>
      <c r="G243" s="285">
        <v>5.25</v>
      </c>
      <c r="H243" s="285">
        <f t="shared" si="81"/>
        <v>0</v>
      </c>
      <c r="I243" s="117"/>
      <c r="J243" s="285">
        <f t="shared" si="82"/>
        <v>0</v>
      </c>
      <c r="K243" s="285">
        <f t="shared" si="83"/>
        <v>0</v>
      </c>
      <c r="L243" s="285">
        <f t="shared" si="84"/>
        <v>0</v>
      </c>
      <c r="M243" s="117"/>
      <c r="N243" s="285">
        <f t="shared" si="85"/>
        <v>0</v>
      </c>
      <c r="O243" s="285">
        <f>'Sec-8'!W36</f>
        <v>0</v>
      </c>
      <c r="P243" s="285">
        <f t="shared" si="86"/>
        <v>0</v>
      </c>
      <c r="Q243" s="285">
        <f t="shared" si="87"/>
        <v>0</v>
      </c>
      <c r="R243" s="285">
        <f t="shared" si="78"/>
        <v>0</v>
      </c>
      <c r="S243" s="285">
        <f t="shared" si="79"/>
        <v>0</v>
      </c>
      <c r="T243" s="285">
        <f t="shared" si="88"/>
        <v>0</v>
      </c>
      <c r="U243" s="285">
        <f t="shared" si="80"/>
        <v>0</v>
      </c>
      <c r="V243" s="285">
        <f t="shared" si="89"/>
        <v>0</v>
      </c>
    </row>
    <row r="244" spans="1:22">
      <c r="A244" s="285">
        <v>21</v>
      </c>
      <c r="B244" s="288" t="s">
        <v>149</v>
      </c>
      <c r="C244" s="273" t="s">
        <v>196</v>
      </c>
      <c r="D244" s="274">
        <v>19.5</v>
      </c>
      <c r="E244" s="274"/>
      <c r="F244" s="274">
        <v>0</v>
      </c>
      <c r="G244" s="285">
        <v>5.75</v>
      </c>
      <c r="H244" s="285">
        <f t="shared" si="81"/>
        <v>0</v>
      </c>
      <c r="I244" s="117"/>
      <c r="J244" s="285">
        <f t="shared" si="82"/>
        <v>0</v>
      </c>
      <c r="K244" s="285">
        <f t="shared" si="83"/>
        <v>0</v>
      </c>
      <c r="L244" s="285">
        <f t="shared" si="84"/>
        <v>0</v>
      </c>
      <c r="M244" s="117"/>
      <c r="N244" s="285">
        <f t="shared" si="85"/>
        <v>0</v>
      </c>
      <c r="O244" s="285">
        <f>'Sec-8'!X36</f>
        <v>0</v>
      </c>
      <c r="P244" s="285">
        <f t="shared" si="86"/>
        <v>0</v>
      </c>
      <c r="Q244" s="285">
        <f t="shared" si="87"/>
        <v>0</v>
      </c>
      <c r="R244" s="285">
        <f t="shared" si="78"/>
        <v>0</v>
      </c>
      <c r="S244" s="285">
        <f t="shared" si="79"/>
        <v>0</v>
      </c>
      <c r="T244" s="285">
        <f t="shared" si="88"/>
        <v>0</v>
      </c>
      <c r="U244" s="285">
        <f t="shared" si="80"/>
        <v>0</v>
      </c>
      <c r="V244" s="285">
        <f t="shared" si="89"/>
        <v>0</v>
      </c>
    </row>
    <row r="245" spans="1:22">
      <c r="A245" s="285">
        <v>22</v>
      </c>
      <c r="B245" s="288" t="s">
        <v>99</v>
      </c>
      <c r="C245" s="273" t="s">
        <v>196</v>
      </c>
      <c r="D245" s="274">
        <v>12.5</v>
      </c>
      <c r="E245" s="274"/>
      <c r="F245" s="274">
        <v>0</v>
      </c>
      <c r="G245" s="285">
        <v>3.25</v>
      </c>
      <c r="H245" s="285">
        <f t="shared" si="81"/>
        <v>0</v>
      </c>
      <c r="I245" s="117"/>
      <c r="J245" s="285">
        <f t="shared" si="82"/>
        <v>0</v>
      </c>
      <c r="K245" s="285">
        <f t="shared" si="83"/>
        <v>0</v>
      </c>
      <c r="L245" s="285">
        <f t="shared" si="84"/>
        <v>0</v>
      </c>
      <c r="M245" s="117"/>
      <c r="N245" s="285">
        <f t="shared" si="85"/>
        <v>0</v>
      </c>
      <c r="O245" s="285">
        <f>'Sec-8'!Y36</f>
        <v>0</v>
      </c>
      <c r="P245" s="285">
        <f t="shared" si="86"/>
        <v>0</v>
      </c>
      <c r="Q245" s="285">
        <f t="shared" si="87"/>
        <v>0</v>
      </c>
      <c r="R245" s="285">
        <f t="shared" si="78"/>
        <v>0</v>
      </c>
      <c r="S245" s="285">
        <f t="shared" si="79"/>
        <v>0</v>
      </c>
      <c r="T245" s="285">
        <f t="shared" si="88"/>
        <v>0</v>
      </c>
      <c r="U245" s="285">
        <f t="shared" si="80"/>
        <v>0</v>
      </c>
      <c r="V245" s="285">
        <f t="shared" si="89"/>
        <v>0</v>
      </c>
    </row>
    <row r="246" spans="1:22">
      <c r="A246" s="507" t="s">
        <v>67</v>
      </c>
      <c r="B246" s="508"/>
      <c r="C246" s="508"/>
      <c r="D246" s="509"/>
      <c r="E246" s="282"/>
      <c r="F246" s="282">
        <f t="shared" ref="F246:V246" si="90">SUM(F224:F245)</f>
        <v>464240</v>
      </c>
      <c r="G246" s="282">
        <f t="shared" si="90"/>
        <v>98.5</v>
      </c>
      <c r="H246" s="282">
        <f t="shared" si="90"/>
        <v>2283330</v>
      </c>
      <c r="I246" s="282">
        <f t="shared" si="90"/>
        <v>0</v>
      </c>
      <c r="J246" s="282">
        <f t="shared" si="90"/>
        <v>2283330</v>
      </c>
      <c r="K246" s="282">
        <f t="shared" si="90"/>
        <v>0</v>
      </c>
      <c r="L246" s="282">
        <f t="shared" si="90"/>
        <v>464240</v>
      </c>
      <c r="M246" s="282">
        <f t="shared" si="90"/>
        <v>0</v>
      </c>
      <c r="N246" s="282">
        <f t="shared" si="90"/>
        <v>464240</v>
      </c>
      <c r="O246" s="282">
        <f t="shared" si="90"/>
        <v>0</v>
      </c>
      <c r="P246" s="282">
        <f t="shared" si="90"/>
        <v>464240</v>
      </c>
      <c r="Q246" s="282">
        <f t="shared" si="90"/>
        <v>0</v>
      </c>
      <c r="R246" s="282">
        <f t="shared" si="90"/>
        <v>0</v>
      </c>
      <c r="S246" s="282">
        <f t="shared" si="90"/>
        <v>8432.5899999999983</v>
      </c>
      <c r="T246" s="282">
        <f t="shared" si="90"/>
        <v>112.43453333333332</v>
      </c>
      <c r="U246" s="282">
        <f t="shared" si="90"/>
        <v>0</v>
      </c>
      <c r="V246" s="282">
        <f t="shared" si="90"/>
        <v>112.43453333333332</v>
      </c>
    </row>
    <row r="248" spans="1:22">
      <c r="S248" s="85"/>
      <c r="T248" s="85"/>
      <c r="U248" s="85"/>
      <c r="V248" s="85"/>
    </row>
    <row r="249" spans="1:22" s="11" customFormat="1" ht="15.75">
      <c r="A249" s="61"/>
      <c r="B249" s="61"/>
      <c r="C249" s="61"/>
      <c r="D249" s="61"/>
      <c r="E249" s="61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462" t="s">
        <v>254</v>
      </c>
      <c r="T249" s="462"/>
      <c r="U249" s="462"/>
      <c r="V249" s="462"/>
    </row>
    <row r="256" spans="1:22" s="1" customFormat="1" ht="24" customHeight="1">
      <c r="A256" s="388" t="s">
        <v>342</v>
      </c>
      <c r="B256" s="388"/>
      <c r="C256" s="388"/>
      <c r="D256" s="388"/>
      <c r="E256" s="388"/>
      <c r="F256" s="388"/>
      <c r="G256" s="388"/>
      <c r="H256" s="388"/>
      <c r="I256" s="388"/>
      <c r="J256" s="388"/>
      <c r="K256" s="388"/>
      <c r="L256" s="388"/>
      <c r="M256" s="388"/>
      <c r="N256" s="388"/>
      <c r="O256" s="388"/>
      <c r="P256" s="388"/>
      <c r="Q256" s="388"/>
      <c r="R256" s="388"/>
      <c r="S256" s="388"/>
      <c r="T256" s="388"/>
      <c r="U256" s="388"/>
      <c r="V256" s="388"/>
    </row>
    <row r="257" spans="1:22" s="1" customFormat="1" ht="17.25" customHeight="1">
      <c r="A257" s="379" t="s">
        <v>343</v>
      </c>
      <c r="B257" s="379"/>
      <c r="C257" s="379"/>
      <c r="D257" s="379"/>
      <c r="E257" s="379"/>
      <c r="F257" s="379"/>
      <c r="G257" s="379"/>
      <c r="H257" s="379"/>
      <c r="I257" s="379"/>
      <c r="J257" s="379"/>
      <c r="K257" s="379"/>
      <c r="L257" s="379"/>
      <c r="M257" s="379"/>
      <c r="N257" s="379"/>
      <c r="O257" s="379"/>
      <c r="P257" s="379"/>
      <c r="Q257" s="379"/>
      <c r="R257" s="379"/>
      <c r="S257" s="379"/>
      <c r="T257" s="379"/>
      <c r="U257" s="379"/>
      <c r="V257" s="379"/>
    </row>
    <row r="258" spans="1:22" s="1" customFormat="1" ht="15.75" customHeight="1">
      <c r="A258" s="313" t="s">
        <v>274</v>
      </c>
      <c r="B258" s="313"/>
      <c r="C258" s="313"/>
      <c r="D258" s="313"/>
      <c r="E258" s="313"/>
      <c r="F258" s="313"/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  <c r="T258" s="313"/>
      <c r="U258" s="313"/>
      <c r="V258" s="313"/>
    </row>
    <row r="259" spans="1:22" ht="20.25">
      <c r="A259" s="379" t="s">
        <v>332</v>
      </c>
      <c r="B259" s="470"/>
      <c r="C259" s="470"/>
      <c r="D259" s="470"/>
      <c r="E259" s="470"/>
      <c r="F259" s="470"/>
      <c r="G259" s="470"/>
      <c r="H259" s="470"/>
      <c r="I259" s="470"/>
      <c r="J259" s="470"/>
      <c r="K259" s="470"/>
      <c r="L259" s="470"/>
      <c r="M259" s="470"/>
      <c r="N259" s="470"/>
      <c r="O259" s="470"/>
      <c r="P259" s="470"/>
      <c r="Q259" s="470"/>
      <c r="R259" s="470"/>
      <c r="S259" s="470"/>
      <c r="T259" s="470"/>
      <c r="U259" s="470"/>
      <c r="V259" s="470"/>
    </row>
    <row r="260" spans="1:22" ht="15" customHeight="1">
      <c r="A260" s="510" t="s">
        <v>15</v>
      </c>
      <c r="B260" s="510" t="s">
        <v>64</v>
      </c>
      <c r="C260" s="510" t="s">
        <v>65</v>
      </c>
      <c r="D260" s="512" t="s">
        <v>66</v>
      </c>
      <c r="E260" s="283"/>
      <c r="F260" s="277" t="s">
        <v>88</v>
      </c>
      <c r="G260" s="278" t="s">
        <v>157</v>
      </c>
      <c r="H260" s="505" t="s">
        <v>84</v>
      </c>
      <c r="I260" s="505" t="s">
        <v>138</v>
      </c>
      <c r="J260" s="505"/>
      <c r="K260" s="506" t="s">
        <v>139</v>
      </c>
      <c r="L260" s="506"/>
      <c r="M260" s="506" t="s">
        <v>86</v>
      </c>
      <c r="N260" s="506"/>
      <c r="O260" s="506" t="s">
        <v>25</v>
      </c>
      <c r="P260" s="506"/>
      <c r="Q260" s="506" t="s">
        <v>87</v>
      </c>
      <c r="R260" s="505" t="s">
        <v>146</v>
      </c>
      <c r="S260" s="506" t="s">
        <v>140</v>
      </c>
      <c r="T260" s="506"/>
      <c r="U260" s="506"/>
      <c r="V260" s="506"/>
    </row>
    <row r="261" spans="1:22">
      <c r="A261" s="511"/>
      <c r="B261" s="511"/>
      <c r="C261" s="511"/>
      <c r="D261" s="513"/>
      <c r="E261" s="279"/>
      <c r="F261" s="280" t="s">
        <v>338</v>
      </c>
      <c r="G261" s="278"/>
      <c r="H261" s="505"/>
      <c r="I261" s="278" t="s">
        <v>85</v>
      </c>
      <c r="J261" s="278" t="s">
        <v>70</v>
      </c>
      <c r="K261" s="281" t="s">
        <v>85</v>
      </c>
      <c r="L261" s="281" t="s">
        <v>70</v>
      </c>
      <c r="M261" s="278" t="s">
        <v>86</v>
      </c>
      <c r="N261" s="281" t="s">
        <v>70</v>
      </c>
      <c r="O261" s="281" t="s">
        <v>25</v>
      </c>
      <c r="P261" s="281" t="s">
        <v>70</v>
      </c>
      <c r="Q261" s="506"/>
      <c r="R261" s="505"/>
      <c r="S261" s="281" t="s">
        <v>155</v>
      </c>
      <c r="T261" s="281" t="s">
        <v>156</v>
      </c>
      <c r="U261" s="281" t="s">
        <v>141</v>
      </c>
      <c r="V261" s="281" t="s">
        <v>70</v>
      </c>
    </row>
    <row r="262" spans="1:22">
      <c r="A262" s="285">
        <v>1</v>
      </c>
      <c r="B262" s="288" t="s">
        <v>225</v>
      </c>
      <c r="C262" s="273" t="s">
        <v>196</v>
      </c>
      <c r="D262" s="274">
        <v>17</v>
      </c>
      <c r="E262" s="274"/>
      <c r="F262" s="274">
        <v>38925</v>
      </c>
      <c r="G262" s="285">
        <v>4.5</v>
      </c>
      <c r="H262" s="285">
        <f>G262*F262</f>
        <v>175162.5</v>
      </c>
      <c r="I262" s="117"/>
      <c r="J262" s="285">
        <f>H262-I262</f>
        <v>175162.5</v>
      </c>
      <c r="K262" s="285">
        <f>I262/G262</f>
        <v>0</v>
      </c>
      <c r="L262" s="285">
        <f>F262-K262</f>
        <v>38925</v>
      </c>
      <c r="M262" s="117"/>
      <c r="N262" s="285">
        <f>F262-M262</f>
        <v>38925</v>
      </c>
      <c r="O262" s="285">
        <f>'Sec-8'!D56</f>
        <v>0</v>
      </c>
      <c r="P262" s="285">
        <f>F262-O262</f>
        <v>38925</v>
      </c>
      <c r="Q262" s="285">
        <f>M262-O262</f>
        <v>0</v>
      </c>
      <c r="R262" s="285">
        <f t="shared" ref="R262:R283" si="91">D262*M262/1000</f>
        <v>0</v>
      </c>
      <c r="S262" s="285">
        <f t="shared" ref="S262:S283" si="92">D262*F262/1000</f>
        <v>661.72500000000002</v>
      </c>
      <c r="T262" s="285">
        <f>S262/75</f>
        <v>8.8230000000000004</v>
      </c>
      <c r="U262" s="285">
        <f t="shared" ref="U262:U283" si="93">D262*K262/1000/75</f>
        <v>0</v>
      </c>
      <c r="V262" s="285">
        <f>T262-U262</f>
        <v>8.8230000000000004</v>
      </c>
    </row>
    <row r="263" spans="1:22">
      <c r="A263" s="285">
        <v>2</v>
      </c>
      <c r="B263" s="288" t="s">
        <v>173</v>
      </c>
      <c r="C263" s="273" t="s">
        <v>196</v>
      </c>
      <c r="D263" s="274">
        <v>8</v>
      </c>
      <c r="E263" s="274"/>
      <c r="F263" s="274">
        <v>38925</v>
      </c>
      <c r="G263" s="285">
        <v>2</v>
      </c>
      <c r="H263" s="285">
        <f t="shared" ref="H263:H283" si="94">G263*F263</f>
        <v>77850</v>
      </c>
      <c r="I263" s="117"/>
      <c r="J263" s="285">
        <f t="shared" ref="J263:J283" si="95">H263-I263</f>
        <v>77850</v>
      </c>
      <c r="K263" s="285">
        <f t="shared" ref="K263:K283" si="96">I263/G263</f>
        <v>0</v>
      </c>
      <c r="L263" s="285">
        <f t="shared" ref="L263:L283" si="97">F263-K263</f>
        <v>38925</v>
      </c>
      <c r="M263" s="117"/>
      <c r="N263" s="285">
        <f t="shared" ref="N263:N283" si="98">F263-M263</f>
        <v>38925</v>
      </c>
      <c r="O263" s="285">
        <f>'Sec-8'!E56</f>
        <v>0</v>
      </c>
      <c r="P263" s="285">
        <f t="shared" ref="P263:P283" si="99">F263-O263</f>
        <v>38925</v>
      </c>
      <c r="Q263" s="285">
        <f t="shared" ref="Q263:Q283" si="100">M263-O263</f>
        <v>0</v>
      </c>
      <c r="R263" s="285">
        <f t="shared" si="91"/>
        <v>0</v>
      </c>
      <c r="S263" s="285">
        <f t="shared" si="92"/>
        <v>311.39999999999998</v>
      </c>
      <c r="T263" s="285">
        <f t="shared" ref="T263:T283" si="101">S263/75</f>
        <v>4.1520000000000001</v>
      </c>
      <c r="U263" s="285">
        <f t="shared" si="93"/>
        <v>0</v>
      </c>
      <c r="V263" s="285">
        <f t="shared" ref="V263:V283" si="102">T263-U263</f>
        <v>4.1520000000000001</v>
      </c>
    </row>
    <row r="264" spans="1:22">
      <c r="A264" s="285">
        <v>3</v>
      </c>
      <c r="B264" s="288" t="s">
        <v>56</v>
      </c>
      <c r="C264" s="273" t="s">
        <v>196</v>
      </c>
      <c r="D264" s="274">
        <v>17.5</v>
      </c>
      <c r="E264" s="274"/>
      <c r="F264" s="274">
        <v>38925</v>
      </c>
      <c r="G264" s="285">
        <v>4.75</v>
      </c>
      <c r="H264" s="285">
        <f t="shared" si="94"/>
        <v>184893.75</v>
      </c>
      <c r="I264" s="117"/>
      <c r="J264" s="285">
        <f t="shared" si="95"/>
        <v>184893.75</v>
      </c>
      <c r="K264" s="285">
        <f t="shared" si="96"/>
        <v>0</v>
      </c>
      <c r="L264" s="285">
        <f t="shared" si="97"/>
        <v>38925</v>
      </c>
      <c r="M264" s="117"/>
      <c r="N264" s="285">
        <f t="shared" si="98"/>
        <v>38925</v>
      </c>
      <c r="O264" s="285">
        <f>'Sec-8'!F56</f>
        <v>0</v>
      </c>
      <c r="P264" s="285">
        <f t="shared" si="99"/>
        <v>38925</v>
      </c>
      <c r="Q264" s="285">
        <f t="shared" si="100"/>
        <v>0</v>
      </c>
      <c r="R264" s="285">
        <f t="shared" si="91"/>
        <v>0</v>
      </c>
      <c r="S264" s="285">
        <f t="shared" si="92"/>
        <v>681.1875</v>
      </c>
      <c r="T264" s="285">
        <f t="shared" si="101"/>
        <v>9.0824999999999996</v>
      </c>
      <c r="U264" s="285">
        <f t="shared" si="93"/>
        <v>0</v>
      </c>
      <c r="V264" s="285">
        <f t="shared" si="102"/>
        <v>9.0824999999999996</v>
      </c>
    </row>
    <row r="265" spans="1:22">
      <c r="A265" s="285">
        <v>4</v>
      </c>
      <c r="B265" s="288" t="s">
        <v>27</v>
      </c>
      <c r="C265" s="273" t="s">
        <v>196</v>
      </c>
      <c r="D265" s="274">
        <v>20</v>
      </c>
      <c r="E265" s="274"/>
      <c r="F265" s="274">
        <v>38925</v>
      </c>
      <c r="G265" s="285">
        <v>5</v>
      </c>
      <c r="H265" s="285">
        <f t="shared" si="94"/>
        <v>194625</v>
      </c>
      <c r="I265" s="117"/>
      <c r="J265" s="285">
        <f t="shared" si="95"/>
        <v>194625</v>
      </c>
      <c r="K265" s="285">
        <f t="shared" si="96"/>
        <v>0</v>
      </c>
      <c r="L265" s="285">
        <f t="shared" si="97"/>
        <v>38925</v>
      </c>
      <c r="M265" s="117"/>
      <c r="N265" s="285">
        <f t="shared" si="98"/>
        <v>38925</v>
      </c>
      <c r="O265" s="285">
        <f>'Sec-8'!G56</f>
        <v>0</v>
      </c>
      <c r="P265" s="285">
        <f t="shared" si="99"/>
        <v>38925</v>
      </c>
      <c r="Q265" s="285">
        <f t="shared" si="100"/>
        <v>0</v>
      </c>
      <c r="R265" s="285">
        <f t="shared" si="91"/>
        <v>0</v>
      </c>
      <c r="S265" s="285">
        <f t="shared" si="92"/>
        <v>778.5</v>
      </c>
      <c r="T265" s="285">
        <f t="shared" si="101"/>
        <v>10.38</v>
      </c>
      <c r="U265" s="285">
        <f t="shared" si="93"/>
        <v>0</v>
      </c>
      <c r="V265" s="285">
        <f t="shared" si="102"/>
        <v>10.38</v>
      </c>
    </row>
    <row r="266" spans="1:22">
      <c r="A266" s="285">
        <v>5</v>
      </c>
      <c r="B266" s="288" t="s">
        <v>175</v>
      </c>
      <c r="C266" s="273" t="s">
        <v>196</v>
      </c>
      <c r="D266" s="274">
        <v>31</v>
      </c>
      <c r="E266" s="274"/>
      <c r="F266" s="274">
        <v>38925</v>
      </c>
      <c r="G266" s="285">
        <v>8.5</v>
      </c>
      <c r="H266" s="285">
        <f t="shared" si="94"/>
        <v>330862.5</v>
      </c>
      <c r="I266" s="117"/>
      <c r="J266" s="285">
        <f t="shared" si="95"/>
        <v>330862.5</v>
      </c>
      <c r="K266" s="285">
        <f t="shared" si="96"/>
        <v>0</v>
      </c>
      <c r="L266" s="285">
        <f t="shared" si="97"/>
        <v>38925</v>
      </c>
      <c r="M266" s="117"/>
      <c r="N266" s="285">
        <f t="shared" si="98"/>
        <v>38925</v>
      </c>
      <c r="O266" s="285">
        <f>'Sec-8'!H56</f>
        <v>0</v>
      </c>
      <c r="P266" s="285">
        <f t="shared" si="99"/>
        <v>38925</v>
      </c>
      <c r="Q266" s="285">
        <f t="shared" si="100"/>
        <v>0</v>
      </c>
      <c r="R266" s="285">
        <f t="shared" si="91"/>
        <v>0</v>
      </c>
      <c r="S266" s="285">
        <f t="shared" si="92"/>
        <v>1206.675</v>
      </c>
      <c r="T266" s="285">
        <f t="shared" si="101"/>
        <v>16.088999999999999</v>
      </c>
      <c r="U266" s="285">
        <f t="shared" si="93"/>
        <v>0</v>
      </c>
      <c r="V266" s="285">
        <f t="shared" si="102"/>
        <v>16.088999999999999</v>
      </c>
    </row>
    <row r="267" spans="1:22">
      <c r="A267" s="285">
        <v>6</v>
      </c>
      <c r="B267" s="288" t="s">
        <v>31</v>
      </c>
      <c r="C267" s="273" t="s">
        <v>196</v>
      </c>
      <c r="D267" s="274">
        <v>23.5</v>
      </c>
      <c r="E267" s="274"/>
      <c r="F267" s="274">
        <v>38925</v>
      </c>
      <c r="G267" s="285">
        <v>6.75</v>
      </c>
      <c r="H267" s="285">
        <f t="shared" si="94"/>
        <v>262743.75</v>
      </c>
      <c r="I267" s="117"/>
      <c r="J267" s="285">
        <f t="shared" si="95"/>
        <v>262743.75</v>
      </c>
      <c r="K267" s="285">
        <f t="shared" si="96"/>
        <v>0</v>
      </c>
      <c r="L267" s="285">
        <f t="shared" si="97"/>
        <v>38925</v>
      </c>
      <c r="M267" s="117"/>
      <c r="N267" s="285">
        <f t="shared" si="98"/>
        <v>38925</v>
      </c>
      <c r="O267" s="285">
        <f>'Sec-8'!I56</f>
        <v>0</v>
      </c>
      <c r="P267" s="285">
        <f t="shared" si="99"/>
        <v>38925</v>
      </c>
      <c r="Q267" s="285">
        <f t="shared" si="100"/>
        <v>0</v>
      </c>
      <c r="R267" s="285">
        <f t="shared" si="91"/>
        <v>0</v>
      </c>
      <c r="S267" s="285">
        <f t="shared" si="92"/>
        <v>914.73749999999995</v>
      </c>
      <c r="T267" s="285">
        <f t="shared" si="101"/>
        <v>12.196499999999999</v>
      </c>
      <c r="U267" s="285">
        <f t="shared" si="93"/>
        <v>0</v>
      </c>
      <c r="V267" s="285">
        <f t="shared" si="102"/>
        <v>12.196499999999999</v>
      </c>
    </row>
    <row r="268" spans="1:22">
      <c r="A268" s="285">
        <v>7</v>
      </c>
      <c r="B268" s="288" t="s">
        <v>72</v>
      </c>
      <c r="C268" s="273" t="s">
        <v>196</v>
      </c>
      <c r="D268" s="274">
        <v>18.5</v>
      </c>
      <c r="E268" s="274"/>
      <c r="F268" s="274">
        <v>38925</v>
      </c>
      <c r="G268" s="285">
        <v>5.25</v>
      </c>
      <c r="H268" s="285">
        <f t="shared" si="94"/>
        <v>204356.25</v>
      </c>
      <c r="I268" s="117"/>
      <c r="J268" s="285">
        <f t="shared" si="95"/>
        <v>204356.25</v>
      </c>
      <c r="K268" s="285">
        <f t="shared" si="96"/>
        <v>0</v>
      </c>
      <c r="L268" s="285">
        <f t="shared" si="97"/>
        <v>38925</v>
      </c>
      <c r="M268" s="117"/>
      <c r="N268" s="285">
        <f t="shared" si="98"/>
        <v>38925</v>
      </c>
      <c r="O268" s="285">
        <f>'Sec-8'!J56</f>
        <v>0</v>
      </c>
      <c r="P268" s="285">
        <f t="shared" si="99"/>
        <v>38925</v>
      </c>
      <c r="Q268" s="285">
        <f t="shared" si="100"/>
        <v>0</v>
      </c>
      <c r="R268" s="285">
        <f t="shared" si="91"/>
        <v>0</v>
      </c>
      <c r="S268" s="285">
        <f t="shared" si="92"/>
        <v>720.11249999999995</v>
      </c>
      <c r="T268" s="285">
        <f t="shared" si="101"/>
        <v>9.6014999999999997</v>
      </c>
      <c r="U268" s="285">
        <f t="shared" si="93"/>
        <v>0</v>
      </c>
      <c r="V268" s="285">
        <f t="shared" si="102"/>
        <v>9.6014999999999997</v>
      </c>
    </row>
    <row r="269" spans="1:22">
      <c r="A269" s="285">
        <v>8</v>
      </c>
      <c r="B269" s="288" t="s">
        <v>32</v>
      </c>
      <c r="C269" s="273" t="s">
        <v>196</v>
      </c>
      <c r="D269" s="274">
        <v>20</v>
      </c>
      <c r="E269" s="274"/>
      <c r="F269" s="274">
        <v>38925</v>
      </c>
      <c r="G269" s="285">
        <v>5</v>
      </c>
      <c r="H269" s="285">
        <f t="shared" si="94"/>
        <v>194625</v>
      </c>
      <c r="I269" s="117"/>
      <c r="J269" s="285">
        <f t="shared" si="95"/>
        <v>194625</v>
      </c>
      <c r="K269" s="285">
        <f t="shared" si="96"/>
        <v>0</v>
      </c>
      <c r="L269" s="285">
        <f t="shared" si="97"/>
        <v>38925</v>
      </c>
      <c r="M269" s="117"/>
      <c r="N269" s="285">
        <f t="shared" si="98"/>
        <v>38925</v>
      </c>
      <c r="O269" s="285">
        <f>'Sec-8'!K56</f>
        <v>0</v>
      </c>
      <c r="P269" s="285">
        <f t="shared" si="99"/>
        <v>38925</v>
      </c>
      <c r="Q269" s="285">
        <f t="shared" si="100"/>
        <v>0</v>
      </c>
      <c r="R269" s="285">
        <f t="shared" si="91"/>
        <v>0</v>
      </c>
      <c r="S269" s="285">
        <f t="shared" si="92"/>
        <v>778.5</v>
      </c>
      <c r="T269" s="285">
        <f t="shared" si="101"/>
        <v>10.38</v>
      </c>
      <c r="U269" s="285">
        <f t="shared" si="93"/>
        <v>0</v>
      </c>
      <c r="V269" s="285">
        <f t="shared" si="102"/>
        <v>10.38</v>
      </c>
    </row>
    <row r="270" spans="1:22">
      <c r="A270" s="285">
        <v>9</v>
      </c>
      <c r="B270" s="288" t="s">
        <v>43</v>
      </c>
      <c r="C270" s="273" t="s">
        <v>196</v>
      </c>
      <c r="D270" s="274">
        <v>9</v>
      </c>
      <c r="E270" s="274"/>
      <c r="F270" s="274">
        <v>190</v>
      </c>
      <c r="G270" s="285">
        <v>2.5</v>
      </c>
      <c r="H270" s="285">
        <f t="shared" si="94"/>
        <v>475</v>
      </c>
      <c r="I270" s="117"/>
      <c r="J270" s="285">
        <f t="shared" si="95"/>
        <v>475</v>
      </c>
      <c r="K270" s="285">
        <f t="shared" si="96"/>
        <v>0</v>
      </c>
      <c r="L270" s="285">
        <f t="shared" si="97"/>
        <v>190</v>
      </c>
      <c r="M270" s="117"/>
      <c r="N270" s="285">
        <f t="shared" si="98"/>
        <v>190</v>
      </c>
      <c r="O270" s="285">
        <f>'Sec-8'!L56</f>
        <v>0</v>
      </c>
      <c r="P270" s="285">
        <f t="shared" si="99"/>
        <v>190</v>
      </c>
      <c r="Q270" s="285">
        <f t="shared" si="100"/>
        <v>0</v>
      </c>
      <c r="R270" s="285">
        <f t="shared" si="91"/>
        <v>0</v>
      </c>
      <c r="S270" s="285">
        <f t="shared" si="92"/>
        <v>1.71</v>
      </c>
      <c r="T270" s="285">
        <f t="shared" si="101"/>
        <v>2.2800000000000001E-2</v>
      </c>
      <c r="U270" s="285">
        <f t="shared" si="93"/>
        <v>0</v>
      </c>
      <c r="V270" s="285">
        <f t="shared" si="102"/>
        <v>2.2800000000000001E-2</v>
      </c>
    </row>
    <row r="271" spans="1:22">
      <c r="A271" s="285">
        <v>10</v>
      </c>
      <c r="B271" s="288" t="s">
        <v>73</v>
      </c>
      <c r="C271" s="273" t="s">
        <v>196</v>
      </c>
      <c r="D271" s="274">
        <v>10.5</v>
      </c>
      <c r="E271" s="274"/>
      <c r="F271" s="274">
        <v>38925</v>
      </c>
      <c r="G271" s="285">
        <v>3.25</v>
      </c>
      <c r="H271" s="285">
        <f t="shared" si="94"/>
        <v>126506.25</v>
      </c>
      <c r="I271" s="117"/>
      <c r="J271" s="285">
        <f t="shared" si="95"/>
        <v>126506.25</v>
      </c>
      <c r="K271" s="285">
        <f t="shared" si="96"/>
        <v>0</v>
      </c>
      <c r="L271" s="285">
        <f t="shared" si="97"/>
        <v>38925</v>
      </c>
      <c r="M271" s="117"/>
      <c r="N271" s="285">
        <f t="shared" si="98"/>
        <v>38925</v>
      </c>
      <c r="O271" s="285">
        <f>'Sec-8'!M56</f>
        <v>0</v>
      </c>
      <c r="P271" s="285">
        <f t="shared" si="99"/>
        <v>38925</v>
      </c>
      <c r="Q271" s="285">
        <f t="shared" si="100"/>
        <v>0</v>
      </c>
      <c r="R271" s="285">
        <f t="shared" si="91"/>
        <v>0</v>
      </c>
      <c r="S271" s="285">
        <f t="shared" si="92"/>
        <v>408.71249999999998</v>
      </c>
      <c r="T271" s="285">
        <f t="shared" si="101"/>
        <v>5.4494999999999996</v>
      </c>
      <c r="U271" s="285">
        <f t="shared" si="93"/>
        <v>0</v>
      </c>
      <c r="V271" s="285">
        <f t="shared" si="102"/>
        <v>5.4494999999999996</v>
      </c>
    </row>
    <row r="272" spans="1:22">
      <c r="A272" s="285">
        <v>11</v>
      </c>
      <c r="B272" s="288" t="s">
        <v>74</v>
      </c>
      <c r="C272" s="273" t="s">
        <v>196</v>
      </c>
      <c r="D272" s="274">
        <v>9</v>
      </c>
      <c r="E272" s="274"/>
      <c r="F272" s="274">
        <v>86</v>
      </c>
      <c r="G272" s="285">
        <v>2.5</v>
      </c>
      <c r="H272" s="285">
        <f t="shared" si="94"/>
        <v>215</v>
      </c>
      <c r="I272" s="117"/>
      <c r="J272" s="285">
        <f t="shared" si="95"/>
        <v>215</v>
      </c>
      <c r="K272" s="285">
        <f t="shared" si="96"/>
        <v>0</v>
      </c>
      <c r="L272" s="285">
        <f t="shared" si="97"/>
        <v>86</v>
      </c>
      <c r="M272" s="117"/>
      <c r="N272" s="285">
        <f t="shared" si="98"/>
        <v>86</v>
      </c>
      <c r="O272" s="285">
        <f>'Sec-8'!N56</f>
        <v>0</v>
      </c>
      <c r="P272" s="285">
        <f t="shared" si="99"/>
        <v>86</v>
      </c>
      <c r="Q272" s="285">
        <f t="shared" si="100"/>
        <v>0</v>
      </c>
      <c r="R272" s="285">
        <f t="shared" si="91"/>
        <v>0</v>
      </c>
      <c r="S272" s="285">
        <f t="shared" si="92"/>
        <v>0.77400000000000002</v>
      </c>
      <c r="T272" s="285">
        <f t="shared" si="101"/>
        <v>1.0320000000000001E-2</v>
      </c>
      <c r="U272" s="285">
        <f t="shared" si="93"/>
        <v>0</v>
      </c>
      <c r="V272" s="285">
        <f t="shared" si="102"/>
        <v>1.0320000000000001E-2</v>
      </c>
    </row>
    <row r="273" spans="1:22">
      <c r="A273" s="285">
        <v>12</v>
      </c>
      <c r="B273" s="288" t="s">
        <v>192</v>
      </c>
      <c r="C273" s="273" t="s">
        <v>196</v>
      </c>
      <c r="D273" s="274">
        <v>10.5</v>
      </c>
      <c r="E273" s="274"/>
      <c r="F273" s="274">
        <v>120</v>
      </c>
      <c r="G273" s="285">
        <v>3.25</v>
      </c>
      <c r="H273" s="285">
        <f t="shared" si="94"/>
        <v>390</v>
      </c>
      <c r="I273" s="117"/>
      <c r="J273" s="285">
        <f t="shared" si="95"/>
        <v>390</v>
      </c>
      <c r="K273" s="285">
        <f t="shared" si="96"/>
        <v>0</v>
      </c>
      <c r="L273" s="285">
        <f t="shared" si="97"/>
        <v>120</v>
      </c>
      <c r="M273" s="117"/>
      <c r="N273" s="285">
        <f t="shared" si="98"/>
        <v>120</v>
      </c>
      <c r="O273" s="285">
        <f>'Sec-8'!O56</f>
        <v>0</v>
      </c>
      <c r="P273" s="285">
        <f t="shared" si="99"/>
        <v>120</v>
      </c>
      <c r="Q273" s="285">
        <f t="shared" si="100"/>
        <v>0</v>
      </c>
      <c r="R273" s="285">
        <f t="shared" si="91"/>
        <v>0</v>
      </c>
      <c r="S273" s="285">
        <f t="shared" si="92"/>
        <v>1.26</v>
      </c>
      <c r="T273" s="285">
        <f t="shared" si="101"/>
        <v>1.6799999999999999E-2</v>
      </c>
      <c r="U273" s="285">
        <f t="shared" si="93"/>
        <v>0</v>
      </c>
      <c r="V273" s="285">
        <f t="shared" si="102"/>
        <v>1.6799999999999999E-2</v>
      </c>
    </row>
    <row r="274" spans="1:22">
      <c r="A274" s="285">
        <v>13</v>
      </c>
      <c r="B274" s="288" t="s">
        <v>47</v>
      </c>
      <c r="C274" s="273" t="s">
        <v>196</v>
      </c>
      <c r="D274" s="274">
        <v>17</v>
      </c>
      <c r="E274" s="274"/>
      <c r="F274" s="274">
        <v>29555</v>
      </c>
      <c r="G274" s="285">
        <v>4.5</v>
      </c>
      <c r="H274" s="285">
        <f t="shared" si="94"/>
        <v>132997.5</v>
      </c>
      <c r="I274" s="117"/>
      <c r="J274" s="285">
        <f t="shared" si="95"/>
        <v>132997.5</v>
      </c>
      <c r="K274" s="285">
        <f t="shared" si="96"/>
        <v>0</v>
      </c>
      <c r="L274" s="285">
        <f t="shared" si="97"/>
        <v>29555</v>
      </c>
      <c r="M274" s="117"/>
      <c r="N274" s="285">
        <f t="shared" si="98"/>
        <v>29555</v>
      </c>
      <c r="O274" s="285">
        <f>'Sec-8'!P56</f>
        <v>0</v>
      </c>
      <c r="P274" s="285">
        <f t="shared" si="99"/>
        <v>29555</v>
      </c>
      <c r="Q274" s="285">
        <f t="shared" si="100"/>
        <v>0</v>
      </c>
      <c r="R274" s="285">
        <f t="shared" si="91"/>
        <v>0</v>
      </c>
      <c r="S274" s="285">
        <f t="shared" si="92"/>
        <v>502.435</v>
      </c>
      <c r="T274" s="285">
        <f t="shared" si="101"/>
        <v>6.6991333333333332</v>
      </c>
      <c r="U274" s="285">
        <f t="shared" si="93"/>
        <v>0</v>
      </c>
      <c r="V274" s="285">
        <f t="shared" si="102"/>
        <v>6.6991333333333332</v>
      </c>
    </row>
    <row r="275" spans="1:22">
      <c r="A275" s="285">
        <v>14</v>
      </c>
      <c r="B275" s="288" t="s">
        <v>226</v>
      </c>
      <c r="C275" s="273" t="s">
        <v>196</v>
      </c>
      <c r="D275" s="274">
        <v>17</v>
      </c>
      <c r="E275" s="274"/>
      <c r="F275" s="274">
        <v>8974</v>
      </c>
      <c r="G275" s="285">
        <v>4.5</v>
      </c>
      <c r="H275" s="285">
        <f t="shared" si="94"/>
        <v>40383</v>
      </c>
      <c r="I275" s="117"/>
      <c r="J275" s="285">
        <f t="shared" si="95"/>
        <v>40383</v>
      </c>
      <c r="K275" s="285">
        <f t="shared" si="96"/>
        <v>0</v>
      </c>
      <c r="L275" s="285">
        <f t="shared" si="97"/>
        <v>8974</v>
      </c>
      <c r="M275" s="117"/>
      <c r="N275" s="285">
        <f t="shared" si="98"/>
        <v>8974</v>
      </c>
      <c r="O275" s="285">
        <f>'Sec-8'!Q56</f>
        <v>0</v>
      </c>
      <c r="P275" s="285">
        <f t="shared" si="99"/>
        <v>8974</v>
      </c>
      <c r="Q275" s="285">
        <f t="shared" si="100"/>
        <v>0</v>
      </c>
      <c r="R275" s="285">
        <f t="shared" si="91"/>
        <v>0</v>
      </c>
      <c r="S275" s="285">
        <f t="shared" si="92"/>
        <v>152.55799999999999</v>
      </c>
      <c r="T275" s="285">
        <f t="shared" si="101"/>
        <v>2.0341066666666667</v>
      </c>
      <c r="U275" s="285">
        <f t="shared" si="93"/>
        <v>0</v>
      </c>
      <c r="V275" s="285">
        <f t="shared" si="102"/>
        <v>2.0341066666666667</v>
      </c>
    </row>
    <row r="276" spans="1:22">
      <c r="A276" s="285">
        <v>15</v>
      </c>
      <c r="B276" s="288" t="s">
        <v>180</v>
      </c>
      <c r="C276" s="273" t="s">
        <v>196</v>
      </c>
      <c r="D276" s="274">
        <v>17.5</v>
      </c>
      <c r="E276" s="274"/>
      <c r="F276" s="274">
        <v>27030</v>
      </c>
      <c r="G276" s="285">
        <v>4.75</v>
      </c>
      <c r="H276" s="285">
        <f t="shared" si="94"/>
        <v>128392.5</v>
      </c>
      <c r="I276" s="117"/>
      <c r="J276" s="285">
        <f t="shared" si="95"/>
        <v>128392.5</v>
      </c>
      <c r="K276" s="285">
        <f t="shared" si="96"/>
        <v>0</v>
      </c>
      <c r="L276" s="285">
        <f t="shared" si="97"/>
        <v>27030</v>
      </c>
      <c r="M276" s="117"/>
      <c r="N276" s="285">
        <f t="shared" si="98"/>
        <v>27030</v>
      </c>
      <c r="O276" s="285">
        <f>'Sec-8'!R56</f>
        <v>0</v>
      </c>
      <c r="P276" s="285">
        <f t="shared" si="99"/>
        <v>27030</v>
      </c>
      <c r="Q276" s="285">
        <f t="shared" si="100"/>
        <v>0</v>
      </c>
      <c r="R276" s="285">
        <f t="shared" si="91"/>
        <v>0</v>
      </c>
      <c r="S276" s="285">
        <f t="shared" si="92"/>
        <v>473.02499999999998</v>
      </c>
      <c r="T276" s="285">
        <f t="shared" si="101"/>
        <v>6.3069999999999995</v>
      </c>
      <c r="U276" s="285">
        <f t="shared" si="93"/>
        <v>0</v>
      </c>
      <c r="V276" s="285">
        <f t="shared" si="102"/>
        <v>6.3069999999999995</v>
      </c>
    </row>
    <row r="277" spans="1:22">
      <c r="A277" s="285">
        <v>16</v>
      </c>
      <c r="B277" s="288" t="s">
        <v>181</v>
      </c>
      <c r="C277" s="273" t="s">
        <v>196</v>
      </c>
      <c r="D277" s="274">
        <v>14.5</v>
      </c>
      <c r="E277" s="274"/>
      <c r="F277" s="274">
        <v>11182</v>
      </c>
      <c r="G277" s="285">
        <v>4.25</v>
      </c>
      <c r="H277" s="285">
        <f t="shared" si="94"/>
        <v>47523.5</v>
      </c>
      <c r="I277" s="117"/>
      <c r="J277" s="285">
        <f t="shared" si="95"/>
        <v>47523.5</v>
      </c>
      <c r="K277" s="285">
        <f t="shared" si="96"/>
        <v>0</v>
      </c>
      <c r="L277" s="285">
        <f t="shared" si="97"/>
        <v>11182</v>
      </c>
      <c r="M277" s="117"/>
      <c r="N277" s="285">
        <f t="shared" si="98"/>
        <v>11182</v>
      </c>
      <c r="O277" s="285">
        <f>'Sec-8'!S56</f>
        <v>0</v>
      </c>
      <c r="P277" s="285">
        <f t="shared" si="99"/>
        <v>11182</v>
      </c>
      <c r="Q277" s="285">
        <f t="shared" si="100"/>
        <v>0</v>
      </c>
      <c r="R277" s="285">
        <f t="shared" si="91"/>
        <v>0</v>
      </c>
      <c r="S277" s="285">
        <f t="shared" si="92"/>
        <v>162.13900000000001</v>
      </c>
      <c r="T277" s="285">
        <f t="shared" si="101"/>
        <v>2.1618533333333336</v>
      </c>
      <c r="U277" s="285">
        <f t="shared" si="93"/>
        <v>0</v>
      </c>
      <c r="V277" s="285">
        <f t="shared" si="102"/>
        <v>2.1618533333333336</v>
      </c>
    </row>
    <row r="278" spans="1:22">
      <c r="A278" s="285">
        <v>17</v>
      </c>
      <c r="B278" s="288" t="s">
        <v>76</v>
      </c>
      <c r="C278" s="273" t="s">
        <v>196</v>
      </c>
      <c r="D278" s="274">
        <v>14</v>
      </c>
      <c r="E278" s="274"/>
      <c r="F278" s="274">
        <v>688</v>
      </c>
      <c r="G278" s="285">
        <v>4</v>
      </c>
      <c r="H278" s="285">
        <f t="shared" si="94"/>
        <v>2752</v>
      </c>
      <c r="I278" s="117"/>
      <c r="J278" s="285">
        <f t="shared" si="95"/>
        <v>2752</v>
      </c>
      <c r="K278" s="285">
        <f t="shared" si="96"/>
        <v>0</v>
      </c>
      <c r="L278" s="285">
        <f t="shared" si="97"/>
        <v>688</v>
      </c>
      <c r="M278" s="117"/>
      <c r="N278" s="285">
        <f t="shared" si="98"/>
        <v>688</v>
      </c>
      <c r="O278" s="285">
        <f>'Sec-8'!T56</f>
        <v>0</v>
      </c>
      <c r="P278" s="285">
        <f t="shared" si="99"/>
        <v>688</v>
      </c>
      <c r="Q278" s="285">
        <f t="shared" si="100"/>
        <v>0</v>
      </c>
      <c r="R278" s="285">
        <f t="shared" si="91"/>
        <v>0</v>
      </c>
      <c r="S278" s="285">
        <f t="shared" si="92"/>
        <v>9.6319999999999997</v>
      </c>
      <c r="T278" s="285">
        <f t="shared" si="101"/>
        <v>0.12842666666666666</v>
      </c>
      <c r="U278" s="285">
        <f t="shared" si="93"/>
        <v>0</v>
      </c>
      <c r="V278" s="285">
        <f t="shared" si="102"/>
        <v>0.12842666666666666</v>
      </c>
    </row>
    <row r="279" spans="1:22">
      <c r="A279" s="285">
        <v>18</v>
      </c>
      <c r="B279" s="288" t="s">
        <v>51</v>
      </c>
      <c r="C279" s="273" t="s">
        <v>196</v>
      </c>
      <c r="D279" s="274">
        <v>17</v>
      </c>
      <c r="E279" s="274"/>
      <c r="F279" s="274">
        <v>25</v>
      </c>
      <c r="G279" s="285">
        <v>4.5</v>
      </c>
      <c r="H279" s="285">
        <f t="shared" si="94"/>
        <v>112.5</v>
      </c>
      <c r="I279" s="117"/>
      <c r="J279" s="285">
        <f t="shared" si="95"/>
        <v>112.5</v>
      </c>
      <c r="K279" s="285">
        <f t="shared" si="96"/>
        <v>0</v>
      </c>
      <c r="L279" s="285">
        <f t="shared" si="97"/>
        <v>25</v>
      </c>
      <c r="M279" s="117"/>
      <c r="N279" s="285">
        <f t="shared" si="98"/>
        <v>25</v>
      </c>
      <c r="O279" s="285">
        <f>'Sec-8'!U56</f>
        <v>0</v>
      </c>
      <c r="P279" s="285">
        <f t="shared" si="99"/>
        <v>25</v>
      </c>
      <c r="Q279" s="285">
        <f t="shared" si="100"/>
        <v>0</v>
      </c>
      <c r="R279" s="285">
        <f t="shared" si="91"/>
        <v>0</v>
      </c>
      <c r="S279" s="285">
        <f t="shared" si="92"/>
        <v>0.42499999999999999</v>
      </c>
      <c r="T279" s="285">
        <f t="shared" si="101"/>
        <v>5.6666666666666662E-3</v>
      </c>
      <c r="U279" s="285">
        <f t="shared" si="93"/>
        <v>0</v>
      </c>
      <c r="V279" s="285">
        <f t="shared" si="102"/>
        <v>5.6666666666666662E-3</v>
      </c>
    </row>
    <row r="280" spans="1:22">
      <c r="A280" s="285">
        <v>19</v>
      </c>
      <c r="B280" s="288" t="s">
        <v>112</v>
      </c>
      <c r="C280" s="273" t="s">
        <v>196</v>
      </c>
      <c r="D280" s="274">
        <v>15</v>
      </c>
      <c r="E280" s="274"/>
      <c r="F280" s="274">
        <v>0</v>
      </c>
      <c r="G280" s="285">
        <v>4.5</v>
      </c>
      <c r="H280" s="285">
        <f t="shared" si="94"/>
        <v>0</v>
      </c>
      <c r="I280" s="117"/>
      <c r="J280" s="285">
        <f t="shared" si="95"/>
        <v>0</v>
      </c>
      <c r="K280" s="285">
        <f t="shared" si="96"/>
        <v>0</v>
      </c>
      <c r="L280" s="285">
        <f t="shared" si="97"/>
        <v>0</v>
      </c>
      <c r="M280" s="117"/>
      <c r="N280" s="285">
        <f t="shared" si="98"/>
        <v>0</v>
      </c>
      <c r="O280" s="285">
        <f>'Sec-8'!V56</f>
        <v>0</v>
      </c>
      <c r="P280" s="285">
        <f t="shared" si="99"/>
        <v>0</v>
      </c>
      <c r="Q280" s="285">
        <f t="shared" si="100"/>
        <v>0</v>
      </c>
      <c r="R280" s="285">
        <f t="shared" si="91"/>
        <v>0</v>
      </c>
      <c r="S280" s="285">
        <f t="shared" si="92"/>
        <v>0</v>
      </c>
      <c r="T280" s="285">
        <f t="shared" si="101"/>
        <v>0</v>
      </c>
      <c r="U280" s="285">
        <f t="shared" si="93"/>
        <v>0</v>
      </c>
      <c r="V280" s="285">
        <f t="shared" si="102"/>
        <v>0</v>
      </c>
    </row>
    <row r="281" spans="1:22">
      <c r="A281" s="285">
        <v>20</v>
      </c>
      <c r="B281" s="288" t="s">
        <v>217</v>
      </c>
      <c r="C281" s="273" t="s">
        <v>196</v>
      </c>
      <c r="D281" s="274">
        <v>18.5</v>
      </c>
      <c r="E281" s="274"/>
      <c r="F281" s="274">
        <v>0</v>
      </c>
      <c r="G281" s="285">
        <v>5.25</v>
      </c>
      <c r="H281" s="285">
        <f t="shared" si="94"/>
        <v>0</v>
      </c>
      <c r="I281" s="117"/>
      <c r="J281" s="285">
        <f t="shared" si="95"/>
        <v>0</v>
      </c>
      <c r="K281" s="285">
        <f t="shared" si="96"/>
        <v>0</v>
      </c>
      <c r="L281" s="285">
        <f t="shared" si="97"/>
        <v>0</v>
      </c>
      <c r="M281" s="117"/>
      <c r="N281" s="285">
        <f t="shared" si="98"/>
        <v>0</v>
      </c>
      <c r="O281" s="285">
        <f>'Sec-8'!W56</f>
        <v>0</v>
      </c>
      <c r="P281" s="285">
        <f t="shared" si="99"/>
        <v>0</v>
      </c>
      <c r="Q281" s="285">
        <f t="shared" si="100"/>
        <v>0</v>
      </c>
      <c r="R281" s="285">
        <f t="shared" si="91"/>
        <v>0</v>
      </c>
      <c r="S281" s="285">
        <f t="shared" si="92"/>
        <v>0</v>
      </c>
      <c r="T281" s="285">
        <f t="shared" si="101"/>
        <v>0</v>
      </c>
      <c r="U281" s="285">
        <f t="shared" si="93"/>
        <v>0</v>
      </c>
      <c r="V281" s="285">
        <f t="shared" si="102"/>
        <v>0</v>
      </c>
    </row>
    <row r="282" spans="1:22">
      <c r="A282" s="285">
        <v>21</v>
      </c>
      <c r="B282" s="288" t="s">
        <v>149</v>
      </c>
      <c r="C282" s="273" t="s">
        <v>196</v>
      </c>
      <c r="D282" s="274">
        <v>19.5</v>
      </c>
      <c r="E282" s="274"/>
      <c r="F282" s="274">
        <v>0</v>
      </c>
      <c r="G282" s="285">
        <v>5.75</v>
      </c>
      <c r="H282" s="285">
        <f t="shared" si="94"/>
        <v>0</v>
      </c>
      <c r="I282" s="117"/>
      <c r="J282" s="285">
        <f t="shared" si="95"/>
        <v>0</v>
      </c>
      <c r="K282" s="285">
        <f t="shared" si="96"/>
        <v>0</v>
      </c>
      <c r="L282" s="285">
        <f t="shared" si="97"/>
        <v>0</v>
      </c>
      <c r="M282" s="117"/>
      <c r="N282" s="285">
        <f t="shared" si="98"/>
        <v>0</v>
      </c>
      <c r="O282" s="285">
        <f>'Sec-8'!X56</f>
        <v>0</v>
      </c>
      <c r="P282" s="285">
        <f t="shared" si="99"/>
        <v>0</v>
      </c>
      <c r="Q282" s="285">
        <f t="shared" si="100"/>
        <v>0</v>
      </c>
      <c r="R282" s="285">
        <f t="shared" si="91"/>
        <v>0</v>
      </c>
      <c r="S282" s="285">
        <f t="shared" si="92"/>
        <v>0</v>
      </c>
      <c r="T282" s="285">
        <f t="shared" si="101"/>
        <v>0</v>
      </c>
      <c r="U282" s="285">
        <f t="shared" si="93"/>
        <v>0</v>
      </c>
      <c r="V282" s="285">
        <f t="shared" si="102"/>
        <v>0</v>
      </c>
    </row>
    <row r="283" spans="1:22">
      <c r="A283" s="285">
        <v>22</v>
      </c>
      <c r="B283" s="288" t="s">
        <v>99</v>
      </c>
      <c r="C283" s="273" t="s">
        <v>196</v>
      </c>
      <c r="D283" s="274">
        <v>12.5</v>
      </c>
      <c r="E283" s="274"/>
      <c r="F283" s="274">
        <v>0</v>
      </c>
      <c r="G283" s="285">
        <v>3.25</v>
      </c>
      <c r="H283" s="285">
        <f t="shared" si="94"/>
        <v>0</v>
      </c>
      <c r="I283" s="285"/>
      <c r="J283" s="285">
        <f t="shared" si="95"/>
        <v>0</v>
      </c>
      <c r="K283" s="285">
        <f t="shared" si="96"/>
        <v>0</v>
      </c>
      <c r="L283" s="285">
        <f t="shared" si="97"/>
        <v>0</v>
      </c>
      <c r="M283" s="117"/>
      <c r="N283" s="285">
        <f t="shared" si="98"/>
        <v>0</v>
      </c>
      <c r="O283" s="285">
        <f>'Sec-8'!Y56</f>
        <v>0</v>
      </c>
      <c r="P283" s="285">
        <f t="shared" si="99"/>
        <v>0</v>
      </c>
      <c r="Q283" s="285">
        <f t="shared" si="100"/>
        <v>0</v>
      </c>
      <c r="R283" s="285">
        <f t="shared" si="91"/>
        <v>0</v>
      </c>
      <c r="S283" s="285">
        <f t="shared" si="92"/>
        <v>0</v>
      </c>
      <c r="T283" s="285">
        <f t="shared" si="101"/>
        <v>0</v>
      </c>
      <c r="U283" s="285">
        <f t="shared" si="93"/>
        <v>0</v>
      </c>
      <c r="V283" s="285">
        <f t="shared" si="102"/>
        <v>0</v>
      </c>
    </row>
    <row r="284" spans="1:22">
      <c r="A284" s="507" t="s">
        <v>67</v>
      </c>
      <c r="B284" s="508"/>
      <c r="C284" s="508"/>
      <c r="D284" s="509"/>
      <c r="E284" s="282"/>
      <c r="F284" s="282">
        <f t="shared" ref="F284:V284" si="103">SUM(F262:F283)</f>
        <v>428175</v>
      </c>
      <c r="G284" s="282">
        <f t="shared" si="103"/>
        <v>98.5</v>
      </c>
      <c r="H284" s="282">
        <f t="shared" si="103"/>
        <v>2104866</v>
      </c>
      <c r="I284" s="282">
        <f t="shared" si="103"/>
        <v>0</v>
      </c>
      <c r="J284" s="282">
        <f t="shared" si="103"/>
        <v>2104866</v>
      </c>
      <c r="K284" s="282">
        <f t="shared" si="103"/>
        <v>0</v>
      </c>
      <c r="L284" s="282">
        <f t="shared" si="103"/>
        <v>428175</v>
      </c>
      <c r="M284" s="282">
        <f t="shared" si="103"/>
        <v>0</v>
      </c>
      <c r="N284" s="282">
        <f t="shared" si="103"/>
        <v>428175</v>
      </c>
      <c r="O284" s="282">
        <f t="shared" si="103"/>
        <v>0</v>
      </c>
      <c r="P284" s="282">
        <f t="shared" si="103"/>
        <v>428175</v>
      </c>
      <c r="Q284" s="282">
        <f t="shared" si="103"/>
        <v>0</v>
      </c>
      <c r="R284" s="282">
        <f t="shared" si="103"/>
        <v>0</v>
      </c>
      <c r="S284" s="282">
        <f t="shared" si="103"/>
        <v>7765.5080000000007</v>
      </c>
      <c r="T284" s="282">
        <f t="shared" si="103"/>
        <v>103.54010666666669</v>
      </c>
      <c r="U284" s="282">
        <f t="shared" si="103"/>
        <v>0</v>
      </c>
      <c r="V284" s="282">
        <f t="shared" si="103"/>
        <v>103.54010666666669</v>
      </c>
    </row>
    <row r="286" spans="1:22">
      <c r="S286" s="85"/>
      <c r="T286" s="85"/>
      <c r="U286" s="85"/>
      <c r="V286" s="85"/>
    </row>
    <row r="287" spans="1:22" s="11" customFormat="1" ht="15.75">
      <c r="A287" s="61"/>
      <c r="B287" s="61"/>
      <c r="C287" s="61"/>
      <c r="D287" s="61"/>
      <c r="E287" s="61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462" t="s">
        <v>254</v>
      </c>
      <c r="T287" s="462"/>
      <c r="U287" s="462"/>
      <c r="V287" s="462"/>
    </row>
    <row r="293" spans="1:22" s="1" customFormat="1" ht="24" customHeight="1">
      <c r="A293" s="388" t="s">
        <v>342</v>
      </c>
      <c r="B293" s="388"/>
      <c r="C293" s="388"/>
      <c r="D293" s="388"/>
      <c r="E293" s="388"/>
      <c r="F293" s="388"/>
      <c r="G293" s="388"/>
      <c r="H293" s="388"/>
      <c r="I293" s="388"/>
      <c r="J293" s="388"/>
      <c r="K293" s="388"/>
      <c r="L293" s="388"/>
      <c r="M293" s="388"/>
      <c r="N293" s="388"/>
      <c r="O293" s="388"/>
      <c r="P293" s="388"/>
      <c r="Q293" s="388"/>
      <c r="R293" s="388"/>
      <c r="S293" s="388"/>
      <c r="T293" s="388"/>
      <c r="U293" s="388"/>
      <c r="V293" s="388"/>
    </row>
    <row r="294" spans="1:22" s="1" customFormat="1" ht="17.25" customHeight="1">
      <c r="A294" s="379" t="s">
        <v>343</v>
      </c>
      <c r="B294" s="379"/>
      <c r="C294" s="379"/>
      <c r="D294" s="379"/>
      <c r="E294" s="379"/>
      <c r="F294" s="379"/>
      <c r="G294" s="379"/>
      <c r="H294" s="379"/>
      <c r="I294" s="379"/>
      <c r="J294" s="379"/>
      <c r="K294" s="379"/>
      <c r="L294" s="379"/>
      <c r="M294" s="379"/>
      <c r="N294" s="379"/>
      <c r="O294" s="379"/>
      <c r="P294" s="379"/>
      <c r="Q294" s="379"/>
      <c r="R294" s="379"/>
      <c r="S294" s="379"/>
      <c r="T294" s="379"/>
      <c r="U294" s="379"/>
      <c r="V294" s="379"/>
    </row>
    <row r="295" spans="1:22" s="1" customFormat="1" ht="15.75" customHeight="1">
      <c r="A295" s="313" t="s">
        <v>274</v>
      </c>
      <c r="B295" s="313"/>
      <c r="C295" s="313"/>
      <c r="D295" s="313"/>
      <c r="E295" s="313"/>
      <c r="F295" s="313"/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  <c r="T295" s="313"/>
      <c r="U295" s="313"/>
      <c r="V295" s="313"/>
    </row>
    <row r="296" spans="1:22" ht="20.25">
      <c r="A296" s="379" t="s">
        <v>332</v>
      </c>
      <c r="B296" s="470"/>
      <c r="C296" s="470"/>
      <c r="D296" s="470"/>
      <c r="E296" s="470"/>
      <c r="F296" s="470"/>
      <c r="G296" s="470"/>
      <c r="H296" s="470"/>
      <c r="I296" s="470"/>
      <c r="J296" s="470"/>
      <c r="K296" s="470"/>
      <c r="L296" s="470"/>
      <c r="M296" s="470"/>
      <c r="N296" s="470"/>
      <c r="O296" s="470"/>
      <c r="P296" s="470"/>
      <c r="Q296" s="470"/>
      <c r="R296" s="470"/>
      <c r="S296" s="470"/>
      <c r="T296" s="470"/>
      <c r="U296" s="470"/>
      <c r="V296" s="470"/>
    </row>
    <row r="297" spans="1:22" ht="15" customHeight="1">
      <c r="A297" s="510" t="s">
        <v>15</v>
      </c>
      <c r="B297" s="510" t="s">
        <v>64</v>
      </c>
      <c r="C297" s="510" t="s">
        <v>65</v>
      </c>
      <c r="D297" s="512" t="s">
        <v>66</v>
      </c>
      <c r="E297" s="283"/>
      <c r="F297" s="277" t="s">
        <v>88</v>
      </c>
      <c r="G297" s="278" t="s">
        <v>157</v>
      </c>
      <c r="H297" s="505" t="s">
        <v>84</v>
      </c>
      <c r="I297" s="505" t="s">
        <v>138</v>
      </c>
      <c r="J297" s="505"/>
      <c r="K297" s="506" t="s">
        <v>139</v>
      </c>
      <c r="L297" s="506"/>
      <c r="M297" s="506" t="s">
        <v>86</v>
      </c>
      <c r="N297" s="506"/>
      <c r="O297" s="506" t="s">
        <v>25</v>
      </c>
      <c r="P297" s="506"/>
      <c r="Q297" s="506" t="s">
        <v>87</v>
      </c>
      <c r="R297" s="505" t="s">
        <v>146</v>
      </c>
      <c r="S297" s="506" t="s">
        <v>140</v>
      </c>
      <c r="T297" s="506"/>
      <c r="U297" s="506"/>
      <c r="V297" s="506"/>
    </row>
    <row r="298" spans="1:22">
      <c r="A298" s="511"/>
      <c r="B298" s="511"/>
      <c r="C298" s="511"/>
      <c r="D298" s="513"/>
      <c r="E298" s="279"/>
      <c r="F298" s="280" t="s">
        <v>339</v>
      </c>
      <c r="G298" s="278"/>
      <c r="H298" s="505"/>
      <c r="I298" s="278" t="s">
        <v>85</v>
      </c>
      <c r="J298" s="278" t="s">
        <v>70</v>
      </c>
      <c r="K298" s="281" t="s">
        <v>85</v>
      </c>
      <c r="L298" s="281" t="s">
        <v>70</v>
      </c>
      <c r="M298" s="278" t="s">
        <v>86</v>
      </c>
      <c r="N298" s="281" t="s">
        <v>70</v>
      </c>
      <c r="O298" s="281" t="s">
        <v>25</v>
      </c>
      <c r="P298" s="281" t="s">
        <v>70</v>
      </c>
      <c r="Q298" s="506"/>
      <c r="R298" s="505"/>
      <c r="S298" s="281" t="s">
        <v>155</v>
      </c>
      <c r="T298" s="281" t="s">
        <v>156</v>
      </c>
      <c r="U298" s="281" t="s">
        <v>141</v>
      </c>
      <c r="V298" s="281" t="s">
        <v>70</v>
      </c>
    </row>
    <row r="299" spans="1:22">
      <c r="A299" s="285">
        <v>1</v>
      </c>
      <c r="B299" s="288" t="s">
        <v>225</v>
      </c>
      <c r="C299" s="273" t="s">
        <v>196</v>
      </c>
      <c r="D299" s="274">
        <v>17</v>
      </c>
      <c r="E299" s="274"/>
      <c r="F299" s="274">
        <v>55030</v>
      </c>
      <c r="G299" s="285">
        <v>4.5</v>
      </c>
      <c r="H299" s="285">
        <f>G299*F299</f>
        <v>247635</v>
      </c>
      <c r="I299" s="117"/>
      <c r="J299" s="285">
        <f>H299-I299</f>
        <v>247635</v>
      </c>
      <c r="K299" s="285">
        <f>I299/G299</f>
        <v>0</v>
      </c>
      <c r="L299" s="285">
        <f>F299-K299</f>
        <v>55030</v>
      </c>
      <c r="M299" s="117"/>
      <c r="N299" s="285">
        <f>F299-M299</f>
        <v>55030</v>
      </c>
      <c r="O299" s="285">
        <f>'Sec-8'!D78</f>
        <v>0</v>
      </c>
      <c r="P299" s="285">
        <f>F299-O299</f>
        <v>55030</v>
      </c>
      <c r="Q299" s="285">
        <f>M299-O299</f>
        <v>0</v>
      </c>
      <c r="R299" s="285">
        <f t="shared" ref="R299:R320" si="104">D299*M299/1000</f>
        <v>0</v>
      </c>
      <c r="S299" s="285">
        <f t="shared" ref="S299:S320" si="105">D299*F299/1000</f>
        <v>935.51</v>
      </c>
      <c r="T299" s="285">
        <f>S299/75</f>
        <v>12.473466666666667</v>
      </c>
      <c r="U299" s="285">
        <f t="shared" ref="U299:U320" si="106">D299*K299/1000/75</f>
        <v>0</v>
      </c>
      <c r="V299" s="285">
        <f>T299-U299</f>
        <v>12.473466666666667</v>
      </c>
    </row>
    <row r="300" spans="1:22">
      <c r="A300" s="285">
        <v>2</v>
      </c>
      <c r="B300" s="288" t="s">
        <v>173</v>
      </c>
      <c r="C300" s="273" t="s">
        <v>196</v>
      </c>
      <c r="D300" s="274">
        <v>8</v>
      </c>
      <c r="E300" s="274"/>
      <c r="F300" s="274">
        <v>55030</v>
      </c>
      <c r="G300" s="285">
        <v>2</v>
      </c>
      <c r="H300" s="285">
        <f t="shared" ref="H300:H320" si="107">G300*F300</f>
        <v>110060</v>
      </c>
      <c r="I300" s="117"/>
      <c r="J300" s="285">
        <f t="shared" ref="J300:J320" si="108">H300-I300</f>
        <v>110060</v>
      </c>
      <c r="K300" s="285">
        <f t="shared" ref="K300:K320" si="109">I300/G300</f>
        <v>0</v>
      </c>
      <c r="L300" s="285">
        <f t="shared" ref="L300:L320" si="110">F300-K300</f>
        <v>55030</v>
      </c>
      <c r="M300" s="117"/>
      <c r="N300" s="285">
        <f t="shared" ref="N300:N320" si="111">F300-M300</f>
        <v>55030</v>
      </c>
      <c r="O300" s="285">
        <f>'Sec-8'!E78</f>
        <v>0</v>
      </c>
      <c r="P300" s="285">
        <f t="shared" ref="P300:P320" si="112">F300-O300</f>
        <v>55030</v>
      </c>
      <c r="Q300" s="285">
        <f t="shared" ref="Q300:Q320" si="113">M300-O300</f>
        <v>0</v>
      </c>
      <c r="R300" s="285">
        <f t="shared" si="104"/>
        <v>0</v>
      </c>
      <c r="S300" s="285">
        <f t="shared" si="105"/>
        <v>440.24</v>
      </c>
      <c r="T300" s="285">
        <f t="shared" ref="T300:T320" si="114">S300/75</f>
        <v>5.8698666666666668</v>
      </c>
      <c r="U300" s="285">
        <f t="shared" si="106"/>
        <v>0</v>
      </c>
      <c r="V300" s="285">
        <f t="shared" ref="V300:V320" si="115">T300-U300</f>
        <v>5.8698666666666668</v>
      </c>
    </row>
    <row r="301" spans="1:22">
      <c r="A301" s="285">
        <v>3</v>
      </c>
      <c r="B301" s="288" t="s">
        <v>56</v>
      </c>
      <c r="C301" s="273" t="s">
        <v>196</v>
      </c>
      <c r="D301" s="274">
        <v>17.5</v>
      </c>
      <c r="E301" s="274"/>
      <c r="F301" s="274">
        <v>55030</v>
      </c>
      <c r="G301" s="285">
        <v>4.75</v>
      </c>
      <c r="H301" s="285">
        <f t="shared" si="107"/>
        <v>261392.5</v>
      </c>
      <c r="I301" s="117"/>
      <c r="J301" s="285">
        <f t="shared" si="108"/>
        <v>261392.5</v>
      </c>
      <c r="K301" s="285">
        <f t="shared" si="109"/>
        <v>0</v>
      </c>
      <c r="L301" s="285">
        <f t="shared" si="110"/>
        <v>55030</v>
      </c>
      <c r="M301" s="117"/>
      <c r="N301" s="285">
        <f t="shared" si="111"/>
        <v>55030</v>
      </c>
      <c r="O301" s="285">
        <f>'Sec-8'!F78</f>
        <v>0</v>
      </c>
      <c r="P301" s="285">
        <f t="shared" si="112"/>
        <v>55030</v>
      </c>
      <c r="Q301" s="285">
        <f t="shared" si="113"/>
        <v>0</v>
      </c>
      <c r="R301" s="285">
        <f t="shared" si="104"/>
        <v>0</v>
      </c>
      <c r="S301" s="285">
        <f t="shared" si="105"/>
        <v>963.02499999999998</v>
      </c>
      <c r="T301" s="285">
        <f t="shared" si="114"/>
        <v>12.840333333333334</v>
      </c>
      <c r="U301" s="285">
        <f t="shared" si="106"/>
        <v>0</v>
      </c>
      <c r="V301" s="285">
        <f t="shared" si="115"/>
        <v>12.840333333333334</v>
      </c>
    </row>
    <row r="302" spans="1:22">
      <c r="A302" s="285">
        <v>4</v>
      </c>
      <c r="B302" s="288" t="s">
        <v>27</v>
      </c>
      <c r="C302" s="273" t="s">
        <v>196</v>
      </c>
      <c r="D302" s="274">
        <v>20</v>
      </c>
      <c r="E302" s="274"/>
      <c r="F302" s="274">
        <v>55030</v>
      </c>
      <c r="G302" s="285">
        <v>5</v>
      </c>
      <c r="H302" s="285">
        <f t="shared" si="107"/>
        <v>275150</v>
      </c>
      <c r="I302" s="117"/>
      <c r="J302" s="285">
        <f t="shared" si="108"/>
        <v>275150</v>
      </c>
      <c r="K302" s="285">
        <f t="shared" si="109"/>
        <v>0</v>
      </c>
      <c r="L302" s="285">
        <f t="shared" si="110"/>
        <v>55030</v>
      </c>
      <c r="M302" s="117"/>
      <c r="N302" s="285">
        <f t="shared" si="111"/>
        <v>55030</v>
      </c>
      <c r="O302" s="285">
        <f>'Sec-8'!G78</f>
        <v>0</v>
      </c>
      <c r="P302" s="285">
        <f t="shared" si="112"/>
        <v>55030</v>
      </c>
      <c r="Q302" s="285">
        <f t="shared" si="113"/>
        <v>0</v>
      </c>
      <c r="R302" s="285">
        <f t="shared" si="104"/>
        <v>0</v>
      </c>
      <c r="S302" s="285">
        <f t="shared" si="105"/>
        <v>1100.5999999999999</v>
      </c>
      <c r="T302" s="285">
        <f t="shared" si="114"/>
        <v>14.674666666666665</v>
      </c>
      <c r="U302" s="285">
        <f t="shared" si="106"/>
        <v>0</v>
      </c>
      <c r="V302" s="285">
        <f t="shared" si="115"/>
        <v>14.674666666666665</v>
      </c>
    </row>
    <row r="303" spans="1:22">
      <c r="A303" s="285">
        <v>5</v>
      </c>
      <c r="B303" s="288" t="s">
        <v>175</v>
      </c>
      <c r="C303" s="273" t="s">
        <v>196</v>
      </c>
      <c r="D303" s="274">
        <v>31</v>
      </c>
      <c r="E303" s="274"/>
      <c r="F303" s="274">
        <v>55030</v>
      </c>
      <c r="G303" s="285">
        <v>8.5</v>
      </c>
      <c r="H303" s="285">
        <f t="shared" si="107"/>
        <v>467755</v>
      </c>
      <c r="I303" s="117"/>
      <c r="J303" s="285">
        <f t="shared" si="108"/>
        <v>467755</v>
      </c>
      <c r="K303" s="285">
        <f t="shared" si="109"/>
        <v>0</v>
      </c>
      <c r="L303" s="285">
        <f t="shared" si="110"/>
        <v>55030</v>
      </c>
      <c r="M303" s="117"/>
      <c r="N303" s="285">
        <f t="shared" si="111"/>
        <v>55030</v>
      </c>
      <c r="O303" s="285">
        <f>'Sec-8'!H78</f>
        <v>0</v>
      </c>
      <c r="P303" s="285">
        <f t="shared" si="112"/>
        <v>55030</v>
      </c>
      <c r="Q303" s="285">
        <f t="shared" si="113"/>
        <v>0</v>
      </c>
      <c r="R303" s="285">
        <f t="shared" si="104"/>
        <v>0</v>
      </c>
      <c r="S303" s="285">
        <f t="shared" si="105"/>
        <v>1705.93</v>
      </c>
      <c r="T303" s="285">
        <f t="shared" si="114"/>
        <v>22.745733333333334</v>
      </c>
      <c r="U303" s="285">
        <f t="shared" si="106"/>
        <v>0</v>
      </c>
      <c r="V303" s="285">
        <f t="shared" si="115"/>
        <v>22.745733333333334</v>
      </c>
    </row>
    <row r="304" spans="1:22">
      <c r="A304" s="285">
        <v>6</v>
      </c>
      <c r="B304" s="288" t="s">
        <v>31</v>
      </c>
      <c r="C304" s="273" t="s">
        <v>196</v>
      </c>
      <c r="D304" s="274">
        <v>23.5</v>
      </c>
      <c r="E304" s="274"/>
      <c r="F304" s="274">
        <v>55030</v>
      </c>
      <c r="G304" s="285">
        <v>6.75</v>
      </c>
      <c r="H304" s="285">
        <f t="shared" si="107"/>
        <v>371452.5</v>
      </c>
      <c r="I304" s="117"/>
      <c r="J304" s="285">
        <f t="shared" si="108"/>
        <v>371452.5</v>
      </c>
      <c r="K304" s="285">
        <f t="shared" si="109"/>
        <v>0</v>
      </c>
      <c r="L304" s="285">
        <f t="shared" si="110"/>
        <v>55030</v>
      </c>
      <c r="M304" s="117"/>
      <c r="N304" s="285">
        <f t="shared" si="111"/>
        <v>55030</v>
      </c>
      <c r="O304" s="285">
        <f>'Sec-8'!I78</f>
        <v>0</v>
      </c>
      <c r="P304" s="285">
        <f t="shared" si="112"/>
        <v>55030</v>
      </c>
      <c r="Q304" s="285">
        <f t="shared" si="113"/>
        <v>0</v>
      </c>
      <c r="R304" s="285">
        <f t="shared" si="104"/>
        <v>0</v>
      </c>
      <c r="S304" s="285">
        <f t="shared" si="105"/>
        <v>1293.2049999999999</v>
      </c>
      <c r="T304" s="285">
        <f t="shared" si="114"/>
        <v>17.242733333333334</v>
      </c>
      <c r="U304" s="285">
        <f t="shared" si="106"/>
        <v>0</v>
      </c>
      <c r="V304" s="285">
        <f t="shared" si="115"/>
        <v>17.242733333333334</v>
      </c>
    </row>
    <row r="305" spans="1:22">
      <c r="A305" s="285">
        <v>7</v>
      </c>
      <c r="B305" s="288" t="s">
        <v>72</v>
      </c>
      <c r="C305" s="273" t="s">
        <v>196</v>
      </c>
      <c r="D305" s="274">
        <v>18.5</v>
      </c>
      <c r="E305" s="274"/>
      <c r="F305" s="274">
        <v>55030</v>
      </c>
      <c r="G305" s="285">
        <v>5.25</v>
      </c>
      <c r="H305" s="285">
        <f t="shared" si="107"/>
        <v>288907.5</v>
      </c>
      <c r="I305" s="117"/>
      <c r="J305" s="285">
        <f t="shared" si="108"/>
        <v>288907.5</v>
      </c>
      <c r="K305" s="285">
        <f t="shared" si="109"/>
        <v>0</v>
      </c>
      <c r="L305" s="285">
        <f t="shared" si="110"/>
        <v>55030</v>
      </c>
      <c r="M305" s="117"/>
      <c r="N305" s="285">
        <f t="shared" si="111"/>
        <v>55030</v>
      </c>
      <c r="O305" s="285">
        <f>'Sec-8'!J78</f>
        <v>0</v>
      </c>
      <c r="P305" s="285">
        <f t="shared" si="112"/>
        <v>55030</v>
      </c>
      <c r="Q305" s="285">
        <f t="shared" si="113"/>
        <v>0</v>
      </c>
      <c r="R305" s="285">
        <f t="shared" si="104"/>
        <v>0</v>
      </c>
      <c r="S305" s="285">
        <f t="shared" si="105"/>
        <v>1018.0549999999999</v>
      </c>
      <c r="T305" s="285">
        <f t="shared" si="114"/>
        <v>13.574066666666665</v>
      </c>
      <c r="U305" s="285">
        <f t="shared" si="106"/>
        <v>0</v>
      </c>
      <c r="V305" s="285">
        <f t="shared" si="115"/>
        <v>13.574066666666665</v>
      </c>
    </row>
    <row r="306" spans="1:22">
      <c r="A306" s="285">
        <v>8</v>
      </c>
      <c r="B306" s="288" t="s">
        <v>32</v>
      </c>
      <c r="C306" s="273" t="s">
        <v>196</v>
      </c>
      <c r="D306" s="274">
        <v>20</v>
      </c>
      <c r="E306" s="274"/>
      <c r="F306" s="274">
        <v>55030</v>
      </c>
      <c r="G306" s="285">
        <v>5</v>
      </c>
      <c r="H306" s="285">
        <f t="shared" si="107"/>
        <v>275150</v>
      </c>
      <c r="I306" s="117"/>
      <c r="J306" s="285">
        <f t="shared" si="108"/>
        <v>275150</v>
      </c>
      <c r="K306" s="285">
        <f t="shared" si="109"/>
        <v>0</v>
      </c>
      <c r="L306" s="285">
        <f t="shared" si="110"/>
        <v>55030</v>
      </c>
      <c r="M306" s="117"/>
      <c r="N306" s="285">
        <f t="shared" si="111"/>
        <v>55030</v>
      </c>
      <c r="O306" s="285">
        <f>'Sec-8'!K78</f>
        <v>0</v>
      </c>
      <c r="P306" s="285">
        <f t="shared" si="112"/>
        <v>55030</v>
      </c>
      <c r="Q306" s="285">
        <f t="shared" si="113"/>
        <v>0</v>
      </c>
      <c r="R306" s="285">
        <f t="shared" si="104"/>
        <v>0</v>
      </c>
      <c r="S306" s="285">
        <f t="shared" si="105"/>
        <v>1100.5999999999999</v>
      </c>
      <c r="T306" s="285">
        <f t="shared" si="114"/>
        <v>14.674666666666665</v>
      </c>
      <c r="U306" s="285">
        <f t="shared" si="106"/>
        <v>0</v>
      </c>
      <c r="V306" s="285">
        <f t="shared" si="115"/>
        <v>14.674666666666665</v>
      </c>
    </row>
    <row r="307" spans="1:22">
      <c r="A307" s="285">
        <v>9</v>
      </c>
      <c r="B307" s="288" t="s">
        <v>43</v>
      </c>
      <c r="C307" s="273" t="s">
        <v>196</v>
      </c>
      <c r="D307" s="274">
        <v>9</v>
      </c>
      <c r="E307" s="274"/>
      <c r="F307" s="274">
        <v>1750</v>
      </c>
      <c r="G307" s="285">
        <v>2.5</v>
      </c>
      <c r="H307" s="285">
        <f t="shared" si="107"/>
        <v>4375</v>
      </c>
      <c r="I307" s="117"/>
      <c r="J307" s="285">
        <f t="shared" si="108"/>
        <v>4375</v>
      </c>
      <c r="K307" s="285">
        <f t="shared" si="109"/>
        <v>0</v>
      </c>
      <c r="L307" s="285">
        <f t="shared" si="110"/>
        <v>1750</v>
      </c>
      <c r="M307" s="117"/>
      <c r="N307" s="285">
        <f t="shared" si="111"/>
        <v>1750</v>
      </c>
      <c r="O307" s="285">
        <f>'Sec-8'!L78</f>
        <v>0</v>
      </c>
      <c r="P307" s="285">
        <f t="shared" si="112"/>
        <v>1750</v>
      </c>
      <c r="Q307" s="285">
        <f t="shared" si="113"/>
        <v>0</v>
      </c>
      <c r="R307" s="285">
        <f t="shared" si="104"/>
        <v>0</v>
      </c>
      <c r="S307" s="285">
        <f t="shared" si="105"/>
        <v>15.75</v>
      </c>
      <c r="T307" s="285">
        <f t="shared" si="114"/>
        <v>0.21</v>
      </c>
      <c r="U307" s="285">
        <f t="shared" si="106"/>
        <v>0</v>
      </c>
      <c r="V307" s="285">
        <f t="shared" si="115"/>
        <v>0.21</v>
      </c>
    </row>
    <row r="308" spans="1:22">
      <c r="A308" s="285">
        <v>10</v>
      </c>
      <c r="B308" s="288" t="s">
        <v>73</v>
      </c>
      <c r="C308" s="273" t="s">
        <v>196</v>
      </c>
      <c r="D308" s="274">
        <v>10.5</v>
      </c>
      <c r="E308" s="274"/>
      <c r="F308" s="274">
        <v>55030</v>
      </c>
      <c r="G308" s="285">
        <v>3.25</v>
      </c>
      <c r="H308" s="285">
        <f t="shared" si="107"/>
        <v>178847.5</v>
      </c>
      <c r="I308" s="117"/>
      <c r="J308" s="285">
        <f t="shared" si="108"/>
        <v>178847.5</v>
      </c>
      <c r="K308" s="285">
        <f t="shared" si="109"/>
        <v>0</v>
      </c>
      <c r="L308" s="285">
        <f t="shared" si="110"/>
        <v>55030</v>
      </c>
      <c r="M308" s="117"/>
      <c r="N308" s="285">
        <f t="shared" si="111"/>
        <v>55030</v>
      </c>
      <c r="O308" s="285">
        <f>'Sec-8'!M78</f>
        <v>0</v>
      </c>
      <c r="P308" s="285">
        <f t="shared" si="112"/>
        <v>55030</v>
      </c>
      <c r="Q308" s="285">
        <f t="shared" si="113"/>
        <v>0</v>
      </c>
      <c r="R308" s="285">
        <f t="shared" si="104"/>
        <v>0</v>
      </c>
      <c r="S308" s="285">
        <f t="shared" si="105"/>
        <v>577.81500000000005</v>
      </c>
      <c r="T308" s="285">
        <f t="shared" si="114"/>
        <v>7.704200000000001</v>
      </c>
      <c r="U308" s="285">
        <f t="shared" si="106"/>
        <v>0</v>
      </c>
      <c r="V308" s="285">
        <f t="shared" si="115"/>
        <v>7.704200000000001</v>
      </c>
    </row>
    <row r="309" spans="1:22">
      <c r="A309" s="285">
        <v>11</v>
      </c>
      <c r="B309" s="288" t="s">
        <v>74</v>
      </c>
      <c r="C309" s="273" t="s">
        <v>196</v>
      </c>
      <c r="D309" s="274">
        <v>9</v>
      </c>
      <c r="E309" s="274"/>
      <c r="F309" s="274">
        <v>400</v>
      </c>
      <c r="G309" s="285">
        <v>2.5</v>
      </c>
      <c r="H309" s="285">
        <f t="shared" si="107"/>
        <v>1000</v>
      </c>
      <c r="I309" s="117"/>
      <c r="J309" s="285">
        <f t="shared" si="108"/>
        <v>1000</v>
      </c>
      <c r="K309" s="285">
        <f t="shared" si="109"/>
        <v>0</v>
      </c>
      <c r="L309" s="285">
        <f t="shared" si="110"/>
        <v>400</v>
      </c>
      <c r="M309" s="117"/>
      <c r="N309" s="285">
        <f t="shared" si="111"/>
        <v>400</v>
      </c>
      <c r="O309" s="285">
        <f>'Sec-8'!N78</f>
        <v>0</v>
      </c>
      <c r="P309" s="285">
        <f t="shared" si="112"/>
        <v>400</v>
      </c>
      <c r="Q309" s="285">
        <f t="shared" si="113"/>
        <v>0</v>
      </c>
      <c r="R309" s="285">
        <f t="shared" si="104"/>
        <v>0</v>
      </c>
      <c r="S309" s="285">
        <f t="shared" si="105"/>
        <v>3.6</v>
      </c>
      <c r="T309" s="285">
        <f t="shared" si="114"/>
        <v>4.8000000000000001E-2</v>
      </c>
      <c r="U309" s="285">
        <f t="shared" si="106"/>
        <v>0</v>
      </c>
      <c r="V309" s="285">
        <f t="shared" si="115"/>
        <v>4.8000000000000001E-2</v>
      </c>
    </row>
    <row r="310" spans="1:22">
      <c r="A310" s="285">
        <v>12</v>
      </c>
      <c r="B310" s="288" t="s">
        <v>192</v>
      </c>
      <c r="C310" s="273" t="s">
        <v>196</v>
      </c>
      <c r="D310" s="274">
        <v>10.5</v>
      </c>
      <c r="E310" s="274"/>
      <c r="F310" s="274">
        <v>400</v>
      </c>
      <c r="G310" s="285">
        <v>3.25</v>
      </c>
      <c r="H310" s="285">
        <f t="shared" si="107"/>
        <v>1300</v>
      </c>
      <c r="I310" s="117"/>
      <c r="J310" s="285">
        <f t="shared" si="108"/>
        <v>1300</v>
      </c>
      <c r="K310" s="285">
        <f t="shared" si="109"/>
        <v>0</v>
      </c>
      <c r="L310" s="285">
        <f t="shared" si="110"/>
        <v>400</v>
      </c>
      <c r="M310" s="117"/>
      <c r="N310" s="285">
        <f t="shared" si="111"/>
        <v>400</v>
      </c>
      <c r="O310" s="285">
        <f>'Sec-8'!O78</f>
        <v>0</v>
      </c>
      <c r="P310" s="285">
        <f t="shared" si="112"/>
        <v>400</v>
      </c>
      <c r="Q310" s="285">
        <f t="shared" si="113"/>
        <v>0</v>
      </c>
      <c r="R310" s="285">
        <f t="shared" si="104"/>
        <v>0</v>
      </c>
      <c r="S310" s="285">
        <f t="shared" si="105"/>
        <v>4.2</v>
      </c>
      <c r="T310" s="285">
        <f t="shared" si="114"/>
        <v>5.6000000000000001E-2</v>
      </c>
      <c r="U310" s="285">
        <f t="shared" si="106"/>
        <v>0</v>
      </c>
      <c r="V310" s="285">
        <f t="shared" si="115"/>
        <v>5.6000000000000001E-2</v>
      </c>
    </row>
    <row r="311" spans="1:22">
      <c r="A311" s="285">
        <v>13</v>
      </c>
      <c r="B311" s="288" t="s">
        <v>47</v>
      </c>
      <c r="C311" s="273" t="s">
        <v>196</v>
      </c>
      <c r="D311" s="274">
        <v>17</v>
      </c>
      <c r="E311" s="274"/>
      <c r="F311" s="274">
        <v>49460</v>
      </c>
      <c r="G311" s="285">
        <v>4.5</v>
      </c>
      <c r="H311" s="285">
        <f t="shared" si="107"/>
        <v>222570</v>
      </c>
      <c r="I311" s="117"/>
      <c r="J311" s="285">
        <f t="shared" si="108"/>
        <v>222570</v>
      </c>
      <c r="K311" s="285">
        <f t="shared" si="109"/>
        <v>0</v>
      </c>
      <c r="L311" s="285">
        <f t="shared" si="110"/>
        <v>49460</v>
      </c>
      <c r="M311" s="117"/>
      <c r="N311" s="285">
        <f t="shared" si="111"/>
        <v>49460</v>
      </c>
      <c r="O311" s="285">
        <f>'Sec-8'!P78</f>
        <v>0</v>
      </c>
      <c r="P311" s="285">
        <f t="shared" si="112"/>
        <v>49460</v>
      </c>
      <c r="Q311" s="285">
        <f t="shared" si="113"/>
        <v>0</v>
      </c>
      <c r="R311" s="285">
        <f t="shared" si="104"/>
        <v>0</v>
      </c>
      <c r="S311" s="285">
        <f t="shared" si="105"/>
        <v>840.82</v>
      </c>
      <c r="T311" s="285">
        <f t="shared" si="114"/>
        <v>11.210933333333333</v>
      </c>
      <c r="U311" s="285">
        <f t="shared" si="106"/>
        <v>0</v>
      </c>
      <c r="V311" s="285">
        <f t="shared" si="115"/>
        <v>11.210933333333333</v>
      </c>
    </row>
    <row r="312" spans="1:22">
      <c r="A312" s="285">
        <v>14</v>
      </c>
      <c r="B312" s="288" t="s">
        <v>226</v>
      </c>
      <c r="C312" s="273" t="s">
        <v>196</v>
      </c>
      <c r="D312" s="274">
        <v>17</v>
      </c>
      <c r="E312" s="274"/>
      <c r="F312" s="274">
        <v>3020</v>
      </c>
      <c r="G312" s="285">
        <v>4.5</v>
      </c>
      <c r="H312" s="285">
        <f t="shared" si="107"/>
        <v>13590</v>
      </c>
      <c r="I312" s="117"/>
      <c r="J312" s="285">
        <f t="shared" si="108"/>
        <v>13590</v>
      </c>
      <c r="K312" s="285">
        <f t="shared" si="109"/>
        <v>0</v>
      </c>
      <c r="L312" s="285">
        <f t="shared" si="110"/>
        <v>3020</v>
      </c>
      <c r="M312" s="117"/>
      <c r="N312" s="285">
        <f t="shared" si="111"/>
        <v>3020</v>
      </c>
      <c r="O312" s="285">
        <f>'Sec-8'!Q78</f>
        <v>0</v>
      </c>
      <c r="P312" s="285">
        <f t="shared" si="112"/>
        <v>3020</v>
      </c>
      <c r="Q312" s="285">
        <f t="shared" si="113"/>
        <v>0</v>
      </c>
      <c r="R312" s="285">
        <f t="shared" si="104"/>
        <v>0</v>
      </c>
      <c r="S312" s="285">
        <f t="shared" si="105"/>
        <v>51.34</v>
      </c>
      <c r="T312" s="285">
        <f t="shared" si="114"/>
        <v>0.68453333333333333</v>
      </c>
      <c r="U312" s="285">
        <f t="shared" si="106"/>
        <v>0</v>
      </c>
      <c r="V312" s="285">
        <f t="shared" si="115"/>
        <v>0.68453333333333333</v>
      </c>
    </row>
    <row r="313" spans="1:22">
      <c r="A313" s="285">
        <v>15</v>
      </c>
      <c r="B313" s="288" t="s">
        <v>180</v>
      </c>
      <c r="C313" s="273" t="s">
        <v>196</v>
      </c>
      <c r="D313" s="274">
        <v>17.5</v>
      </c>
      <c r="E313" s="274"/>
      <c r="F313" s="274">
        <v>46080</v>
      </c>
      <c r="G313" s="285">
        <v>4.75</v>
      </c>
      <c r="H313" s="285">
        <f t="shared" si="107"/>
        <v>218880</v>
      </c>
      <c r="I313" s="117"/>
      <c r="J313" s="285">
        <f t="shared" si="108"/>
        <v>218880</v>
      </c>
      <c r="K313" s="285">
        <f t="shared" si="109"/>
        <v>0</v>
      </c>
      <c r="L313" s="285">
        <f t="shared" si="110"/>
        <v>46080</v>
      </c>
      <c r="M313" s="117"/>
      <c r="N313" s="285">
        <f t="shared" si="111"/>
        <v>46080</v>
      </c>
      <c r="O313" s="285">
        <f>'Sec-8'!R78</f>
        <v>0</v>
      </c>
      <c r="P313" s="285">
        <f t="shared" si="112"/>
        <v>46080</v>
      </c>
      <c r="Q313" s="285">
        <f t="shared" si="113"/>
        <v>0</v>
      </c>
      <c r="R313" s="285">
        <f t="shared" si="104"/>
        <v>0</v>
      </c>
      <c r="S313" s="285">
        <f t="shared" si="105"/>
        <v>806.4</v>
      </c>
      <c r="T313" s="285">
        <f t="shared" si="114"/>
        <v>10.751999999999999</v>
      </c>
      <c r="U313" s="285">
        <f t="shared" si="106"/>
        <v>0</v>
      </c>
      <c r="V313" s="285">
        <f t="shared" si="115"/>
        <v>10.751999999999999</v>
      </c>
    </row>
    <row r="314" spans="1:22">
      <c r="A314" s="285">
        <v>16</v>
      </c>
      <c r="B314" s="288" t="s">
        <v>181</v>
      </c>
      <c r="C314" s="273" t="s">
        <v>196</v>
      </c>
      <c r="D314" s="274">
        <v>14.5</v>
      </c>
      <c r="E314" s="274"/>
      <c r="F314" s="274">
        <v>8566</v>
      </c>
      <c r="G314" s="285">
        <v>4.25</v>
      </c>
      <c r="H314" s="285">
        <f t="shared" si="107"/>
        <v>36405.5</v>
      </c>
      <c r="I314" s="117"/>
      <c r="J314" s="285">
        <f t="shared" si="108"/>
        <v>36405.5</v>
      </c>
      <c r="K314" s="285">
        <f t="shared" si="109"/>
        <v>0</v>
      </c>
      <c r="L314" s="285">
        <f t="shared" si="110"/>
        <v>8566</v>
      </c>
      <c r="M314" s="117"/>
      <c r="N314" s="285">
        <f t="shared" si="111"/>
        <v>8566</v>
      </c>
      <c r="O314" s="285">
        <f>'Sec-8'!S78</f>
        <v>0</v>
      </c>
      <c r="P314" s="285">
        <f t="shared" si="112"/>
        <v>8566</v>
      </c>
      <c r="Q314" s="285">
        <f t="shared" si="113"/>
        <v>0</v>
      </c>
      <c r="R314" s="285">
        <f t="shared" si="104"/>
        <v>0</v>
      </c>
      <c r="S314" s="285">
        <f t="shared" si="105"/>
        <v>124.20699999999999</v>
      </c>
      <c r="T314" s="285">
        <f t="shared" si="114"/>
        <v>1.6560933333333332</v>
      </c>
      <c r="U314" s="285">
        <f t="shared" si="106"/>
        <v>0</v>
      </c>
      <c r="V314" s="285">
        <f t="shared" si="115"/>
        <v>1.6560933333333332</v>
      </c>
    </row>
    <row r="315" spans="1:22">
      <c r="A315" s="285">
        <v>17</v>
      </c>
      <c r="B315" s="288" t="s">
        <v>76</v>
      </c>
      <c r="C315" s="273" t="s">
        <v>196</v>
      </c>
      <c r="D315" s="274">
        <v>14</v>
      </c>
      <c r="E315" s="274"/>
      <c r="F315" s="274">
        <v>339</v>
      </c>
      <c r="G315" s="285">
        <v>4</v>
      </c>
      <c r="H315" s="285">
        <f t="shared" si="107"/>
        <v>1356</v>
      </c>
      <c r="I315" s="117"/>
      <c r="J315" s="285">
        <f t="shared" si="108"/>
        <v>1356</v>
      </c>
      <c r="K315" s="285">
        <f t="shared" si="109"/>
        <v>0</v>
      </c>
      <c r="L315" s="285">
        <f t="shared" si="110"/>
        <v>339</v>
      </c>
      <c r="M315" s="117"/>
      <c r="N315" s="285">
        <f t="shared" si="111"/>
        <v>339</v>
      </c>
      <c r="O315" s="285">
        <f>'Sec-8'!T78</f>
        <v>0</v>
      </c>
      <c r="P315" s="285">
        <f t="shared" si="112"/>
        <v>339</v>
      </c>
      <c r="Q315" s="285">
        <f t="shared" si="113"/>
        <v>0</v>
      </c>
      <c r="R315" s="285">
        <f t="shared" si="104"/>
        <v>0</v>
      </c>
      <c r="S315" s="285">
        <f t="shared" si="105"/>
        <v>4.7460000000000004</v>
      </c>
      <c r="T315" s="285">
        <f t="shared" si="114"/>
        <v>6.3280000000000003E-2</v>
      </c>
      <c r="U315" s="285">
        <f t="shared" si="106"/>
        <v>0</v>
      </c>
      <c r="V315" s="285">
        <f t="shared" si="115"/>
        <v>6.3280000000000003E-2</v>
      </c>
    </row>
    <row r="316" spans="1:22">
      <c r="A316" s="285">
        <v>18</v>
      </c>
      <c r="B316" s="288" t="s">
        <v>51</v>
      </c>
      <c r="C316" s="273" t="s">
        <v>196</v>
      </c>
      <c r="D316" s="274">
        <v>17</v>
      </c>
      <c r="E316" s="274"/>
      <c r="F316" s="274">
        <v>50</v>
      </c>
      <c r="G316" s="285">
        <v>4.5</v>
      </c>
      <c r="H316" s="285">
        <f t="shared" si="107"/>
        <v>225</v>
      </c>
      <c r="I316" s="117"/>
      <c r="J316" s="285">
        <f t="shared" si="108"/>
        <v>225</v>
      </c>
      <c r="K316" s="285">
        <f t="shared" si="109"/>
        <v>0</v>
      </c>
      <c r="L316" s="285">
        <f t="shared" si="110"/>
        <v>50</v>
      </c>
      <c r="M316" s="117"/>
      <c r="N316" s="285">
        <f t="shared" si="111"/>
        <v>50</v>
      </c>
      <c r="O316" s="285">
        <f>'Sec-8'!U78</f>
        <v>0</v>
      </c>
      <c r="P316" s="285">
        <f t="shared" si="112"/>
        <v>50</v>
      </c>
      <c r="Q316" s="285">
        <f t="shared" si="113"/>
        <v>0</v>
      </c>
      <c r="R316" s="285">
        <f t="shared" si="104"/>
        <v>0</v>
      </c>
      <c r="S316" s="285">
        <f t="shared" si="105"/>
        <v>0.85</v>
      </c>
      <c r="T316" s="285">
        <f t="shared" si="114"/>
        <v>1.1333333333333332E-2</v>
      </c>
      <c r="U316" s="285">
        <f t="shared" si="106"/>
        <v>0</v>
      </c>
      <c r="V316" s="285">
        <f t="shared" si="115"/>
        <v>1.1333333333333332E-2</v>
      </c>
    </row>
    <row r="317" spans="1:22">
      <c r="A317" s="285">
        <v>19</v>
      </c>
      <c r="B317" s="288" t="s">
        <v>112</v>
      </c>
      <c r="C317" s="273" t="s">
        <v>196</v>
      </c>
      <c r="D317" s="274">
        <v>15</v>
      </c>
      <c r="E317" s="274"/>
      <c r="F317" s="274">
        <v>0</v>
      </c>
      <c r="G317" s="285">
        <v>4.5</v>
      </c>
      <c r="H317" s="285">
        <f t="shared" si="107"/>
        <v>0</v>
      </c>
      <c r="I317" s="117"/>
      <c r="J317" s="285">
        <f t="shared" si="108"/>
        <v>0</v>
      </c>
      <c r="K317" s="285">
        <f t="shared" si="109"/>
        <v>0</v>
      </c>
      <c r="L317" s="285">
        <f t="shared" si="110"/>
        <v>0</v>
      </c>
      <c r="M317" s="117"/>
      <c r="N317" s="285">
        <f t="shared" si="111"/>
        <v>0</v>
      </c>
      <c r="O317" s="285">
        <f>'Sec-8'!V78</f>
        <v>0</v>
      </c>
      <c r="P317" s="285">
        <f t="shared" si="112"/>
        <v>0</v>
      </c>
      <c r="Q317" s="285">
        <f t="shared" si="113"/>
        <v>0</v>
      </c>
      <c r="R317" s="285">
        <f t="shared" si="104"/>
        <v>0</v>
      </c>
      <c r="S317" s="285">
        <f t="shared" si="105"/>
        <v>0</v>
      </c>
      <c r="T317" s="285">
        <f t="shared" si="114"/>
        <v>0</v>
      </c>
      <c r="U317" s="285">
        <f t="shared" si="106"/>
        <v>0</v>
      </c>
      <c r="V317" s="285">
        <f t="shared" si="115"/>
        <v>0</v>
      </c>
    </row>
    <row r="318" spans="1:22">
      <c r="A318" s="285">
        <v>20</v>
      </c>
      <c r="B318" s="288" t="s">
        <v>217</v>
      </c>
      <c r="C318" s="273" t="s">
        <v>196</v>
      </c>
      <c r="D318" s="274">
        <v>18.5</v>
      </c>
      <c r="E318" s="274"/>
      <c r="F318" s="274">
        <v>0</v>
      </c>
      <c r="G318" s="285">
        <v>5.25</v>
      </c>
      <c r="H318" s="285">
        <f t="shared" si="107"/>
        <v>0</v>
      </c>
      <c r="I318" s="117"/>
      <c r="J318" s="285">
        <f t="shared" si="108"/>
        <v>0</v>
      </c>
      <c r="K318" s="285">
        <f t="shared" si="109"/>
        <v>0</v>
      </c>
      <c r="L318" s="285">
        <f t="shared" si="110"/>
        <v>0</v>
      </c>
      <c r="M318" s="117"/>
      <c r="N318" s="285">
        <f t="shared" si="111"/>
        <v>0</v>
      </c>
      <c r="O318" s="285">
        <f>'Sec-8'!W78</f>
        <v>0</v>
      </c>
      <c r="P318" s="285">
        <f t="shared" si="112"/>
        <v>0</v>
      </c>
      <c r="Q318" s="285">
        <f t="shared" si="113"/>
        <v>0</v>
      </c>
      <c r="R318" s="285">
        <f t="shared" si="104"/>
        <v>0</v>
      </c>
      <c r="S318" s="285">
        <f t="shared" si="105"/>
        <v>0</v>
      </c>
      <c r="T318" s="285">
        <f t="shared" si="114"/>
        <v>0</v>
      </c>
      <c r="U318" s="285">
        <f t="shared" si="106"/>
        <v>0</v>
      </c>
      <c r="V318" s="285">
        <f t="shared" si="115"/>
        <v>0</v>
      </c>
    </row>
    <row r="319" spans="1:22">
      <c r="A319" s="285">
        <v>21</v>
      </c>
      <c r="B319" s="288" t="s">
        <v>149</v>
      </c>
      <c r="C319" s="273" t="s">
        <v>196</v>
      </c>
      <c r="D319" s="274">
        <v>19.5</v>
      </c>
      <c r="E319" s="274"/>
      <c r="F319" s="274">
        <v>0</v>
      </c>
      <c r="G319" s="285">
        <v>5.75</v>
      </c>
      <c r="H319" s="285">
        <f t="shared" si="107"/>
        <v>0</v>
      </c>
      <c r="I319" s="117"/>
      <c r="J319" s="285">
        <f t="shared" si="108"/>
        <v>0</v>
      </c>
      <c r="K319" s="285">
        <f t="shared" si="109"/>
        <v>0</v>
      </c>
      <c r="L319" s="285">
        <f t="shared" si="110"/>
        <v>0</v>
      </c>
      <c r="M319" s="117"/>
      <c r="N319" s="285">
        <f t="shared" si="111"/>
        <v>0</v>
      </c>
      <c r="O319" s="285">
        <f>'Sec-8'!X78</f>
        <v>0</v>
      </c>
      <c r="P319" s="285">
        <f t="shared" si="112"/>
        <v>0</v>
      </c>
      <c r="Q319" s="285">
        <f t="shared" si="113"/>
        <v>0</v>
      </c>
      <c r="R319" s="285">
        <f t="shared" si="104"/>
        <v>0</v>
      </c>
      <c r="S319" s="285">
        <f t="shared" si="105"/>
        <v>0</v>
      </c>
      <c r="T319" s="285">
        <f t="shared" si="114"/>
        <v>0</v>
      </c>
      <c r="U319" s="285">
        <f t="shared" si="106"/>
        <v>0</v>
      </c>
      <c r="V319" s="285">
        <f t="shared" si="115"/>
        <v>0</v>
      </c>
    </row>
    <row r="320" spans="1:22">
      <c r="A320" s="285">
        <v>22</v>
      </c>
      <c r="B320" s="288" t="s">
        <v>99</v>
      </c>
      <c r="C320" s="273" t="s">
        <v>196</v>
      </c>
      <c r="D320" s="274">
        <v>12.5</v>
      </c>
      <c r="E320" s="274"/>
      <c r="F320" s="274">
        <v>0</v>
      </c>
      <c r="G320" s="285">
        <v>3.25</v>
      </c>
      <c r="H320" s="285">
        <f t="shared" si="107"/>
        <v>0</v>
      </c>
      <c r="I320" s="117"/>
      <c r="J320" s="285">
        <f t="shared" si="108"/>
        <v>0</v>
      </c>
      <c r="K320" s="285">
        <f t="shared" si="109"/>
        <v>0</v>
      </c>
      <c r="L320" s="285">
        <f t="shared" si="110"/>
        <v>0</v>
      </c>
      <c r="M320" s="117"/>
      <c r="N320" s="285">
        <f t="shared" si="111"/>
        <v>0</v>
      </c>
      <c r="O320" s="285">
        <f>'Sec-8'!Y78</f>
        <v>0</v>
      </c>
      <c r="P320" s="285">
        <f t="shared" si="112"/>
        <v>0</v>
      </c>
      <c r="Q320" s="285">
        <f t="shared" si="113"/>
        <v>0</v>
      </c>
      <c r="R320" s="285">
        <f t="shared" si="104"/>
        <v>0</v>
      </c>
      <c r="S320" s="285">
        <f t="shared" si="105"/>
        <v>0</v>
      </c>
      <c r="T320" s="285">
        <f t="shared" si="114"/>
        <v>0</v>
      </c>
      <c r="U320" s="285">
        <f t="shared" si="106"/>
        <v>0</v>
      </c>
      <c r="V320" s="285">
        <f t="shared" si="115"/>
        <v>0</v>
      </c>
    </row>
    <row r="321" spans="1:22">
      <c r="A321" s="507" t="s">
        <v>67</v>
      </c>
      <c r="B321" s="508"/>
      <c r="C321" s="508"/>
      <c r="D321" s="509"/>
      <c r="E321" s="282"/>
      <c r="F321" s="282">
        <f t="shared" ref="F321:V321" si="116">SUM(F299:F320)</f>
        <v>605335</v>
      </c>
      <c r="G321" s="282">
        <f t="shared" si="116"/>
        <v>98.5</v>
      </c>
      <c r="H321" s="282">
        <f t="shared" si="116"/>
        <v>2976051.5</v>
      </c>
      <c r="I321" s="282">
        <f t="shared" si="116"/>
        <v>0</v>
      </c>
      <c r="J321" s="282">
        <f t="shared" si="116"/>
        <v>2976051.5</v>
      </c>
      <c r="K321" s="282">
        <f t="shared" si="116"/>
        <v>0</v>
      </c>
      <c r="L321" s="282">
        <f t="shared" si="116"/>
        <v>605335</v>
      </c>
      <c r="M321" s="282">
        <f t="shared" si="116"/>
        <v>0</v>
      </c>
      <c r="N321" s="282">
        <f t="shared" si="116"/>
        <v>605335</v>
      </c>
      <c r="O321" s="282">
        <f t="shared" si="116"/>
        <v>0</v>
      </c>
      <c r="P321" s="282">
        <f t="shared" si="116"/>
        <v>605335</v>
      </c>
      <c r="Q321" s="282">
        <f t="shared" si="116"/>
        <v>0</v>
      </c>
      <c r="R321" s="282">
        <f t="shared" si="116"/>
        <v>0</v>
      </c>
      <c r="S321" s="282">
        <f t="shared" si="116"/>
        <v>10986.893000000002</v>
      </c>
      <c r="T321" s="282">
        <f t="shared" si="116"/>
        <v>146.49190666666667</v>
      </c>
      <c r="U321" s="282">
        <f t="shared" si="116"/>
        <v>0</v>
      </c>
      <c r="V321" s="282">
        <f t="shared" si="116"/>
        <v>146.49190666666667</v>
      </c>
    </row>
    <row r="323" spans="1:22">
      <c r="S323" s="85"/>
      <c r="T323" s="85"/>
      <c r="U323" s="85"/>
      <c r="V323" s="85"/>
    </row>
    <row r="324" spans="1:22" s="11" customFormat="1" ht="15.75">
      <c r="A324" s="61"/>
      <c r="B324" s="61"/>
      <c r="C324" s="61"/>
      <c r="D324" s="61"/>
      <c r="E324" s="61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462" t="s">
        <v>254</v>
      </c>
      <c r="T324" s="462"/>
      <c r="U324" s="462"/>
      <c r="V324" s="462"/>
    </row>
    <row r="329" spans="1:22" s="1" customFormat="1" ht="24" customHeight="1">
      <c r="A329" s="388" t="s">
        <v>342</v>
      </c>
      <c r="B329" s="388"/>
      <c r="C329" s="388"/>
      <c r="D329" s="388"/>
      <c r="E329" s="388"/>
      <c r="F329" s="388"/>
      <c r="G329" s="388"/>
      <c r="H329" s="388"/>
      <c r="I329" s="388"/>
      <c r="J329" s="388"/>
      <c r="K329" s="388"/>
      <c r="L329" s="388"/>
      <c r="M329" s="388"/>
      <c r="N329" s="388"/>
      <c r="O329" s="388"/>
      <c r="P329" s="388"/>
      <c r="Q329" s="388"/>
      <c r="R329" s="388"/>
      <c r="S329" s="388"/>
      <c r="T329" s="388"/>
      <c r="U329" s="388"/>
      <c r="V329" s="388"/>
    </row>
    <row r="330" spans="1:22" s="1" customFormat="1" ht="17.25" customHeight="1">
      <c r="A330" s="379" t="s">
        <v>343</v>
      </c>
      <c r="B330" s="379"/>
      <c r="C330" s="379"/>
      <c r="D330" s="379"/>
      <c r="E330" s="379"/>
      <c r="F330" s="379"/>
      <c r="G330" s="379"/>
      <c r="H330" s="379"/>
      <c r="I330" s="379"/>
      <c r="J330" s="379"/>
      <c r="K330" s="379"/>
      <c r="L330" s="379"/>
      <c r="M330" s="379"/>
      <c r="N330" s="379"/>
      <c r="O330" s="379"/>
      <c r="P330" s="379"/>
      <c r="Q330" s="379"/>
      <c r="R330" s="379"/>
      <c r="S330" s="379"/>
      <c r="T330" s="379"/>
      <c r="U330" s="379"/>
      <c r="V330" s="379"/>
    </row>
    <row r="331" spans="1:22" s="1" customFormat="1" ht="15.75" customHeight="1">
      <c r="A331" s="313" t="s">
        <v>274</v>
      </c>
      <c r="B331" s="313"/>
      <c r="C331" s="313"/>
      <c r="D331" s="313"/>
      <c r="E331" s="313"/>
      <c r="F331" s="313"/>
      <c r="G331" s="313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  <c r="T331" s="313"/>
      <c r="U331" s="313"/>
      <c r="V331" s="313"/>
    </row>
    <row r="332" spans="1:22" ht="20.25">
      <c r="A332" s="379" t="s">
        <v>332</v>
      </c>
      <c r="B332" s="470"/>
      <c r="C332" s="470"/>
      <c r="D332" s="470"/>
      <c r="E332" s="470"/>
      <c r="F332" s="470"/>
      <c r="G332" s="470"/>
      <c r="H332" s="470"/>
      <c r="I332" s="470"/>
      <c r="J332" s="470"/>
      <c r="K332" s="470"/>
      <c r="L332" s="470"/>
      <c r="M332" s="470"/>
      <c r="N332" s="470"/>
      <c r="O332" s="470"/>
      <c r="P332" s="470"/>
      <c r="Q332" s="470"/>
      <c r="R332" s="470"/>
      <c r="S332" s="470"/>
      <c r="T332" s="470"/>
      <c r="U332" s="470"/>
      <c r="V332" s="470"/>
    </row>
    <row r="333" spans="1:22" ht="15" customHeight="1">
      <c r="A333" s="510" t="s">
        <v>15</v>
      </c>
      <c r="B333" s="510" t="s">
        <v>64</v>
      </c>
      <c r="C333" s="510" t="s">
        <v>65</v>
      </c>
      <c r="D333" s="512" t="s">
        <v>66</v>
      </c>
      <c r="E333" s="283"/>
      <c r="F333" s="277" t="s">
        <v>88</v>
      </c>
      <c r="G333" s="278" t="s">
        <v>157</v>
      </c>
      <c r="H333" s="505" t="s">
        <v>84</v>
      </c>
      <c r="I333" s="505" t="s">
        <v>138</v>
      </c>
      <c r="J333" s="505"/>
      <c r="K333" s="506" t="s">
        <v>139</v>
      </c>
      <c r="L333" s="506"/>
      <c r="M333" s="506" t="s">
        <v>86</v>
      </c>
      <c r="N333" s="506"/>
      <c r="O333" s="506" t="s">
        <v>25</v>
      </c>
      <c r="P333" s="506"/>
      <c r="Q333" s="506" t="s">
        <v>87</v>
      </c>
      <c r="R333" s="505" t="s">
        <v>146</v>
      </c>
      <c r="S333" s="506" t="s">
        <v>140</v>
      </c>
      <c r="T333" s="506"/>
      <c r="U333" s="506"/>
      <c r="V333" s="506"/>
    </row>
    <row r="334" spans="1:22">
      <c r="A334" s="511"/>
      <c r="B334" s="511"/>
      <c r="C334" s="511"/>
      <c r="D334" s="513"/>
      <c r="E334" s="279"/>
      <c r="F334" s="280" t="s">
        <v>340</v>
      </c>
      <c r="G334" s="278"/>
      <c r="H334" s="505"/>
      <c r="I334" s="278" t="s">
        <v>85</v>
      </c>
      <c r="J334" s="278" t="s">
        <v>70</v>
      </c>
      <c r="K334" s="281" t="s">
        <v>85</v>
      </c>
      <c r="L334" s="281" t="s">
        <v>70</v>
      </c>
      <c r="M334" s="278" t="s">
        <v>86</v>
      </c>
      <c r="N334" s="281" t="s">
        <v>70</v>
      </c>
      <c r="O334" s="281" t="s">
        <v>25</v>
      </c>
      <c r="P334" s="281" t="s">
        <v>70</v>
      </c>
      <c r="Q334" s="506"/>
      <c r="R334" s="505"/>
      <c r="S334" s="281" t="s">
        <v>155</v>
      </c>
      <c r="T334" s="281" t="s">
        <v>156</v>
      </c>
      <c r="U334" s="281" t="s">
        <v>141</v>
      </c>
      <c r="V334" s="281" t="s">
        <v>70</v>
      </c>
    </row>
    <row r="335" spans="1:22">
      <c r="A335" s="285">
        <v>1</v>
      </c>
      <c r="B335" s="288" t="s">
        <v>225</v>
      </c>
      <c r="C335" s="273" t="s">
        <v>196</v>
      </c>
      <c r="D335" s="274">
        <v>17</v>
      </c>
      <c r="E335" s="274"/>
      <c r="F335" s="274">
        <v>47410</v>
      </c>
      <c r="G335" s="285">
        <v>4.5</v>
      </c>
      <c r="H335" s="285">
        <f>G335*F335</f>
        <v>213345</v>
      </c>
      <c r="I335" s="117"/>
      <c r="J335" s="285">
        <f>H335-I335</f>
        <v>213345</v>
      </c>
      <c r="K335" s="285">
        <f>I335/G335</f>
        <v>0</v>
      </c>
      <c r="L335" s="285">
        <f>F335-K335</f>
        <v>47410</v>
      </c>
      <c r="M335" s="117"/>
      <c r="N335" s="285">
        <f>F335-M335</f>
        <v>47410</v>
      </c>
      <c r="O335" s="285">
        <f>'Sec-8'!D104</f>
        <v>0</v>
      </c>
      <c r="P335" s="285">
        <f>F335-O335</f>
        <v>47410</v>
      </c>
      <c r="Q335" s="285">
        <f>M335-O335</f>
        <v>0</v>
      </c>
      <c r="R335" s="285">
        <f t="shared" ref="R335:R356" si="117">D335*M335/1000</f>
        <v>0</v>
      </c>
      <c r="S335" s="285">
        <f t="shared" ref="S335:S356" si="118">D335*F335/1000</f>
        <v>805.97</v>
      </c>
      <c r="T335" s="285">
        <f>S335/75</f>
        <v>10.746266666666667</v>
      </c>
      <c r="U335" s="285">
        <f t="shared" ref="U335:U356" si="119">D335*K335/1000/75</f>
        <v>0</v>
      </c>
      <c r="V335" s="285">
        <f>T335-U335</f>
        <v>10.746266666666667</v>
      </c>
    </row>
    <row r="336" spans="1:22">
      <c r="A336" s="285">
        <v>2</v>
      </c>
      <c r="B336" s="288" t="s">
        <v>173</v>
      </c>
      <c r="C336" s="273" t="s">
        <v>196</v>
      </c>
      <c r="D336" s="274">
        <v>8</v>
      </c>
      <c r="E336" s="274"/>
      <c r="F336" s="274">
        <v>47410</v>
      </c>
      <c r="G336" s="285">
        <v>2</v>
      </c>
      <c r="H336" s="285">
        <f t="shared" ref="H336:H356" si="120">G336*F336</f>
        <v>94820</v>
      </c>
      <c r="I336" s="117"/>
      <c r="J336" s="285">
        <f t="shared" ref="J336:J356" si="121">H336-I336</f>
        <v>94820</v>
      </c>
      <c r="K336" s="285">
        <f t="shared" ref="K336:K356" si="122">I336/G336</f>
        <v>0</v>
      </c>
      <c r="L336" s="285">
        <f t="shared" ref="L336:L356" si="123">F336-K336</f>
        <v>47410</v>
      </c>
      <c r="M336" s="117"/>
      <c r="N336" s="285">
        <f t="shared" ref="N336:N356" si="124">F336-M336</f>
        <v>47410</v>
      </c>
      <c r="O336" s="285">
        <f>'Sec-8'!E104</f>
        <v>0</v>
      </c>
      <c r="P336" s="285">
        <f t="shared" ref="P336:P356" si="125">F336-O336</f>
        <v>47410</v>
      </c>
      <c r="Q336" s="285">
        <f t="shared" ref="Q336:Q356" si="126">M336-O336</f>
        <v>0</v>
      </c>
      <c r="R336" s="285">
        <f t="shared" si="117"/>
        <v>0</v>
      </c>
      <c r="S336" s="285">
        <f t="shared" si="118"/>
        <v>379.28</v>
      </c>
      <c r="T336" s="285">
        <f t="shared" ref="T336:T356" si="127">S336/75</f>
        <v>5.0570666666666666</v>
      </c>
      <c r="U336" s="285">
        <f t="shared" si="119"/>
        <v>0</v>
      </c>
      <c r="V336" s="285">
        <f t="shared" ref="V336:V356" si="128">T336-U336</f>
        <v>5.0570666666666666</v>
      </c>
    </row>
    <row r="337" spans="1:22">
      <c r="A337" s="285">
        <v>3</v>
      </c>
      <c r="B337" s="288" t="s">
        <v>56</v>
      </c>
      <c r="C337" s="273" t="s">
        <v>196</v>
      </c>
      <c r="D337" s="274">
        <v>17.5</v>
      </c>
      <c r="E337" s="274"/>
      <c r="F337" s="274">
        <v>47410</v>
      </c>
      <c r="G337" s="285">
        <v>4.75</v>
      </c>
      <c r="H337" s="285">
        <f t="shared" si="120"/>
        <v>225197.5</v>
      </c>
      <c r="I337" s="117"/>
      <c r="J337" s="285">
        <f t="shared" si="121"/>
        <v>225197.5</v>
      </c>
      <c r="K337" s="285">
        <f t="shared" si="122"/>
        <v>0</v>
      </c>
      <c r="L337" s="285">
        <f t="shared" si="123"/>
        <v>47410</v>
      </c>
      <c r="M337" s="117"/>
      <c r="N337" s="285">
        <f t="shared" si="124"/>
        <v>47410</v>
      </c>
      <c r="O337" s="285">
        <f>'Sec-8'!F104</f>
        <v>0</v>
      </c>
      <c r="P337" s="285">
        <f t="shared" si="125"/>
        <v>47410</v>
      </c>
      <c r="Q337" s="285">
        <f t="shared" si="126"/>
        <v>0</v>
      </c>
      <c r="R337" s="285">
        <f t="shared" si="117"/>
        <v>0</v>
      </c>
      <c r="S337" s="285">
        <f t="shared" si="118"/>
        <v>829.67499999999995</v>
      </c>
      <c r="T337" s="285">
        <f t="shared" si="127"/>
        <v>11.062333333333333</v>
      </c>
      <c r="U337" s="285">
        <f t="shared" si="119"/>
        <v>0</v>
      </c>
      <c r="V337" s="285">
        <f t="shared" si="128"/>
        <v>11.062333333333333</v>
      </c>
    </row>
    <row r="338" spans="1:22">
      <c r="A338" s="285">
        <v>4</v>
      </c>
      <c r="B338" s="288" t="s">
        <v>27</v>
      </c>
      <c r="C338" s="273" t="s">
        <v>196</v>
      </c>
      <c r="D338" s="274">
        <v>20</v>
      </c>
      <c r="E338" s="274"/>
      <c r="F338" s="274">
        <v>47410</v>
      </c>
      <c r="G338" s="285">
        <v>5</v>
      </c>
      <c r="H338" s="285">
        <f t="shared" si="120"/>
        <v>237050</v>
      </c>
      <c r="I338" s="117"/>
      <c r="J338" s="285">
        <f t="shared" si="121"/>
        <v>237050</v>
      </c>
      <c r="K338" s="285">
        <f t="shared" si="122"/>
        <v>0</v>
      </c>
      <c r="L338" s="285">
        <f t="shared" si="123"/>
        <v>47410</v>
      </c>
      <c r="M338" s="117"/>
      <c r="N338" s="285">
        <f t="shared" si="124"/>
        <v>47410</v>
      </c>
      <c r="O338" s="285">
        <f>'Sec-8'!G104</f>
        <v>0</v>
      </c>
      <c r="P338" s="285">
        <f t="shared" si="125"/>
        <v>47410</v>
      </c>
      <c r="Q338" s="285">
        <f t="shared" si="126"/>
        <v>0</v>
      </c>
      <c r="R338" s="285">
        <f t="shared" si="117"/>
        <v>0</v>
      </c>
      <c r="S338" s="285">
        <f t="shared" si="118"/>
        <v>948.2</v>
      </c>
      <c r="T338" s="285">
        <f t="shared" si="127"/>
        <v>12.642666666666667</v>
      </c>
      <c r="U338" s="285">
        <f t="shared" si="119"/>
        <v>0</v>
      </c>
      <c r="V338" s="285">
        <f t="shared" si="128"/>
        <v>12.642666666666667</v>
      </c>
    </row>
    <row r="339" spans="1:22">
      <c r="A339" s="285">
        <v>5</v>
      </c>
      <c r="B339" s="288" t="s">
        <v>175</v>
      </c>
      <c r="C339" s="273" t="s">
        <v>196</v>
      </c>
      <c r="D339" s="274">
        <v>31</v>
      </c>
      <c r="E339" s="274"/>
      <c r="F339" s="274">
        <v>47410</v>
      </c>
      <c r="G339" s="285">
        <v>8.5</v>
      </c>
      <c r="H339" s="285">
        <f t="shared" si="120"/>
        <v>402985</v>
      </c>
      <c r="I339" s="117"/>
      <c r="J339" s="285">
        <f t="shared" si="121"/>
        <v>402985</v>
      </c>
      <c r="K339" s="285">
        <f t="shared" si="122"/>
        <v>0</v>
      </c>
      <c r="L339" s="285">
        <f t="shared" si="123"/>
        <v>47410</v>
      </c>
      <c r="M339" s="117"/>
      <c r="N339" s="285">
        <f t="shared" si="124"/>
        <v>47410</v>
      </c>
      <c r="O339" s="285">
        <f>'Sec-8'!H104</f>
        <v>0</v>
      </c>
      <c r="P339" s="285">
        <f t="shared" si="125"/>
        <v>47410</v>
      </c>
      <c r="Q339" s="285">
        <f t="shared" si="126"/>
        <v>0</v>
      </c>
      <c r="R339" s="285">
        <f t="shared" si="117"/>
        <v>0</v>
      </c>
      <c r="S339" s="285">
        <f t="shared" si="118"/>
        <v>1469.71</v>
      </c>
      <c r="T339" s="285">
        <f t="shared" si="127"/>
        <v>19.596133333333334</v>
      </c>
      <c r="U339" s="285">
        <f t="shared" si="119"/>
        <v>0</v>
      </c>
      <c r="V339" s="285">
        <f t="shared" si="128"/>
        <v>19.596133333333334</v>
      </c>
    </row>
    <row r="340" spans="1:22">
      <c r="A340" s="285">
        <v>6</v>
      </c>
      <c r="B340" s="288" t="s">
        <v>31</v>
      </c>
      <c r="C340" s="273" t="s">
        <v>196</v>
      </c>
      <c r="D340" s="274">
        <v>23.5</v>
      </c>
      <c r="E340" s="274"/>
      <c r="F340" s="274">
        <v>47410</v>
      </c>
      <c r="G340" s="285">
        <v>6.75</v>
      </c>
      <c r="H340" s="285">
        <f t="shared" si="120"/>
        <v>320017.5</v>
      </c>
      <c r="I340" s="117"/>
      <c r="J340" s="285">
        <f t="shared" si="121"/>
        <v>320017.5</v>
      </c>
      <c r="K340" s="285">
        <f t="shared" si="122"/>
        <v>0</v>
      </c>
      <c r="L340" s="285">
        <f t="shared" si="123"/>
        <v>47410</v>
      </c>
      <c r="M340" s="117"/>
      <c r="N340" s="285">
        <f t="shared" si="124"/>
        <v>47410</v>
      </c>
      <c r="O340" s="285">
        <f>'Sec-8'!I104</f>
        <v>0</v>
      </c>
      <c r="P340" s="285">
        <f t="shared" si="125"/>
        <v>47410</v>
      </c>
      <c r="Q340" s="285">
        <f t="shared" si="126"/>
        <v>0</v>
      </c>
      <c r="R340" s="285">
        <f t="shared" si="117"/>
        <v>0</v>
      </c>
      <c r="S340" s="285">
        <f t="shared" si="118"/>
        <v>1114.135</v>
      </c>
      <c r="T340" s="285">
        <f t="shared" si="127"/>
        <v>14.855133333333333</v>
      </c>
      <c r="U340" s="285">
        <f t="shared" si="119"/>
        <v>0</v>
      </c>
      <c r="V340" s="285">
        <f t="shared" si="128"/>
        <v>14.855133333333333</v>
      </c>
    </row>
    <row r="341" spans="1:22">
      <c r="A341" s="285">
        <v>7</v>
      </c>
      <c r="B341" s="288" t="s">
        <v>72</v>
      </c>
      <c r="C341" s="273" t="s">
        <v>196</v>
      </c>
      <c r="D341" s="274">
        <v>18.5</v>
      </c>
      <c r="E341" s="274"/>
      <c r="F341" s="274">
        <v>47410</v>
      </c>
      <c r="G341" s="285">
        <v>5.25</v>
      </c>
      <c r="H341" s="285">
        <f t="shared" si="120"/>
        <v>248902.5</v>
      </c>
      <c r="I341" s="117"/>
      <c r="J341" s="285">
        <f t="shared" si="121"/>
        <v>248902.5</v>
      </c>
      <c r="K341" s="285">
        <f t="shared" si="122"/>
        <v>0</v>
      </c>
      <c r="L341" s="285">
        <f t="shared" si="123"/>
        <v>47410</v>
      </c>
      <c r="M341" s="117"/>
      <c r="N341" s="285">
        <f t="shared" si="124"/>
        <v>47410</v>
      </c>
      <c r="O341" s="285">
        <f>'Sec-8'!J104</f>
        <v>0</v>
      </c>
      <c r="P341" s="285">
        <f t="shared" si="125"/>
        <v>47410</v>
      </c>
      <c r="Q341" s="285">
        <f t="shared" si="126"/>
        <v>0</v>
      </c>
      <c r="R341" s="285">
        <f t="shared" si="117"/>
        <v>0</v>
      </c>
      <c r="S341" s="285">
        <f t="shared" si="118"/>
        <v>877.08500000000004</v>
      </c>
      <c r="T341" s="285">
        <f t="shared" si="127"/>
        <v>11.694466666666667</v>
      </c>
      <c r="U341" s="285">
        <f t="shared" si="119"/>
        <v>0</v>
      </c>
      <c r="V341" s="285">
        <f t="shared" si="128"/>
        <v>11.694466666666667</v>
      </c>
    </row>
    <row r="342" spans="1:22">
      <c r="A342" s="285">
        <v>8</v>
      </c>
      <c r="B342" s="288" t="s">
        <v>32</v>
      </c>
      <c r="C342" s="273" t="s">
        <v>196</v>
      </c>
      <c r="D342" s="274">
        <v>20</v>
      </c>
      <c r="E342" s="274"/>
      <c r="F342" s="274">
        <v>47410</v>
      </c>
      <c r="G342" s="285">
        <v>5</v>
      </c>
      <c r="H342" s="285">
        <f t="shared" si="120"/>
        <v>237050</v>
      </c>
      <c r="I342" s="117"/>
      <c r="J342" s="285">
        <f t="shared" si="121"/>
        <v>237050</v>
      </c>
      <c r="K342" s="285">
        <f t="shared" si="122"/>
        <v>0</v>
      </c>
      <c r="L342" s="285">
        <f t="shared" si="123"/>
        <v>47410</v>
      </c>
      <c r="M342" s="117"/>
      <c r="N342" s="285">
        <f t="shared" si="124"/>
        <v>47410</v>
      </c>
      <c r="O342" s="285">
        <f>'Sec-8'!K104</f>
        <v>0</v>
      </c>
      <c r="P342" s="285">
        <f t="shared" si="125"/>
        <v>47410</v>
      </c>
      <c r="Q342" s="285">
        <f t="shared" si="126"/>
        <v>0</v>
      </c>
      <c r="R342" s="285">
        <f t="shared" si="117"/>
        <v>0</v>
      </c>
      <c r="S342" s="285">
        <f t="shared" si="118"/>
        <v>948.2</v>
      </c>
      <c r="T342" s="285">
        <f t="shared" si="127"/>
        <v>12.642666666666667</v>
      </c>
      <c r="U342" s="285">
        <f t="shared" si="119"/>
        <v>0</v>
      </c>
      <c r="V342" s="285">
        <f t="shared" si="128"/>
        <v>12.642666666666667</v>
      </c>
    </row>
    <row r="343" spans="1:22">
      <c r="A343" s="285">
        <v>9</v>
      </c>
      <c r="B343" s="288" t="s">
        <v>43</v>
      </c>
      <c r="C343" s="273" t="s">
        <v>196</v>
      </c>
      <c r="D343" s="274">
        <v>9</v>
      </c>
      <c r="E343" s="274"/>
      <c r="F343" s="274">
        <v>4400</v>
      </c>
      <c r="G343" s="285">
        <v>2.5</v>
      </c>
      <c r="H343" s="285">
        <f t="shared" si="120"/>
        <v>11000</v>
      </c>
      <c r="I343" s="117"/>
      <c r="J343" s="285">
        <f t="shared" si="121"/>
        <v>11000</v>
      </c>
      <c r="K343" s="285">
        <f t="shared" si="122"/>
        <v>0</v>
      </c>
      <c r="L343" s="285">
        <f t="shared" si="123"/>
        <v>4400</v>
      </c>
      <c r="M343" s="117"/>
      <c r="N343" s="285">
        <f t="shared" si="124"/>
        <v>4400</v>
      </c>
      <c r="O343" s="285">
        <f>'Sec-8'!L104</f>
        <v>0</v>
      </c>
      <c r="P343" s="285">
        <f t="shared" si="125"/>
        <v>4400</v>
      </c>
      <c r="Q343" s="285">
        <f t="shared" si="126"/>
        <v>0</v>
      </c>
      <c r="R343" s="285">
        <f t="shared" si="117"/>
        <v>0</v>
      </c>
      <c r="S343" s="285">
        <f t="shared" si="118"/>
        <v>39.6</v>
      </c>
      <c r="T343" s="285">
        <f t="shared" si="127"/>
        <v>0.52800000000000002</v>
      </c>
      <c r="U343" s="285">
        <f t="shared" si="119"/>
        <v>0</v>
      </c>
      <c r="V343" s="285">
        <f t="shared" si="128"/>
        <v>0.52800000000000002</v>
      </c>
    </row>
    <row r="344" spans="1:22">
      <c r="A344" s="285">
        <v>10</v>
      </c>
      <c r="B344" s="288" t="s">
        <v>73</v>
      </c>
      <c r="C344" s="273" t="s">
        <v>196</v>
      </c>
      <c r="D344" s="274">
        <v>10.5</v>
      </c>
      <c r="E344" s="274"/>
      <c r="F344" s="274">
        <v>47410</v>
      </c>
      <c r="G344" s="285">
        <v>3.25</v>
      </c>
      <c r="H344" s="285">
        <f t="shared" si="120"/>
        <v>154082.5</v>
      </c>
      <c r="I344" s="117"/>
      <c r="J344" s="285">
        <f t="shared" si="121"/>
        <v>154082.5</v>
      </c>
      <c r="K344" s="285">
        <f t="shared" si="122"/>
        <v>0</v>
      </c>
      <c r="L344" s="285">
        <f t="shared" si="123"/>
        <v>47410</v>
      </c>
      <c r="M344" s="117"/>
      <c r="N344" s="285">
        <f t="shared" si="124"/>
        <v>47410</v>
      </c>
      <c r="O344" s="285">
        <f>'Sec-8'!M104</f>
        <v>0</v>
      </c>
      <c r="P344" s="285">
        <f t="shared" si="125"/>
        <v>47410</v>
      </c>
      <c r="Q344" s="285">
        <f t="shared" si="126"/>
        <v>0</v>
      </c>
      <c r="R344" s="285">
        <f t="shared" si="117"/>
        <v>0</v>
      </c>
      <c r="S344" s="285">
        <f t="shared" si="118"/>
        <v>497.80500000000001</v>
      </c>
      <c r="T344" s="285">
        <f t="shared" si="127"/>
        <v>6.6374000000000004</v>
      </c>
      <c r="U344" s="285">
        <f t="shared" si="119"/>
        <v>0</v>
      </c>
      <c r="V344" s="285">
        <f t="shared" si="128"/>
        <v>6.6374000000000004</v>
      </c>
    </row>
    <row r="345" spans="1:22">
      <c r="A345" s="285">
        <v>11</v>
      </c>
      <c r="B345" s="288" t="s">
        <v>74</v>
      </c>
      <c r="C345" s="273" t="s">
        <v>196</v>
      </c>
      <c r="D345" s="274">
        <v>9</v>
      </c>
      <c r="E345" s="274"/>
      <c r="F345" s="274">
        <v>0</v>
      </c>
      <c r="G345" s="285">
        <v>2.5</v>
      </c>
      <c r="H345" s="285">
        <f t="shared" si="120"/>
        <v>0</v>
      </c>
      <c r="I345" s="117"/>
      <c r="J345" s="285">
        <f t="shared" si="121"/>
        <v>0</v>
      </c>
      <c r="K345" s="285">
        <f t="shared" si="122"/>
        <v>0</v>
      </c>
      <c r="L345" s="285">
        <f t="shared" si="123"/>
        <v>0</v>
      </c>
      <c r="M345" s="117"/>
      <c r="N345" s="285">
        <f t="shared" si="124"/>
        <v>0</v>
      </c>
      <c r="O345" s="285">
        <f>'Sec-8'!N104</f>
        <v>0</v>
      </c>
      <c r="P345" s="285">
        <f t="shared" si="125"/>
        <v>0</v>
      </c>
      <c r="Q345" s="285">
        <f t="shared" si="126"/>
        <v>0</v>
      </c>
      <c r="R345" s="285">
        <f t="shared" si="117"/>
        <v>0</v>
      </c>
      <c r="S345" s="285">
        <f t="shared" si="118"/>
        <v>0</v>
      </c>
      <c r="T345" s="285">
        <f t="shared" si="127"/>
        <v>0</v>
      </c>
      <c r="U345" s="285">
        <f t="shared" si="119"/>
        <v>0</v>
      </c>
      <c r="V345" s="285">
        <f t="shared" si="128"/>
        <v>0</v>
      </c>
    </row>
    <row r="346" spans="1:22">
      <c r="A346" s="285">
        <v>12</v>
      </c>
      <c r="B346" s="288" t="s">
        <v>192</v>
      </c>
      <c r="C346" s="273" t="s">
        <v>196</v>
      </c>
      <c r="D346" s="274">
        <v>10.5</v>
      </c>
      <c r="E346" s="274"/>
      <c r="F346" s="274">
        <v>0</v>
      </c>
      <c r="G346" s="285">
        <v>3.25</v>
      </c>
      <c r="H346" s="285">
        <f t="shared" si="120"/>
        <v>0</v>
      </c>
      <c r="I346" s="117"/>
      <c r="J346" s="285">
        <f t="shared" si="121"/>
        <v>0</v>
      </c>
      <c r="K346" s="285">
        <f t="shared" si="122"/>
        <v>0</v>
      </c>
      <c r="L346" s="285">
        <f t="shared" si="123"/>
        <v>0</v>
      </c>
      <c r="M346" s="117"/>
      <c r="N346" s="285">
        <f t="shared" si="124"/>
        <v>0</v>
      </c>
      <c r="O346" s="285">
        <f>'Sec-8'!O104</f>
        <v>0</v>
      </c>
      <c r="P346" s="285">
        <f t="shared" si="125"/>
        <v>0</v>
      </c>
      <c r="Q346" s="285">
        <f t="shared" si="126"/>
        <v>0</v>
      </c>
      <c r="R346" s="285">
        <f t="shared" si="117"/>
        <v>0</v>
      </c>
      <c r="S346" s="285">
        <f t="shared" si="118"/>
        <v>0</v>
      </c>
      <c r="T346" s="285">
        <f t="shared" si="127"/>
        <v>0</v>
      </c>
      <c r="U346" s="285">
        <f t="shared" si="119"/>
        <v>0</v>
      </c>
      <c r="V346" s="285">
        <f t="shared" si="128"/>
        <v>0</v>
      </c>
    </row>
    <row r="347" spans="1:22">
      <c r="A347" s="285">
        <v>13</v>
      </c>
      <c r="B347" s="288" t="s">
        <v>47</v>
      </c>
      <c r="C347" s="273" t="s">
        <v>196</v>
      </c>
      <c r="D347" s="274">
        <v>17</v>
      </c>
      <c r="E347" s="274"/>
      <c r="F347" s="274">
        <v>41100</v>
      </c>
      <c r="G347" s="285">
        <v>4.5</v>
      </c>
      <c r="H347" s="285">
        <f t="shared" si="120"/>
        <v>184950</v>
      </c>
      <c r="I347" s="117"/>
      <c r="J347" s="285">
        <f t="shared" si="121"/>
        <v>184950</v>
      </c>
      <c r="K347" s="285">
        <f t="shared" si="122"/>
        <v>0</v>
      </c>
      <c r="L347" s="285">
        <f t="shared" si="123"/>
        <v>41100</v>
      </c>
      <c r="M347" s="117"/>
      <c r="N347" s="285">
        <f t="shared" si="124"/>
        <v>41100</v>
      </c>
      <c r="O347" s="285">
        <f>'Sec-8'!P104</f>
        <v>0</v>
      </c>
      <c r="P347" s="285">
        <f t="shared" si="125"/>
        <v>41100</v>
      </c>
      <c r="Q347" s="285">
        <f t="shared" si="126"/>
        <v>0</v>
      </c>
      <c r="R347" s="285">
        <f t="shared" si="117"/>
        <v>0</v>
      </c>
      <c r="S347" s="285">
        <f t="shared" si="118"/>
        <v>698.7</v>
      </c>
      <c r="T347" s="285">
        <f t="shared" si="127"/>
        <v>9.3160000000000007</v>
      </c>
      <c r="U347" s="285">
        <f t="shared" si="119"/>
        <v>0</v>
      </c>
      <c r="V347" s="285">
        <f t="shared" si="128"/>
        <v>9.3160000000000007</v>
      </c>
    </row>
    <row r="348" spans="1:22">
      <c r="A348" s="285">
        <v>14</v>
      </c>
      <c r="B348" s="288" t="s">
        <v>226</v>
      </c>
      <c r="C348" s="273" t="s">
        <v>196</v>
      </c>
      <c r="D348" s="274">
        <v>17</v>
      </c>
      <c r="E348" s="274"/>
      <c r="F348" s="274">
        <v>1910</v>
      </c>
      <c r="G348" s="285">
        <v>4.5</v>
      </c>
      <c r="H348" s="285">
        <f t="shared" si="120"/>
        <v>8595</v>
      </c>
      <c r="I348" s="117"/>
      <c r="J348" s="285">
        <f t="shared" si="121"/>
        <v>8595</v>
      </c>
      <c r="K348" s="285">
        <f t="shared" si="122"/>
        <v>0</v>
      </c>
      <c r="L348" s="285">
        <f t="shared" si="123"/>
        <v>1910</v>
      </c>
      <c r="M348" s="117"/>
      <c r="N348" s="285">
        <f t="shared" si="124"/>
        <v>1910</v>
      </c>
      <c r="O348" s="285">
        <f>'Sec-8'!Q104</f>
        <v>0</v>
      </c>
      <c r="P348" s="285">
        <f t="shared" si="125"/>
        <v>1910</v>
      </c>
      <c r="Q348" s="285">
        <f t="shared" si="126"/>
        <v>0</v>
      </c>
      <c r="R348" s="285">
        <f t="shared" si="117"/>
        <v>0</v>
      </c>
      <c r="S348" s="285">
        <f t="shared" si="118"/>
        <v>32.47</v>
      </c>
      <c r="T348" s="285">
        <f t="shared" si="127"/>
        <v>0.43293333333333334</v>
      </c>
      <c r="U348" s="285">
        <f t="shared" si="119"/>
        <v>0</v>
      </c>
      <c r="V348" s="285">
        <f t="shared" si="128"/>
        <v>0.43293333333333334</v>
      </c>
    </row>
    <row r="349" spans="1:22">
      <c r="A349" s="285">
        <v>15</v>
      </c>
      <c r="B349" s="288" t="s">
        <v>180</v>
      </c>
      <c r="C349" s="273" t="s">
        <v>196</v>
      </c>
      <c r="D349" s="274">
        <v>17.5</v>
      </c>
      <c r="E349" s="274"/>
      <c r="F349" s="274">
        <v>34025</v>
      </c>
      <c r="G349" s="285">
        <v>4.75</v>
      </c>
      <c r="H349" s="285">
        <f t="shared" si="120"/>
        <v>161618.75</v>
      </c>
      <c r="I349" s="117"/>
      <c r="J349" s="285">
        <f t="shared" si="121"/>
        <v>161618.75</v>
      </c>
      <c r="K349" s="285">
        <f t="shared" si="122"/>
        <v>0</v>
      </c>
      <c r="L349" s="285">
        <f t="shared" si="123"/>
        <v>34025</v>
      </c>
      <c r="M349" s="117"/>
      <c r="N349" s="285">
        <f t="shared" si="124"/>
        <v>34025</v>
      </c>
      <c r="O349" s="285">
        <f>'Sec-8'!R104</f>
        <v>0</v>
      </c>
      <c r="P349" s="285">
        <f t="shared" si="125"/>
        <v>34025</v>
      </c>
      <c r="Q349" s="285">
        <f t="shared" si="126"/>
        <v>0</v>
      </c>
      <c r="R349" s="285">
        <f t="shared" si="117"/>
        <v>0</v>
      </c>
      <c r="S349" s="285">
        <f t="shared" si="118"/>
        <v>595.4375</v>
      </c>
      <c r="T349" s="285">
        <f t="shared" si="127"/>
        <v>7.9391666666666669</v>
      </c>
      <c r="U349" s="285">
        <f t="shared" si="119"/>
        <v>0</v>
      </c>
      <c r="V349" s="285">
        <f t="shared" si="128"/>
        <v>7.9391666666666669</v>
      </c>
    </row>
    <row r="350" spans="1:22">
      <c r="A350" s="285">
        <v>16</v>
      </c>
      <c r="B350" s="288" t="s">
        <v>181</v>
      </c>
      <c r="C350" s="273" t="s">
        <v>196</v>
      </c>
      <c r="D350" s="274">
        <v>14.5</v>
      </c>
      <c r="E350" s="274"/>
      <c r="F350" s="274">
        <v>12878</v>
      </c>
      <c r="G350" s="285">
        <v>4.25</v>
      </c>
      <c r="H350" s="285">
        <f t="shared" si="120"/>
        <v>54731.5</v>
      </c>
      <c r="I350" s="117"/>
      <c r="J350" s="285">
        <f t="shared" si="121"/>
        <v>54731.5</v>
      </c>
      <c r="K350" s="285">
        <f t="shared" si="122"/>
        <v>0</v>
      </c>
      <c r="L350" s="285">
        <f t="shared" si="123"/>
        <v>12878</v>
      </c>
      <c r="M350" s="117"/>
      <c r="N350" s="285">
        <f t="shared" si="124"/>
        <v>12878</v>
      </c>
      <c r="O350" s="285">
        <f>'Sec-8'!S104</f>
        <v>0</v>
      </c>
      <c r="P350" s="285">
        <f t="shared" si="125"/>
        <v>12878</v>
      </c>
      <c r="Q350" s="285">
        <f t="shared" si="126"/>
        <v>0</v>
      </c>
      <c r="R350" s="285">
        <f t="shared" si="117"/>
        <v>0</v>
      </c>
      <c r="S350" s="285">
        <f t="shared" si="118"/>
        <v>186.73099999999999</v>
      </c>
      <c r="T350" s="285">
        <f t="shared" si="127"/>
        <v>2.4897466666666666</v>
      </c>
      <c r="U350" s="285">
        <f t="shared" si="119"/>
        <v>0</v>
      </c>
      <c r="V350" s="285">
        <f t="shared" si="128"/>
        <v>2.4897466666666666</v>
      </c>
    </row>
    <row r="351" spans="1:22">
      <c r="A351" s="285">
        <v>17</v>
      </c>
      <c r="B351" s="288" t="s">
        <v>76</v>
      </c>
      <c r="C351" s="273" t="s">
        <v>196</v>
      </c>
      <c r="D351" s="274">
        <v>14</v>
      </c>
      <c r="E351" s="274"/>
      <c r="F351" s="274">
        <v>497</v>
      </c>
      <c r="G351" s="285">
        <v>4</v>
      </c>
      <c r="H351" s="285">
        <f t="shared" si="120"/>
        <v>1988</v>
      </c>
      <c r="I351" s="117"/>
      <c r="J351" s="285">
        <f t="shared" si="121"/>
        <v>1988</v>
      </c>
      <c r="K351" s="285">
        <f t="shared" si="122"/>
        <v>0</v>
      </c>
      <c r="L351" s="285">
        <f t="shared" si="123"/>
        <v>497</v>
      </c>
      <c r="M351" s="117"/>
      <c r="N351" s="285">
        <f t="shared" si="124"/>
        <v>497</v>
      </c>
      <c r="O351" s="285">
        <f>'Sec-8'!T104</f>
        <v>0</v>
      </c>
      <c r="P351" s="285">
        <f t="shared" si="125"/>
        <v>497</v>
      </c>
      <c r="Q351" s="285">
        <f t="shared" si="126"/>
        <v>0</v>
      </c>
      <c r="R351" s="285">
        <f t="shared" si="117"/>
        <v>0</v>
      </c>
      <c r="S351" s="285">
        <f t="shared" si="118"/>
        <v>6.9580000000000002</v>
      </c>
      <c r="T351" s="285">
        <f t="shared" si="127"/>
        <v>9.2773333333333333E-2</v>
      </c>
      <c r="U351" s="285">
        <f t="shared" si="119"/>
        <v>0</v>
      </c>
      <c r="V351" s="285">
        <f t="shared" si="128"/>
        <v>9.2773333333333333E-2</v>
      </c>
    </row>
    <row r="352" spans="1:22">
      <c r="A352" s="285">
        <v>18</v>
      </c>
      <c r="B352" s="288" t="s">
        <v>51</v>
      </c>
      <c r="C352" s="273" t="s">
        <v>196</v>
      </c>
      <c r="D352" s="274">
        <v>17</v>
      </c>
      <c r="E352" s="274"/>
      <c r="F352" s="274">
        <v>0</v>
      </c>
      <c r="G352" s="285">
        <v>4.5</v>
      </c>
      <c r="H352" s="285">
        <f t="shared" si="120"/>
        <v>0</v>
      </c>
      <c r="I352" s="117"/>
      <c r="J352" s="285">
        <f t="shared" si="121"/>
        <v>0</v>
      </c>
      <c r="K352" s="285">
        <f t="shared" si="122"/>
        <v>0</v>
      </c>
      <c r="L352" s="285">
        <f t="shared" si="123"/>
        <v>0</v>
      </c>
      <c r="M352" s="117"/>
      <c r="N352" s="285">
        <f t="shared" si="124"/>
        <v>0</v>
      </c>
      <c r="O352" s="285">
        <f>'Sec-8'!U104</f>
        <v>0</v>
      </c>
      <c r="P352" s="285">
        <f t="shared" si="125"/>
        <v>0</v>
      </c>
      <c r="Q352" s="285">
        <f t="shared" si="126"/>
        <v>0</v>
      </c>
      <c r="R352" s="285">
        <f t="shared" si="117"/>
        <v>0</v>
      </c>
      <c r="S352" s="285">
        <f t="shared" si="118"/>
        <v>0</v>
      </c>
      <c r="T352" s="285">
        <f t="shared" si="127"/>
        <v>0</v>
      </c>
      <c r="U352" s="285">
        <f t="shared" si="119"/>
        <v>0</v>
      </c>
      <c r="V352" s="285">
        <f t="shared" si="128"/>
        <v>0</v>
      </c>
    </row>
    <row r="353" spans="1:22">
      <c r="A353" s="285">
        <v>19</v>
      </c>
      <c r="B353" s="288" t="s">
        <v>112</v>
      </c>
      <c r="C353" s="273" t="s">
        <v>196</v>
      </c>
      <c r="D353" s="274">
        <v>15</v>
      </c>
      <c r="E353" s="274"/>
      <c r="F353" s="274">
        <v>0</v>
      </c>
      <c r="G353" s="285">
        <v>4.5</v>
      </c>
      <c r="H353" s="285">
        <f t="shared" si="120"/>
        <v>0</v>
      </c>
      <c r="I353" s="117"/>
      <c r="J353" s="285">
        <f t="shared" si="121"/>
        <v>0</v>
      </c>
      <c r="K353" s="285">
        <f t="shared" si="122"/>
        <v>0</v>
      </c>
      <c r="L353" s="285">
        <f t="shared" si="123"/>
        <v>0</v>
      </c>
      <c r="M353" s="117"/>
      <c r="N353" s="285">
        <f t="shared" si="124"/>
        <v>0</v>
      </c>
      <c r="O353" s="285">
        <f>'Sec-8'!V104</f>
        <v>0</v>
      </c>
      <c r="P353" s="285">
        <f t="shared" si="125"/>
        <v>0</v>
      </c>
      <c r="Q353" s="285">
        <f t="shared" si="126"/>
        <v>0</v>
      </c>
      <c r="R353" s="285">
        <f t="shared" si="117"/>
        <v>0</v>
      </c>
      <c r="S353" s="285">
        <f t="shared" si="118"/>
        <v>0</v>
      </c>
      <c r="T353" s="285">
        <f t="shared" si="127"/>
        <v>0</v>
      </c>
      <c r="U353" s="285">
        <f t="shared" si="119"/>
        <v>0</v>
      </c>
      <c r="V353" s="285">
        <f t="shared" si="128"/>
        <v>0</v>
      </c>
    </row>
    <row r="354" spans="1:22">
      <c r="A354" s="285">
        <v>20</v>
      </c>
      <c r="B354" s="288" t="s">
        <v>217</v>
      </c>
      <c r="C354" s="273" t="s">
        <v>196</v>
      </c>
      <c r="D354" s="274">
        <v>18.5</v>
      </c>
      <c r="E354" s="274"/>
      <c r="F354" s="274">
        <v>0</v>
      </c>
      <c r="G354" s="285">
        <v>5.25</v>
      </c>
      <c r="H354" s="285">
        <f t="shared" si="120"/>
        <v>0</v>
      </c>
      <c r="I354" s="117"/>
      <c r="J354" s="285">
        <f t="shared" si="121"/>
        <v>0</v>
      </c>
      <c r="K354" s="285">
        <f t="shared" si="122"/>
        <v>0</v>
      </c>
      <c r="L354" s="285">
        <f t="shared" si="123"/>
        <v>0</v>
      </c>
      <c r="M354" s="117"/>
      <c r="N354" s="285">
        <f t="shared" si="124"/>
        <v>0</v>
      </c>
      <c r="O354" s="285">
        <f>'Sec-8'!W104</f>
        <v>0</v>
      </c>
      <c r="P354" s="285">
        <f t="shared" si="125"/>
        <v>0</v>
      </c>
      <c r="Q354" s="285">
        <f t="shared" si="126"/>
        <v>0</v>
      </c>
      <c r="R354" s="285">
        <f t="shared" si="117"/>
        <v>0</v>
      </c>
      <c r="S354" s="285">
        <f t="shared" si="118"/>
        <v>0</v>
      </c>
      <c r="T354" s="285">
        <f t="shared" si="127"/>
        <v>0</v>
      </c>
      <c r="U354" s="285">
        <f t="shared" si="119"/>
        <v>0</v>
      </c>
      <c r="V354" s="285">
        <f t="shared" si="128"/>
        <v>0</v>
      </c>
    </row>
    <row r="355" spans="1:22">
      <c r="A355" s="285">
        <v>21</v>
      </c>
      <c r="B355" s="288" t="s">
        <v>149</v>
      </c>
      <c r="C355" s="273" t="s">
        <v>196</v>
      </c>
      <c r="D355" s="274">
        <v>19.5</v>
      </c>
      <c r="E355" s="274"/>
      <c r="F355" s="274">
        <v>0</v>
      </c>
      <c r="G355" s="285">
        <v>5.75</v>
      </c>
      <c r="H355" s="285">
        <f t="shared" si="120"/>
        <v>0</v>
      </c>
      <c r="I355" s="117"/>
      <c r="J355" s="285">
        <f t="shared" si="121"/>
        <v>0</v>
      </c>
      <c r="K355" s="285">
        <f t="shared" si="122"/>
        <v>0</v>
      </c>
      <c r="L355" s="285">
        <f t="shared" si="123"/>
        <v>0</v>
      </c>
      <c r="M355" s="117"/>
      <c r="N355" s="285">
        <f t="shared" si="124"/>
        <v>0</v>
      </c>
      <c r="O355" s="285">
        <f>'Sec-8'!X104</f>
        <v>0</v>
      </c>
      <c r="P355" s="285">
        <f t="shared" si="125"/>
        <v>0</v>
      </c>
      <c r="Q355" s="285">
        <f t="shared" si="126"/>
        <v>0</v>
      </c>
      <c r="R355" s="285">
        <f t="shared" si="117"/>
        <v>0</v>
      </c>
      <c r="S355" s="285">
        <f t="shared" si="118"/>
        <v>0</v>
      </c>
      <c r="T355" s="285">
        <f t="shared" si="127"/>
        <v>0</v>
      </c>
      <c r="U355" s="285">
        <f t="shared" si="119"/>
        <v>0</v>
      </c>
      <c r="V355" s="285">
        <f t="shared" si="128"/>
        <v>0</v>
      </c>
    </row>
    <row r="356" spans="1:22">
      <c r="A356" s="285">
        <v>22</v>
      </c>
      <c r="B356" s="288" t="s">
        <v>99</v>
      </c>
      <c r="C356" s="273" t="s">
        <v>196</v>
      </c>
      <c r="D356" s="274">
        <v>12.5</v>
      </c>
      <c r="E356" s="274"/>
      <c r="F356" s="274">
        <v>0</v>
      </c>
      <c r="G356" s="285">
        <v>3.25</v>
      </c>
      <c r="H356" s="285">
        <f t="shared" si="120"/>
        <v>0</v>
      </c>
      <c r="I356" s="117"/>
      <c r="J356" s="285">
        <f t="shared" si="121"/>
        <v>0</v>
      </c>
      <c r="K356" s="285">
        <f t="shared" si="122"/>
        <v>0</v>
      </c>
      <c r="L356" s="285">
        <f t="shared" si="123"/>
        <v>0</v>
      </c>
      <c r="M356" s="117"/>
      <c r="N356" s="285">
        <f t="shared" si="124"/>
        <v>0</v>
      </c>
      <c r="O356" s="285">
        <f>'Sec-8'!Y104</f>
        <v>0</v>
      </c>
      <c r="P356" s="285">
        <f t="shared" si="125"/>
        <v>0</v>
      </c>
      <c r="Q356" s="285">
        <f t="shared" si="126"/>
        <v>0</v>
      </c>
      <c r="R356" s="285">
        <f t="shared" si="117"/>
        <v>0</v>
      </c>
      <c r="S356" s="285">
        <f t="shared" si="118"/>
        <v>0</v>
      </c>
      <c r="T356" s="285">
        <f t="shared" si="127"/>
        <v>0</v>
      </c>
      <c r="U356" s="285">
        <f t="shared" si="119"/>
        <v>0</v>
      </c>
      <c r="V356" s="285">
        <f t="shared" si="128"/>
        <v>0</v>
      </c>
    </row>
    <row r="357" spans="1:22">
      <c r="A357" s="507" t="s">
        <v>67</v>
      </c>
      <c r="B357" s="508"/>
      <c r="C357" s="508"/>
      <c r="D357" s="509"/>
      <c r="E357" s="282"/>
      <c r="F357" s="282">
        <f t="shared" ref="F357:V357" si="129">SUM(F335:F356)</f>
        <v>521500</v>
      </c>
      <c r="G357" s="282">
        <f t="shared" si="129"/>
        <v>98.5</v>
      </c>
      <c r="H357" s="282">
        <f t="shared" si="129"/>
        <v>2556333.25</v>
      </c>
      <c r="I357" s="282">
        <f t="shared" si="129"/>
        <v>0</v>
      </c>
      <c r="J357" s="282">
        <f t="shared" si="129"/>
        <v>2556333.25</v>
      </c>
      <c r="K357" s="282">
        <f t="shared" si="129"/>
        <v>0</v>
      </c>
      <c r="L357" s="282">
        <f t="shared" si="129"/>
        <v>521500</v>
      </c>
      <c r="M357" s="282">
        <f t="shared" si="129"/>
        <v>0</v>
      </c>
      <c r="N357" s="282">
        <f t="shared" si="129"/>
        <v>521500</v>
      </c>
      <c r="O357" s="282">
        <f t="shared" si="129"/>
        <v>0</v>
      </c>
      <c r="P357" s="282">
        <f t="shared" si="129"/>
        <v>521500</v>
      </c>
      <c r="Q357" s="282">
        <f t="shared" si="129"/>
        <v>0</v>
      </c>
      <c r="R357" s="282">
        <f t="shared" si="129"/>
        <v>0</v>
      </c>
      <c r="S357" s="282">
        <f t="shared" si="129"/>
        <v>9429.9565000000002</v>
      </c>
      <c r="T357" s="282">
        <f t="shared" si="129"/>
        <v>125.73275333333335</v>
      </c>
      <c r="U357" s="282">
        <f t="shared" si="129"/>
        <v>0</v>
      </c>
      <c r="V357" s="282">
        <f t="shared" si="129"/>
        <v>125.73275333333335</v>
      </c>
    </row>
    <row r="359" spans="1:22">
      <c r="S359" s="85"/>
      <c r="T359" s="85"/>
      <c r="U359" s="85"/>
      <c r="V359" s="85"/>
    </row>
    <row r="360" spans="1:22" s="11" customFormat="1" ht="15.75">
      <c r="A360" s="61"/>
      <c r="B360" s="61"/>
      <c r="C360" s="61"/>
      <c r="D360" s="61"/>
      <c r="E360" s="61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462" t="s">
        <v>254</v>
      </c>
      <c r="T360" s="462"/>
      <c r="U360" s="462"/>
      <c r="V360" s="462"/>
    </row>
    <row r="366" spans="1:22" s="1" customFormat="1" ht="24" customHeight="1">
      <c r="A366" s="388" t="s">
        <v>342</v>
      </c>
      <c r="B366" s="388"/>
      <c r="C366" s="388"/>
      <c r="D366" s="388"/>
      <c r="E366" s="388"/>
      <c r="F366" s="388"/>
      <c r="G366" s="388"/>
      <c r="H366" s="388"/>
      <c r="I366" s="388"/>
      <c r="J366" s="388"/>
      <c r="K366" s="388"/>
      <c r="L366" s="388"/>
      <c r="M366" s="388"/>
      <c r="N366" s="388"/>
      <c r="O366" s="388"/>
      <c r="P366" s="388"/>
      <c r="Q366" s="388"/>
      <c r="R366" s="388"/>
      <c r="S366" s="388"/>
      <c r="T366" s="388"/>
      <c r="U366" s="388"/>
      <c r="V366" s="388"/>
    </row>
    <row r="367" spans="1:22" s="1" customFormat="1" ht="17.25" customHeight="1">
      <c r="A367" s="379" t="s">
        <v>343</v>
      </c>
      <c r="B367" s="379"/>
      <c r="C367" s="379"/>
      <c r="D367" s="379"/>
      <c r="E367" s="379"/>
      <c r="F367" s="379"/>
      <c r="G367" s="379"/>
      <c r="H367" s="379"/>
      <c r="I367" s="379"/>
      <c r="J367" s="379"/>
      <c r="K367" s="379"/>
      <c r="L367" s="379"/>
      <c r="M367" s="379"/>
      <c r="N367" s="379"/>
      <c r="O367" s="379"/>
      <c r="P367" s="379"/>
      <c r="Q367" s="379"/>
      <c r="R367" s="379"/>
      <c r="S367" s="379"/>
      <c r="T367" s="379"/>
      <c r="U367" s="379"/>
      <c r="V367" s="379"/>
    </row>
    <row r="368" spans="1:22" s="1" customFormat="1" ht="15.75" customHeight="1">
      <c r="A368" s="313" t="s">
        <v>274</v>
      </c>
      <c r="B368" s="313"/>
      <c r="C368" s="313"/>
      <c r="D368" s="313"/>
      <c r="E368" s="313"/>
      <c r="F368" s="313"/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  <c r="T368" s="313"/>
      <c r="U368" s="313"/>
      <c r="V368" s="313"/>
    </row>
    <row r="369" spans="1:22" ht="20.25">
      <c r="A369" s="379" t="s">
        <v>332</v>
      </c>
      <c r="B369" s="470"/>
      <c r="C369" s="470"/>
      <c r="D369" s="470"/>
      <c r="E369" s="470"/>
      <c r="F369" s="470"/>
      <c r="G369" s="470"/>
      <c r="H369" s="470"/>
      <c r="I369" s="470"/>
      <c r="J369" s="470"/>
      <c r="K369" s="470"/>
      <c r="L369" s="470"/>
      <c r="M369" s="470"/>
      <c r="N369" s="470"/>
      <c r="O369" s="470"/>
      <c r="P369" s="470"/>
      <c r="Q369" s="470"/>
      <c r="R369" s="470"/>
      <c r="S369" s="470"/>
      <c r="T369" s="470"/>
      <c r="U369" s="470"/>
      <c r="V369" s="470"/>
    </row>
    <row r="370" spans="1:22" ht="15" customHeight="1">
      <c r="A370" s="510" t="s">
        <v>15</v>
      </c>
      <c r="B370" s="510" t="s">
        <v>64</v>
      </c>
      <c r="C370" s="510" t="s">
        <v>65</v>
      </c>
      <c r="D370" s="512" t="s">
        <v>66</v>
      </c>
      <c r="E370" s="283"/>
      <c r="F370" s="277" t="s">
        <v>88</v>
      </c>
      <c r="G370" s="278" t="s">
        <v>157</v>
      </c>
      <c r="H370" s="505" t="s">
        <v>84</v>
      </c>
      <c r="I370" s="505" t="s">
        <v>138</v>
      </c>
      <c r="J370" s="505"/>
      <c r="K370" s="506" t="s">
        <v>139</v>
      </c>
      <c r="L370" s="506"/>
      <c r="M370" s="506" t="s">
        <v>86</v>
      </c>
      <c r="N370" s="506"/>
      <c r="O370" s="506" t="s">
        <v>25</v>
      </c>
      <c r="P370" s="506"/>
      <c r="Q370" s="506" t="s">
        <v>87</v>
      </c>
      <c r="R370" s="505" t="s">
        <v>146</v>
      </c>
      <c r="S370" s="506" t="s">
        <v>140</v>
      </c>
      <c r="T370" s="506"/>
      <c r="U370" s="506"/>
      <c r="V370" s="506"/>
    </row>
    <row r="371" spans="1:22">
      <c r="A371" s="511"/>
      <c r="B371" s="511"/>
      <c r="C371" s="511"/>
      <c r="D371" s="513"/>
      <c r="E371" s="279"/>
      <c r="F371" s="280" t="s">
        <v>341</v>
      </c>
      <c r="G371" s="278"/>
      <c r="H371" s="505"/>
      <c r="I371" s="278" t="s">
        <v>85</v>
      </c>
      <c r="J371" s="278" t="s">
        <v>70</v>
      </c>
      <c r="K371" s="281" t="s">
        <v>85</v>
      </c>
      <c r="L371" s="281" t="s">
        <v>70</v>
      </c>
      <c r="M371" s="278" t="s">
        <v>86</v>
      </c>
      <c r="N371" s="281" t="s">
        <v>70</v>
      </c>
      <c r="O371" s="281" t="s">
        <v>25</v>
      </c>
      <c r="P371" s="281" t="s">
        <v>70</v>
      </c>
      <c r="Q371" s="506"/>
      <c r="R371" s="505"/>
      <c r="S371" s="281" t="s">
        <v>155</v>
      </c>
      <c r="T371" s="281" t="s">
        <v>156</v>
      </c>
      <c r="U371" s="281" t="s">
        <v>141</v>
      </c>
      <c r="V371" s="281" t="s">
        <v>70</v>
      </c>
    </row>
    <row r="372" spans="1:22">
      <c r="A372" s="285">
        <v>1</v>
      </c>
      <c r="B372" s="288" t="s">
        <v>225</v>
      </c>
      <c r="C372" s="273" t="s">
        <v>196</v>
      </c>
      <c r="D372" s="274">
        <v>17</v>
      </c>
      <c r="E372" s="274"/>
      <c r="F372" s="274">
        <v>40140</v>
      </c>
      <c r="G372" s="285">
        <v>4.5</v>
      </c>
      <c r="H372" s="285">
        <f>G372*F372</f>
        <v>180630</v>
      </c>
      <c r="I372" s="117"/>
      <c r="J372" s="285">
        <f>H372-I372</f>
        <v>180630</v>
      </c>
      <c r="K372" s="285">
        <f>I372/G372</f>
        <v>0</v>
      </c>
      <c r="L372" s="285">
        <f>F372-K372</f>
        <v>40140</v>
      </c>
      <c r="M372" s="117"/>
      <c r="N372" s="285">
        <f>F372-M372</f>
        <v>40140</v>
      </c>
      <c r="O372" s="285">
        <f>'Sec-8'!D122</f>
        <v>0</v>
      </c>
      <c r="P372" s="285">
        <f>F372-O372</f>
        <v>40140</v>
      </c>
      <c r="Q372" s="285">
        <f>M372-O372</f>
        <v>0</v>
      </c>
      <c r="R372" s="285">
        <f t="shared" ref="R372:R393" si="130">D372*M372/1000</f>
        <v>0</v>
      </c>
      <c r="S372" s="285">
        <f t="shared" ref="S372:S393" si="131">D372*F372/1000</f>
        <v>682.38</v>
      </c>
      <c r="T372" s="285">
        <f>S372/75</f>
        <v>9.0983999999999998</v>
      </c>
      <c r="U372" s="285">
        <f t="shared" ref="U372:U393" si="132">D372*K372/1000/75</f>
        <v>0</v>
      </c>
      <c r="V372" s="285">
        <f>T372-U372</f>
        <v>9.0983999999999998</v>
      </c>
    </row>
    <row r="373" spans="1:22">
      <c r="A373" s="285">
        <v>2</v>
      </c>
      <c r="B373" s="288" t="s">
        <v>173</v>
      </c>
      <c r="C373" s="273" t="s">
        <v>196</v>
      </c>
      <c r="D373" s="274">
        <v>8</v>
      </c>
      <c r="E373" s="274"/>
      <c r="F373" s="274">
        <v>40140</v>
      </c>
      <c r="G373" s="285">
        <v>2</v>
      </c>
      <c r="H373" s="285">
        <f t="shared" ref="H373:H393" si="133">G373*F373</f>
        <v>80280</v>
      </c>
      <c r="I373" s="117"/>
      <c r="J373" s="285">
        <f t="shared" ref="J373:J393" si="134">H373-I373</f>
        <v>80280</v>
      </c>
      <c r="K373" s="285">
        <f t="shared" ref="K373:K393" si="135">I373/G373</f>
        <v>0</v>
      </c>
      <c r="L373" s="285">
        <f t="shared" ref="L373:L393" si="136">F373-K373</f>
        <v>40140</v>
      </c>
      <c r="M373" s="117"/>
      <c r="N373" s="285">
        <f t="shared" ref="N373:N393" si="137">F373-M373</f>
        <v>40140</v>
      </c>
      <c r="O373" s="285">
        <f>'Sec-8'!E122</f>
        <v>0</v>
      </c>
      <c r="P373" s="285">
        <f t="shared" ref="P373:P393" si="138">F373-O373</f>
        <v>40140</v>
      </c>
      <c r="Q373" s="285">
        <f t="shared" ref="Q373:Q393" si="139">M373-O373</f>
        <v>0</v>
      </c>
      <c r="R373" s="285">
        <f t="shared" si="130"/>
        <v>0</v>
      </c>
      <c r="S373" s="285">
        <f t="shared" si="131"/>
        <v>321.12</v>
      </c>
      <c r="T373" s="285">
        <f t="shared" ref="T373:T393" si="140">S373/75</f>
        <v>4.2816000000000001</v>
      </c>
      <c r="U373" s="285">
        <f t="shared" si="132"/>
        <v>0</v>
      </c>
      <c r="V373" s="285">
        <f t="shared" ref="V373:V393" si="141">T373-U373</f>
        <v>4.2816000000000001</v>
      </c>
    </row>
    <row r="374" spans="1:22">
      <c r="A374" s="285">
        <v>3</v>
      </c>
      <c r="B374" s="288" t="s">
        <v>56</v>
      </c>
      <c r="C374" s="273" t="s">
        <v>196</v>
      </c>
      <c r="D374" s="274">
        <v>17.5</v>
      </c>
      <c r="E374" s="274"/>
      <c r="F374" s="274">
        <v>40140</v>
      </c>
      <c r="G374" s="285">
        <v>4.75</v>
      </c>
      <c r="H374" s="285">
        <f t="shared" si="133"/>
        <v>190665</v>
      </c>
      <c r="I374" s="117"/>
      <c r="J374" s="285">
        <f t="shared" si="134"/>
        <v>190665</v>
      </c>
      <c r="K374" s="285">
        <f t="shared" si="135"/>
        <v>0</v>
      </c>
      <c r="L374" s="285">
        <f t="shared" si="136"/>
        <v>40140</v>
      </c>
      <c r="M374" s="117"/>
      <c r="N374" s="285">
        <f t="shared" si="137"/>
        <v>40140</v>
      </c>
      <c r="O374" s="285">
        <f>'Sec-8'!F122</f>
        <v>0</v>
      </c>
      <c r="P374" s="285">
        <f t="shared" si="138"/>
        <v>40140</v>
      </c>
      <c r="Q374" s="285">
        <f t="shared" si="139"/>
        <v>0</v>
      </c>
      <c r="R374" s="285">
        <f t="shared" si="130"/>
        <v>0</v>
      </c>
      <c r="S374" s="285">
        <f t="shared" si="131"/>
        <v>702.45</v>
      </c>
      <c r="T374" s="285">
        <f t="shared" si="140"/>
        <v>9.3660000000000014</v>
      </c>
      <c r="U374" s="285">
        <f t="shared" si="132"/>
        <v>0</v>
      </c>
      <c r="V374" s="285">
        <f t="shared" si="141"/>
        <v>9.3660000000000014</v>
      </c>
    </row>
    <row r="375" spans="1:22">
      <c r="A375" s="285">
        <v>4</v>
      </c>
      <c r="B375" s="288" t="s">
        <v>27</v>
      </c>
      <c r="C375" s="273" t="s">
        <v>196</v>
      </c>
      <c r="D375" s="274">
        <v>20</v>
      </c>
      <c r="E375" s="274"/>
      <c r="F375" s="274">
        <v>40140</v>
      </c>
      <c r="G375" s="285">
        <v>5</v>
      </c>
      <c r="H375" s="285">
        <f t="shared" si="133"/>
        <v>200700</v>
      </c>
      <c r="I375" s="117"/>
      <c r="J375" s="285">
        <f t="shared" si="134"/>
        <v>200700</v>
      </c>
      <c r="K375" s="285">
        <f t="shared" si="135"/>
        <v>0</v>
      </c>
      <c r="L375" s="285">
        <f t="shared" si="136"/>
        <v>40140</v>
      </c>
      <c r="M375" s="117"/>
      <c r="N375" s="285">
        <f t="shared" si="137"/>
        <v>40140</v>
      </c>
      <c r="O375" s="285">
        <f>'Sec-8'!G122</f>
        <v>0</v>
      </c>
      <c r="P375" s="285">
        <f t="shared" si="138"/>
        <v>40140</v>
      </c>
      <c r="Q375" s="285">
        <f t="shared" si="139"/>
        <v>0</v>
      </c>
      <c r="R375" s="285">
        <f t="shared" si="130"/>
        <v>0</v>
      </c>
      <c r="S375" s="285">
        <f t="shared" si="131"/>
        <v>802.8</v>
      </c>
      <c r="T375" s="285">
        <f t="shared" si="140"/>
        <v>10.703999999999999</v>
      </c>
      <c r="U375" s="285">
        <f t="shared" si="132"/>
        <v>0</v>
      </c>
      <c r="V375" s="285">
        <f t="shared" si="141"/>
        <v>10.703999999999999</v>
      </c>
    </row>
    <row r="376" spans="1:22">
      <c r="A376" s="285">
        <v>5</v>
      </c>
      <c r="B376" s="288" t="s">
        <v>175</v>
      </c>
      <c r="C376" s="273" t="s">
        <v>196</v>
      </c>
      <c r="D376" s="274">
        <v>31</v>
      </c>
      <c r="E376" s="274"/>
      <c r="F376" s="274">
        <v>40140</v>
      </c>
      <c r="G376" s="285">
        <v>8.5</v>
      </c>
      <c r="H376" s="285">
        <f t="shared" si="133"/>
        <v>341190</v>
      </c>
      <c r="I376" s="117"/>
      <c r="J376" s="285">
        <f t="shared" si="134"/>
        <v>341190</v>
      </c>
      <c r="K376" s="285">
        <f t="shared" si="135"/>
        <v>0</v>
      </c>
      <c r="L376" s="285">
        <f t="shared" si="136"/>
        <v>40140</v>
      </c>
      <c r="M376" s="117"/>
      <c r="N376" s="285">
        <f t="shared" si="137"/>
        <v>40140</v>
      </c>
      <c r="O376" s="285">
        <f>'Sec-8'!H122</f>
        <v>0</v>
      </c>
      <c r="P376" s="285">
        <f t="shared" si="138"/>
        <v>40140</v>
      </c>
      <c r="Q376" s="285">
        <f t="shared" si="139"/>
        <v>0</v>
      </c>
      <c r="R376" s="285">
        <f t="shared" si="130"/>
        <v>0</v>
      </c>
      <c r="S376" s="285">
        <f t="shared" si="131"/>
        <v>1244.3399999999999</v>
      </c>
      <c r="T376" s="285">
        <f t="shared" si="140"/>
        <v>16.591200000000001</v>
      </c>
      <c r="U376" s="285">
        <f t="shared" si="132"/>
        <v>0</v>
      </c>
      <c r="V376" s="285">
        <f t="shared" si="141"/>
        <v>16.591200000000001</v>
      </c>
    </row>
    <row r="377" spans="1:22">
      <c r="A377" s="285">
        <v>6</v>
      </c>
      <c r="B377" s="288" t="s">
        <v>31</v>
      </c>
      <c r="C377" s="273" t="s">
        <v>196</v>
      </c>
      <c r="D377" s="274">
        <v>23.5</v>
      </c>
      <c r="E377" s="274"/>
      <c r="F377" s="274">
        <v>40140</v>
      </c>
      <c r="G377" s="285">
        <v>6.75</v>
      </c>
      <c r="H377" s="285">
        <f t="shared" si="133"/>
        <v>270945</v>
      </c>
      <c r="I377" s="117"/>
      <c r="J377" s="285">
        <f t="shared" si="134"/>
        <v>270945</v>
      </c>
      <c r="K377" s="285">
        <f t="shared" si="135"/>
        <v>0</v>
      </c>
      <c r="L377" s="285">
        <f t="shared" si="136"/>
        <v>40140</v>
      </c>
      <c r="M377" s="117"/>
      <c r="N377" s="285">
        <f t="shared" si="137"/>
        <v>40140</v>
      </c>
      <c r="O377" s="285">
        <f>'Sec-8'!I122</f>
        <v>0</v>
      </c>
      <c r="P377" s="285">
        <f t="shared" si="138"/>
        <v>40140</v>
      </c>
      <c r="Q377" s="285">
        <f t="shared" si="139"/>
        <v>0</v>
      </c>
      <c r="R377" s="285">
        <f t="shared" si="130"/>
        <v>0</v>
      </c>
      <c r="S377" s="285">
        <f t="shared" si="131"/>
        <v>943.29</v>
      </c>
      <c r="T377" s="285">
        <f t="shared" si="140"/>
        <v>12.577199999999999</v>
      </c>
      <c r="U377" s="285">
        <f t="shared" si="132"/>
        <v>0</v>
      </c>
      <c r="V377" s="285">
        <f t="shared" si="141"/>
        <v>12.577199999999999</v>
      </c>
    </row>
    <row r="378" spans="1:22">
      <c r="A378" s="285">
        <v>7</v>
      </c>
      <c r="B378" s="288" t="s">
        <v>72</v>
      </c>
      <c r="C378" s="273" t="s">
        <v>196</v>
      </c>
      <c r="D378" s="274">
        <v>18.5</v>
      </c>
      <c r="E378" s="274"/>
      <c r="F378" s="274">
        <v>40140</v>
      </c>
      <c r="G378" s="285">
        <v>5.25</v>
      </c>
      <c r="H378" s="285">
        <f t="shared" si="133"/>
        <v>210735</v>
      </c>
      <c r="I378" s="117"/>
      <c r="J378" s="285">
        <f t="shared" si="134"/>
        <v>210735</v>
      </c>
      <c r="K378" s="285">
        <f t="shared" si="135"/>
        <v>0</v>
      </c>
      <c r="L378" s="285">
        <f t="shared" si="136"/>
        <v>40140</v>
      </c>
      <c r="M378" s="117"/>
      <c r="N378" s="285">
        <f t="shared" si="137"/>
        <v>40140</v>
      </c>
      <c r="O378" s="285">
        <f>'Sec-8'!J122</f>
        <v>0</v>
      </c>
      <c r="P378" s="285">
        <f t="shared" si="138"/>
        <v>40140</v>
      </c>
      <c r="Q378" s="285">
        <f t="shared" si="139"/>
        <v>0</v>
      </c>
      <c r="R378" s="285">
        <f t="shared" si="130"/>
        <v>0</v>
      </c>
      <c r="S378" s="285">
        <f t="shared" si="131"/>
        <v>742.59</v>
      </c>
      <c r="T378" s="285">
        <f t="shared" si="140"/>
        <v>9.9012000000000011</v>
      </c>
      <c r="U378" s="285">
        <f t="shared" si="132"/>
        <v>0</v>
      </c>
      <c r="V378" s="285">
        <f t="shared" si="141"/>
        <v>9.9012000000000011</v>
      </c>
    </row>
    <row r="379" spans="1:22">
      <c r="A379" s="285">
        <v>8</v>
      </c>
      <c r="B379" s="288" t="s">
        <v>32</v>
      </c>
      <c r="C379" s="273" t="s">
        <v>196</v>
      </c>
      <c r="D379" s="274">
        <v>20</v>
      </c>
      <c r="E379" s="274"/>
      <c r="F379" s="274">
        <v>40140</v>
      </c>
      <c r="G379" s="285">
        <v>5</v>
      </c>
      <c r="H379" s="285">
        <f t="shared" si="133"/>
        <v>200700</v>
      </c>
      <c r="I379" s="117"/>
      <c r="J379" s="285">
        <f t="shared" si="134"/>
        <v>200700</v>
      </c>
      <c r="K379" s="285">
        <f t="shared" si="135"/>
        <v>0</v>
      </c>
      <c r="L379" s="285">
        <f t="shared" si="136"/>
        <v>40140</v>
      </c>
      <c r="M379" s="117"/>
      <c r="N379" s="285">
        <f t="shared" si="137"/>
        <v>40140</v>
      </c>
      <c r="O379" s="285">
        <f>'Sec-8'!K122</f>
        <v>0</v>
      </c>
      <c r="P379" s="285">
        <f t="shared" si="138"/>
        <v>40140</v>
      </c>
      <c r="Q379" s="285">
        <f t="shared" si="139"/>
        <v>0</v>
      </c>
      <c r="R379" s="285">
        <f t="shared" si="130"/>
        <v>0</v>
      </c>
      <c r="S379" s="285">
        <f t="shared" si="131"/>
        <v>802.8</v>
      </c>
      <c r="T379" s="285">
        <f t="shared" si="140"/>
        <v>10.703999999999999</v>
      </c>
      <c r="U379" s="285">
        <f t="shared" si="132"/>
        <v>0</v>
      </c>
      <c r="V379" s="285">
        <f t="shared" si="141"/>
        <v>10.703999999999999</v>
      </c>
    </row>
    <row r="380" spans="1:22">
      <c r="A380" s="285">
        <v>9</v>
      </c>
      <c r="B380" s="288" t="s">
        <v>43</v>
      </c>
      <c r="C380" s="273" t="s">
        <v>196</v>
      </c>
      <c r="D380" s="274">
        <v>9</v>
      </c>
      <c r="E380" s="274"/>
      <c r="F380" s="274">
        <v>1305</v>
      </c>
      <c r="G380" s="285">
        <v>2.5</v>
      </c>
      <c r="H380" s="285">
        <f t="shared" si="133"/>
        <v>3262.5</v>
      </c>
      <c r="I380" s="117"/>
      <c r="J380" s="285">
        <f t="shared" si="134"/>
        <v>3262.5</v>
      </c>
      <c r="K380" s="285">
        <f t="shared" si="135"/>
        <v>0</v>
      </c>
      <c r="L380" s="285">
        <f t="shared" si="136"/>
        <v>1305</v>
      </c>
      <c r="M380" s="117"/>
      <c r="N380" s="285">
        <f t="shared" si="137"/>
        <v>1305</v>
      </c>
      <c r="O380" s="285">
        <f>'Sec-8'!L122</f>
        <v>0</v>
      </c>
      <c r="P380" s="285">
        <f t="shared" si="138"/>
        <v>1305</v>
      </c>
      <c r="Q380" s="285">
        <f t="shared" si="139"/>
        <v>0</v>
      </c>
      <c r="R380" s="285">
        <f t="shared" si="130"/>
        <v>0</v>
      </c>
      <c r="S380" s="285">
        <f t="shared" si="131"/>
        <v>11.744999999999999</v>
      </c>
      <c r="T380" s="285">
        <f t="shared" si="140"/>
        <v>0.15659999999999999</v>
      </c>
      <c r="U380" s="285">
        <f t="shared" si="132"/>
        <v>0</v>
      </c>
      <c r="V380" s="285">
        <f t="shared" si="141"/>
        <v>0.15659999999999999</v>
      </c>
    </row>
    <row r="381" spans="1:22">
      <c r="A381" s="285">
        <v>10</v>
      </c>
      <c r="B381" s="288" t="s">
        <v>73</v>
      </c>
      <c r="C381" s="273" t="s">
        <v>196</v>
      </c>
      <c r="D381" s="274">
        <v>10.5</v>
      </c>
      <c r="E381" s="274"/>
      <c r="F381" s="274">
        <v>40140</v>
      </c>
      <c r="G381" s="285">
        <v>3.25</v>
      </c>
      <c r="H381" s="285">
        <f t="shared" si="133"/>
        <v>130455</v>
      </c>
      <c r="I381" s="117"/>
      <c r="J381" s="285">
        <f t="shared" si="134"/>
        <v>130455</v>
      </c>
      <c r="K381" s="285">
        <f t="shared" si="135"/>
        <v>0</v>
      </c>
      <c r="L381" s="285">
        <f t="shared" si="136"/>
        <v>40140</v>
      </c>
      <c r="M381" s="117"/>
      <c r="N381" s="285">
        <f t="shared" si="137"/>
        <v>40140</v>
      </c>
      <c r="O381" s="285">
        <f>'Sec-8'!M122</f>
        <v>0</v>
      </c>
      <c r="P381" s="285">
        <f t="shared" si="138"/>
        <v>40140</v>
      </c>
      <c r="Q381" s="285">
        <f t="shared" si="139"/>
        <v>0</v>
      </c>
      <c r="R381" s="285">
        <f t="shared" si="130"/>
        <v>0</v>
      </c>
      <c r="S381" s="285">
        <f t="shared" si="131"/>
        <v>421.47</v>
      </c>
      <c r="T381" s="285">
        <f t="shared" si="140"/>
        <v>5.6196000000000002</v>
      </c>
      <c r="U381" s="285">
        <f t="shared" si="132"/>
        <v>0</v>
      </c>
      <c r="V381" s="285">
        <f t="shared" si="141"/>
        <v>5.6196000000000002</v>
      </c>
    </row>
    <row r="382" spans="1:22">
      <c r="A382" s="285">
        <v>11</v>
      </c>
      <c r="B382" s="288" t="s">
        <v>74</v>
      </c>
      <c r="C382" s="273" t="s">
        <v>196</v>
      </c>
      <c r="D382" s="274">
        <v>9</v>
      </c>
      <c r="E382" s="274"/>
      <c r="F382" s="274">
        <v>670</v>
      </c>
      <c r="G382" s="285">
        <v>2.5</v>
      </c>
      <c r="H382" s="285">
        <f t="shared" si="133"/>
        <v>1675</v>
      </c>
      <c r="I382" s="117"/>
      <c r="J382" s="285">
        <f t="shared" si="134"/>
        <v>1675</v>
      </c>
      <c r="K382" s="285">
        <f t="shared" si="135"/>
        <v>0</v>
      </c>
      <c r="L382" s="285">
        <f t="shared" si="136"/>
        <v>670</v>
      </c>
      <c r="M382" s="117"/>
      <c r="N382" s="285">
        <f t="shared" si="137"/>
        <v>670</v>
      </c>
      <c r="O382" s="285">
        <f>'Sec-8'!N122</f>
        <v>0</v>
      </c>
      <c r="P382" s="285">
        <f t="shared" si="138"/>
        <v>670</v>
      </c>
      <c r="Q382" s="285">
        <f t="shared" si="139"/>
        <v>0</v>
      </c>
      <c r="R382" s="285">
        <f t="shared" si="130"/>
        <v>0</v>
      </c>
      <c r="S382" s="285">
        <f t="shared" si="131"/>
        <v>6.03</v>
      </c>
      <c r="T382" s="285">
        <f t="shared" si="140"/>
        <v>8.0399999999999999E-2</v>
      </c>
      <c r="U382" s="285">
        <f t="shared" si="132"/>
        <v>0</v>
      </c>
      <c r="V382" s="285">
        <f t="shared" si="141"/>
        <v>8.0399999999999999E-2</v>
      </c>
    </row>
    <row r="383" spans="1:22">
      <c r="A383" s="285">
        <v>12</v>
      </c>
      <c r="B383" s="288" t="s">
        <v>192</v>
      </c>
      <c r="C383" s="273" t="s">
        <v>196</v>
      </c>
      <c r="D383" s="274">
        <v>10.5</v>
      </c>
      <c r="E383" s="274"/>
      <c r="F383" s="274">
        <v>600</v>
      </c>
      <c r="G383" s="285">
        <v>3.25</v>
      </c>
      <c r="H383" s="285">
        <f t="shared" si="133"/>
        <v>1950</v>
      </c>
      <c r="I383" s="117"/>
      <c r="J383" s="285">
        <f t="shared" si="134"/>
        <v>1950</v>
      </c>
      <c r="K383" s="285">
        <f t="shared" si="135"/>
        <v>0</v>
      </c>
      <c r="L383" s="285">
        <f t="shared" si="136"/>
        <v>600</v>
      </c>
      <c r="M383" s="117"/>
      <c r="N383" s="285">
        <f t="shared" si="137"/>
        <v>600</v>
      </c>
      <c r="O383" s="285">
        <f>'Sec-8'!O122</f>
        <v>0</v>
      </c>
      <c r="P383" s="285">
        <f t="shared" si="138"/>
        <v>600</v>
      </c>
      <c r="Q383" s="285">
        <f t="shared" si="139"/>
        <v>0</v>
      </c>
      <c r="R383" s="285">
        <f t="shared" si="130"/>
        <v>0</v>
      </c>
      <c r="S383" s="285">
        <f t="shared" si="131"/>
        <v>6.3</v>
      </c>
      <c r="T383" s="285">
        <f t="shared" si="140"/>
        <v>8.3999999999999991E-2</v>
      </c>
      <c r="U383" s="285">
        <f t="shared" si="132"/>
        <v>0</v>
      </c>
      <c r="V383" s="285">
        <f t="shared" si="141"/>
        <v>8.3999999999999991E-2</v>
      </c>
    </row>
    <row r="384" spans="1:22">
      <c r="A384" s="285">
        <v>13</v>
      </c>
      <c r="B384" s="288" t="s">
        <v>47</v>
      </c>
      <c r="C384" s="273" t="s">
        <v>196</v>
      </c>
      <c r="D384" s="274">
        <v>17</v>
      </c>
      <c r="E384" s="274"/>
      <c r="F384" s="274">
        <v>34610</v>
      </c>
      <c r="G384" s="285">
        <v>4.5</v>
      </c>
      <c r="H384" s="285">
        <f t="shared" si="133"/>
        <v>155745</v>
      </c>
      <c r="I384" s="117"/>
      <c r="J384" s="285">
        <f t="shared" si="134"/>
        <v>155745</v>
      </c>
      <c r="K384" s="285">
        <f t="shared" si="135"/>
        <v>0</v>
      </c>
      <c r="L384" s="285">
        <f t="shared" si="136"/>
        <v>34610</v>
      </c>
      <c r="M384" s="117"/>
      <c r="N384" s="285">
        <f t="shared" si="137"/>
        <v>34610</v>
      </c>
      <c r="O384" s="285">
        <f>'Sec-8'!P122</f>
        <v>0</v>
      </c>
      <c r="P384" s="285">
        <f t="shared" si="138"/>
        <v>34610</v>
      </c>
      <c r="Q384" s="285">
        <f t="shared" si="139"/>
        <v>0</v>
      </c>
      <c r="R384" s="285">
        <f t="shared" si="130"/>
        <v>0</v>
      </c>
      <c r="S384" s="285">
        <f t="shared" si="131"/>
        <v>588.37</v>
      </c>
      <c r="T384" s="285">
        <f t="shared" si="140"/>
        <v>7.8449333333333335</v>
      </c>
      <c r="U384" s="285">
        <f t="shared" si="132"/>
        <v>0</v>
      </c>
      <c r="V384" s="285">
        <f t="shared" si="141"/>
        <v>7.8449333333333335</v>
      </c>
    </row>
    <row r="385" spans="1:22">
      <c r="A385" s="285">
        <v>14</v>
      </c>
      <c r="B385" s="288" t="s">
        <v>226</v>
      </c>
      <c r="C385" s="273" t="s">
        <v>196</v>
      </c>
      <c r="D385" s="274">
        <v>17</v>
      </c>
      <c r="E385" s="274"/>
      <c r="F385" s="274">
        <v>2995</v>
      </c>
      <c r="G385" s="285">
        <v>4.5</v>
      </c>
      <c r="H385" s="285">
        <f t="shared" si="133"/>
        <v>13477.5</v>
      </c>
      <c r="I385" s="117"/>
      <c r="J385" s="285">
        <f t="shared" si="134"/>
        <v>13477.5</v>
      </c>
      <c r="K385" s="285">
        <f t="shared" si="135"/>
        <v>0</v>
      </c>
      <c r="L385" s="285">
        <f t="shared" si="136"/>
        <v>2995</v>
      </c>
      <c r="M385" s="117"/>
      <c r="N385" s="285">
        <f t="shared" si="137"/>
        <v>2995</v>
      </c>
      <c r="O385" s="285">
        <f>'Sec-8'!Q122</f>
        <v>0</v>
      </c>
      <c r="P385" s="285">
        <f t="shared" si="138"/>
        <v>2995</v>
      </c>
      <c r="Q385" s="285">
        <f t="shared" si="139"/>
        <v>0</v>
      </c>
      <c r="R385" s="285">
        <f t="shared" si="130"/>
        <v>0</v>
      </c>
      <c r="S385" s="285">
        <f t="shared" si="131"/>
        <v>50.914999999999999</v>
      </c>
      <c r="T385" s="285">
        <f t="shared" si="140"/>
        <v>0.67886666666666662</v>
      </c>
      <c r="U385" s="285">
        <f t="shared" si="132"/>
        <v>0</v>
      </c>
      <c r="V385" s="285">
        <f t="shared" si="141"/>
        <v>0.67886666666666662</v>
      </c>
    </row>
    <row r="386" spans="1:22">
      <c r="A386" s="285">
        <v>15</v>
      </c>
      <c r="B386" s="288" t="s">
        <v>180</v>
      </c>
      <c r="C386" s="273" t="s">
        <v>196</v>
      </c>
      <c r="D386" s="274">
        <v>17.5</v>
      </c>
      <c r="E386" s="274"/>
      <c r="F386" s="274">
        <v>37985</v>
      </c>
      <c r="G386" s="285">
        <v>4.75</v>
      </c>
      <c r="H386" s="285">
        <f t="shared" si="133"/>
        <v>180428.75</v>
      </c>
      <c r="I386" s="117"/>
      <c r="J386" s="285">
        <f t="shared" si="134"/>
        <v>180428.75</v>
      </c>
      <c r="K386" s="285">
        <f t="shared" si="135"/>
        <v>0</v>
      </c>
      <c r="L386" s="285">
        <f t="shared" si="136"/>
        <v>37985</v>
      </c>
      <c r="M386" s="117"/>
      <c r="N386" s="285">
        <f t="shared" si="137"/>
        <v>37985</v>
      </c>
      <c r="O386" s="285">
        <f>'Sec-8'!R122</f>
        <v>0</v>
      </c>
      <c r="P386" s="285">
        <f t="shared" si="138"/>
        <v>37985</v>
      </c>
      <c r="Q386" s="285">
        <f t="shared" si="139"/>
        <v>0</v>
      </c>
      <c r="R386" s="285">
        <f t="shared" si="130"/>
        <v>0</v>
      </c>
      <c r="S386" s="285">
        <f t="shared" si="131"/>
        <v>664.73749999999995</v>
      </c>
      <c r="T386" s="285">
        <f t="shared" si="140"/>
        <v>8.8631666666666664</v>
      </c>
      <c r="U386" s="285">
        <f t="shared" si="132"/>
        <v>0</v>
      </c>
      <c r="V386" s="285">
        <f t="shared" si="141"/>
        <v>8.8631666666666664</v>
      </c>
    </row>
    <row r="387" spans="1:22">
      <c r="A387" s="285">
        <v>16</v>
      </c>
      <c r="B387" s="288" t="s">
        <v>181</v>
      </c>
      <c r="C387" s="273" t="s">
        <v>196</v>
      </c>
      <c r="D387" s="274">
        <v>14.5</v>
      </c>
      <c r="E387" s="274"/>
      <c r="F387" s="274">
        <v>2138</v>
      </c>
      <c r="G387" s="285">
        <v>4.25</v>
      </c>
      <c r="H387" s="285">
        <f t="shared" si="133"/>
        <v>9086.5</v>
      </c>
      <c r="I387" s="117"/>
      <c r="J387" s="285">
        <f t="shared" si="134"/>
        <v>9086.5</v>
      </c>
      <c r="K387" s="285">
        <f t="shared" si="135"/>
        <v>0</v>
      </c>
      <c r="L387" s="285">
        <f t="shared" si="136"/>
        <v>2138</v>
      </c>
      <c r="M387" s="117"/>
      <c r="N387" s="285">
        <f t="shared" si="137"/>
        <v>2138</v>
      </c>
      <c r="O387" s="285">
        <f>'Sec-8'!S122</f>
        <v>0</v>
      </c>
      <c r="P387" s="285">
        <f t="shared" si="138"/>
        <v>2138</v>
      </c>
      <c r="Q387" s="285">
        <f t="shared" si="139"/>
        <v>0</v>
      </c>
      <c r="R387" s="285">
        <f t="shared" si="130"/>
        <v>0</v>
      </c>
      <c r="S387" s="285">
        <f t="shared" si="131"/>
        <v>31.001000000000001</v>
      </c>
      <c r="T387" s="285">
        <f t="shared" si="140"/>
        <v>0.4133466666666667</v>
      </c>
      <c r="U387" s="285">
        <f t="shared" si="132"/>
        <v>0</v>
      </c>
      <c r="V387" s="285">
        <f t="shared" si="141"/>
        <v>0.4133466666666667</v>
      </c>
    </row>
    <row r="388" spans="1:22">
      <c r="A388" s="285">
        <v>17</v>
      </c>
      <c r="B388" s="288" t="s">
        <v>76</v>
      </c>
      <c r="C388" s="273" t="s">
        <v>196</v>
      </c>
      <c r="D388" s="274">
        <v>14</v>
      </c>
      <c r="E388" s="274"/>
      <c r="F388" s="274">
        <v>19</v>
      </c>
      <c r="G388" s="285">
        <v>4</v>
      </c>
      <c r="H388" s="285">
        <f t="shared" si="133"/>
        <v>76</v>
      </c>
      <c r="I388" s="117"/>
      <c r="J388" s="285">
        <f t="shared" si="134"/>
        <v>76</v>
      </c>
      <c r="K388" s="285">
        <f t="shared" si="135"/>
        <v>0</v>
      </c>
      <c r="L388" s="285">
        <f t="shared" si="136"/>
        <v>19</v>
      </c>
      <c r="M388" s="117"/>
      <c r="N388" s="285">
        <f t="shared" si="137"/>
        <v>19</v>
      </c>
      <c r="O388" s="285">
        <f>'Sec-8'!T122</f>
        <v>0</v>
      </c>
      <c r="P388" s="285">
        <f t="shared" si="138"/>
        <v>19</v>
      </c>
      <c r="Q388" s="285">
        <f t="shared" si="139"/>
        <v>0</v>
      </c>
      <c r="R388" s="285">
        <f t="shared" si="130"/>
        <v>0</v>
      </c>
      <c r="S388" s="285">
        <f t="shared" si="131"/>
        <v>0.26600000000000001</v>
      </c>
      <c r="T388" s="285">
        <f t="shared" si="140"/>
        <v>3.5466666666666667E-3</v>
      </c>
      <c r="U388" s="285">
        <f t="shared" si="132"/>
        <v>0</v>
      </c>
      <c r="V388" s="285">
        <f t="shared" si="141"/>
        <v>3.5466666666666667E-3</v>
      </c>
    </row>
    <row r="389" spans="1:22">
      <c r="A389" s="285">
        <v>18</v>
      </c>
      <c r="B389" s="288" t="s">
        <v>51</v>
      </c>
      <c r="C389" s="273" t="s">
        <v>196</v>
      </c>
      <c r="D389" s="274">
        <v>17</v>
      </c>
      <c r="E389" s="274"/>
      <c r="F389" s="274">
        <v>0</v>
      </c>
      <c r="G389" s="285">
        <v>4.5</v>
      </c>
      <c r="H389" s="285">
        <f t="shared" si="133"/>
        <v>0</v>
      </c>
      <c r="I389" s="117"/>
      <c r="J389" s="285">
        <f t="shared" si="134"/>
        <v>0</v>
      </c>
      <c r="K389" s="285">
        <f t="shared" si="135"/>
        <v>0</v>
      </c>
      <c r="L389" s="285">
        <f t="shared" si="136"/>
        <v>0</v>
      </c>
      <c r="M389" s="117"/>
      <c r="N389" s="285">
        <f t="shared" si="137"/>
        <v>0</v>
      </c>
      <c r="O389" s="285">
        <f>'Sec-8'!U122</f>
        <v>0</v>
      </c>
      <c r="P389" s="285">
        <f t="shared" si="138"/>
        <v>0</v>
      </c>
      <c r="Q389" s="285">
        <f t="shared" si="139"/>
        <v>0</v>
      </c>
      <c r="R389" s="285">
        <f t="shared" si="130"/>
        <v>0</v>
      </c>
      <c r="S389" s="285">
        <f t="shared" si="131"/>
        <v>0</v>
      </c>
      <c r="T389" s="285">
        <f t="shared" si="140"/>
        <v>0</v>
      </c>
      <c r="U389" s="285">
        <f t="shared" si="132"/>
        <v>0</v>
      </c>
      <c r="V389" s="285">
        <f t="shared" si="141"/>
        <v>0</v>
      </c>
    </row>
    <row r="390" spans="1:22">
      <c r="A390" s="285">
        <v>19</v>
      </c>
      <c r="B390" s="288" t="s">
        <v>112</v>
      </c>
      <c r="C390" s="273" t="s">
        <v>196</v>
      </c>
      <c r="D390" s="274">
        <v>15</v>
      </c>
      <c r="E390" s="274"/>
      <c r="F390" s="274">
        <v>0</v>
      </c>
      <c r="G390" s="285">
        <v>4.5</v>
      </c>
      <c r="H390" s="285">
        <f t="shared" si="133"/>
        <v>0</v>
      </c>
      <c r="I390" s="117"/>
      <c r="J390" s="285">
        <f t="shared" si="134"/>
        <v>0</v>
      </c>
      <c r="K390" s="285">
        <f t="shared" si="135"/>
        <v>0</v>
      </c>
      <c r="L390" s="285">
        <f t="shared" si="136"/>
        <v>0</v>
      </c>
      <c r="M390" s="117"/>
      <c r="N390" s="285">
        <f t="shared" si="137"/>
        <v>0</v>
      </c>
      <c r="O390" s="285">
        <f>'Sec-8'!V122</f>
        <v>0</v>
      </c>
      <c r="P390" s="285">
        <f t="shared" si="138"/>
        <v>0</v>
      </c>
      <c r="Q390" s="285">
        <f t="shared" si="139"/>
        <v>0</v>
      </c>
      <c r="R390" s="285">
        <f t="shared" si="130"/>
        <v>0</v>
      </c>
      <c r="S390" s="285">
        <f t="shared" si="131"/>
        <v>0</v>
      </c>
      <c r="T390" s="285">
        <f t="shared" si="140"/>
        <v>0</v>
      </c>
      <c r="U390" s="285">
        <f t="shared" si="132"/>
        <v>0</v>
      </c>
      <c r="V390" s="285">
        <f t="shared" si="141"/>
        <v>0</v>
      </c>
    </row>
    <row r="391" spans="1:22">
      <c r="A391" s="285">
        <v>20</v>
      </c>
      <c r="B391" s="288" t="s">
        <v>217</v>
      </c>
      <c r="C391" s="273" t="s">
        <v>196</v>
      </c>
      <c r="D391" s="274">
        <v>18.5</v>
      </c>
      <c r="E391" s="274"/>
      <c r="F391" s="274">
        <v>0</v>
      </c>
      <c r="G391" s="285">
        <v>5.25</v>
      </c>
      <c r="H391" s="285">
        <f t="shared" si="133"/>
        <v>0</v>
      </c>
      <c r="I391" s="117"/>
      <c r="J391" s="285">
        <f t="shared" si="134"/>
        <v>0</v>
      </c>
      <c r="K391" s="285">
        <f t="shared" si="135"/>
        <v>0</v>
      </c>
      <c r="L391" s="285">
        <f t="shared" si="136"/>
        <v>0</v>
      </c>
      <c r="M391" s="117"/>
      <c r="N391" s="285">
        <f t="shared" si="137"/>
        <v>0</v>
      </c>
      <c r="O391" s="285">
        <f>'Sec-8'!W122</f>
        <v>0</v>
      </c>
      <c r="P391" s="285">
        <f t="shared" si="138"/>
        <v>0</v>
      </c>
      <c r="Q391" s="285">
        <f t="shared" si="139"/>
        <v>0</v>
      </c>
      <c r="R391" s="285">
        <f t="shared" si="130"/>
        <v>0</v>
      </c>
      <c r="S391" s="285">
        <f t="shared" si="131"/>
        <v>0</v>
      </c>
      <c r="T391" s="285">
        <f t="shared" si="140"/>
        <v>0</v>
      </c>
      <c r="U391" s="285">
        <f t="shared" si="132"/>
        <v>0</v>
      </c>
      <c r="V391" s="285">
        <f t="shared" si="141"/>
        <v>0</v>
      </c>
    </row>
    <row r="392" spans="1:22">
      <c r="A392" s="285">
        <v>21</v>
      </c>
      <c r="B392" s="288" t="s">
        <v>149</v>
      </c>
      <c r="C392" s="273" t="s">
        <v>196</v>
      </c>
      <c r="D392" s="274">
        <v>19.5</v>
      </c>
      <c r="E392" s="274"/>
      <c r="F392" s="274">
        <v>0</v>
      </c>
      <c r="G392" s="285">
        <v>5.75</v>
      </c>
      <c r="H392" s="285">
        <f t="shared" si="133"/>
        <v>0</v>
      </c>
      <c r="I392" s="117"/>
      <c r="J392" s="285">
        <f t="shared" si="134"/>
        <v>0</v>
      </c>
      <c r="K392" s="285">
        <f t="shared" si="135"/>
        <v>0</v>
      </c>
      <c r="L392" s="285">
        <f t="shared" si="136"/>
        <v>0</v>
      </c>
      <c r="M392" s="117"/>
      <c r="N392" s="285">
        <f t="shared" si="137"/>
        <v>0</v>
      </c>
      <c r="O392" s="285">
        <f>'Sec-8'!X122</f>
        <v>0</v>
      </c>
      <c r="P392" s="285">
        <f t="shared" si="138"/>
        <v>0</v>
      </c>
      <c r="Q392" s="285">
        <f t="shared" si="139"/>
        <v>0</v>
      </c>
      <c r="R392" s="285">
        <f t="shared" si="130"/>
        <v>0</v>
      </c>
      <c r="S392" s="285">
        <f t="shared" si="131"/>
        <v>0</v>
      </c>
      <c r="T392" s="285">
        <f t="shared" si="140"/>
        <v>0</v>
      </c>
      <c r="U392" s="285">
        <f t="shared" si="132"/>
        <v>0</v>
      </c>
      <c r="V392" s="285">
        <f t="shared" si="141"/>
        <v>0</v>
      </c>
    </row>
    <row r="393" spans="1:22">
      <c r="A393" s="285">
        <v>22</v>
      </c>
      <c r="B393" s="288" t="s">
        <v>99</v>
      </c>
      <c r="C393" s="273" t="s">
        <v>196</v>
      </c>
      <c r="D393" s="274">
        <v>12.5</v>
      </c>
      <c r="E393" s="274"/>
      <c r="F393" s="274">
        <v>0</v>
      </c>
      <c r="G393" s="285">
        <v>3.25</v>
      </c>
      <c r="H393" s="285">
        <f t="shared" si="133"/>
        <v>0</v>
      </c>
      <c r="I393" s="117"/>
      <c r="J393" s="285">
        <f t="shared" si="134"/>
        <v>0</v>
      </c>
      <c r="K393" s="285">
        <f t="shared" si="135"/>
        <v>0</v>
      </c>
      <c r="L393" s="285">
        <f t="shared" si="136"/>
        <v>0</v>
      </c>
      <c r="M393" s="117"/>
      <c r="N393" s="285">
        <f t="shared" si="137"/>
        <v>0</v>
      </c>
      <c r="O393" s="285">
        <f>'Sec-8'!Y122</f>
        <v>0</v>
      </c>
      <c r="P393" s="285">
        <f t="shared" si="138"/>
        <v>0</v>
      </c>
      <c r="Q393" s="285">
        <f t="shared" si="139"/>
        <v>0</v>
      </c>
      <c r="R393" s="285">
        <f t="shared" si="130"/>
        <v>0</v>
      </c>
      <c r="S393" s="285">
        <f t="shared" si="131"/>
        <v>0</v>
      </c>
      <c r="T393" s="285">
        <f t="shared" si="140"/>
        <v>0</v>
      </c>
      <c r="U393" s="285">
        <f t="shared" si="132"/>
        <v>0</v>
      </c>
      <c r="V393" s="285">
        <f t="shared" si="141"/>
        <v>0</v>
      </c>
    </row>
    <row r="394" spans="1:22">
      <c r="A394" s="507" t="s">
        <v>67</v>
      </c>
      <c r="B394" s="508"/>
      <c r="C394" s="508"/>
      <c r="D394" s="509"/>
      <c r="E394" s="282"/>
      <c r="F394" s="282">
        <f t="shared" ref="F394:V394" si="142">SUM(F372:F393)</f>
        <v>441582</v>
      </c>
      <c r="G394" s="282">
        <f t="shared" si="142"/>
        <v>98.5</v>
      </c>
      <c r="H394" s="282">
        <f t="shared" si="142"/>
        <v>2172001.25</v>
      </c>
      <c r="I394" s="282">
        <f t="shared" si="142"/>
        <v>0</v>
      </c>
      <c r="J394" s="282">
        <f t="shared" si="142"/>
        <v>2172001.25</v>
      </c>
      <c r="K394" s="282">
        <f t="shared" si="142"/>
        <v>0</v>
      </c>
      <c r="L394" s="282">
        <f t="shared" si="142"/>
        <v>441582</v>
      </c>
      <c r="M394" s="282">
        <f t="shared" si="142"/>
        <v>0</v>
      </c>
      <c r="N394" s="282">
        <f t="shared" si="142"/>
        <v>441582</v>
      </c>
      <c r="O394" s="282">
        <f t="shared" si="142"/>
        <v>0</v>
      </c>
      <c r="P394" s="282">
        <f t="shared" si="142"/>
        <v>441582</v>
      </c>
      <c r="Q394" s="282">
        <f t="shared" si="142"/>
        <v>0</v>
      </c>
      <c r="R394" s="282">
        <f t="shared" si="142"/>
        <v>0</v>
      </c>
      <c r="S394" s="282">
        <f t="shared" si="142"/>
        <v>8022.6045000000004</v>
      </c>
      <c r="T394" s="282">
        <f t="shared" si="142"/>
        <v>106.96805999999999</v>
      </c>
      <c r="U394" s="282">
        <f t="shared" si="142"/>
        <v>0</v>
      </c>
      <c r="V394" s="282">
        <f t="shared" si="142"/>
        <v>106.96805999999999</v>
      </c>
    </row>
    <row r="396" spans="1:22">
      <c r="S396" s="85"/>
      <c r="T396" s="85"/>
      <c r="U396" s="85"/>
      <c r="V396" s="85"/>
    </row>
    <row r="397" spans="1:22" s="11" customFormat="1" ht="15.75">
      <c r="A397" s="61"/>
      <c r="B397" s="61"/>
      <c r="C397" s="61"/>
      <c r="D397" s="61"/>
      <c r="E397" s="61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462" t="s">
        <v>254</v>
      </c>
      <c r="T397" s="462"/>
      <c r="U397" s="462"/>
      <c r="V397" s="462"/>
    </row>
  </sheetData>
  <mergeCells count="213">
    <mergeCell ref="A394:D394"/>
    <mergeCell ref="S397:V397"/>
    <mergeCell ref="A357:D357"/>
    <mergeCell ref="S360:V360"/>
    <mergeCell ref="A366:V366"/>
    <mergeCell ref="A367:V367"/>
    <mergeCell ref="A368:V368"/>
    <mergeCell ref="A369:V369"/>
    <mergeCell ref="A370:A371"/>
    <mergeCell ref="B370:B371"/>
    <mergeCell ref="C370:C371"/>
    <mergeCell ref="D370:D371"/>
    <mergeCell ref="H370:H371"/>
    <mergeCell ref="I370:J370"/>
    <mergeCell ref="K370:L370"/>
    <mergeCell ref="M370:N370"/>
    <mergeCell ref="O370:P370"/>
    <mergeCell ref="Q370:Q371"/>
    <mergeCell ref="R370:R371"/>
    <mergeCell ref="S370:V370"/>
    <mergeCell ref="A321:D321"/>
    <mergeCell ref="S324:V324"/>
    <mergeCell ref="A329:V329"/>
    <mergeCell ref="A330:V330"/>
    <mergeCell ref="A331:V331"/>
    <mergeCell ref="A332:V332"/>
    <mergeCell ref="A333:A334"/>
    <mergeCell ref="B333:B334"/>
    <mergeCell ref="C333:C334"/>
    <mergeCell ref="D333:D334"/>
    <mergeCell ref="H333:H334"/>
    <mergeCell ref="I333:J333"/>
    <mergeCell ref="K333:L333"/>
    <mergeCell ref="M333:N333"/>
    <mergeCell ref="O333:P333"/>
    <mergeCell ref="Q333:Q334"/>
    <mergeCell ref="R333:R334"/>
    <mergeCell ref="S333:V333"/>
    <mergeCell ref="A284:D284"/>
    <mergeCell ref="S287:V287"/>
    <mergeCell ref="A293:V293"/>
    <mergeCell ref="A294:V294"/>
    <mergeCell ref="A295:V295"/>
    <mergeCell ref="A296:V296"/>
    <mergeCell ref="A297:A298"/>
    <mergeCell ref="B297:B298"/>
    <mergeCell ref="C297:C298"/>
    <mergeCell ref="D297:D298"/>
    <mergeCell ref="H297:H298"/>
    <mergeCell ref="I297:J297"/>
    <mergeCell ref="K297:L297"/>
    <mergeCell ref="M297:N297"/>
    <mergeCell ref="O297:P297"/>
    <mergeCell ref="Q297:Q298"/>
    <mergeCell ref="R297:R298"/>
    <mergeCell ref="S297:V297"/>
    <mergeCell ref="A246:D246"/>
    <mergeCell ref="S249:V249"/>
    <mergeCell ref="A256:V256"/>
    <mergeCell ref="A257:V257"/>
    <mergeCell ref="A258:V258"/>
    <mergeCell ref="A259:V259"/>
    <mergeCell ref="A260:A261"/>
    <mergeCell ref="B260:B261"/>
    <mergeCell ref="C260:C261"/>
    <mergeCell ref="D260:D261"/>
    <mergeCell ref="H260:H261"/>
    <mergeCell ref="I260:J260"/>
    <mergeCell ref="K260:L260"/>
    <mergeCell ref="M260:N260"/>
    <mergeCell ref="O260:P260"/>
    <mergeCell ref="Q260:Q261"/>
    <mergeCell ref="R260:R261"/>
    <mergeCell ref="S260:V260"/>
    <mergeCell ref="S72:V72"/>
    <mergeCell ref="A218:V218"/>
    <mergeCell ref="A219:V219"/>
    <mergeCell ref="A220:V220"/>
    <mergeCell ref="A221:V221"/>
    <mergeCell ref="A222:A223"/>
    <mergeCell ref="B222:B223"/>
    <mergeCell ref="C222:C223"/>
    <mergeCell ref="D222:D223"/>
    <mergeCell ref="H222:H223"/>
    <mergeCell ref="I222:J222"/>
    <mergeCell ref="K222:L222"/>
    <mergeCell ref="M222:N222"/>
    <mergeCell ref="O222:P222"/>
    <mergeCell ref="Q222:Q223"/>
    <mergeCell ref="R222:R223"/>
    <mergeCell ref="S222:V222"/>
    <mergeCell ref="A73:V73"/>
    <mergeCell ref="A74:V74"/>
    <mergeCell ref="A75:V75"/>
    <mergeCell ref="A99:D99"/>
    <mergeCell ref="S102:V102"/>
    <mergeCell ref="A109:V109"/>
    <mergeCell ref="A110:V110"/>
    <mergeCell ref="Q41:Q42"/>
    <mergeCell ref="R41:R42"/>
    <mergeCell ref="S41:V41"/>
    <mergeCell ref="C43:C45"/>
    <mergeCell ref="C46:C48"/>
    <mergeCell ref="C49:C55"/>
    <mergeCell ref="C56:C62"/>
    <mergeCell ref="C63:C69"/>
    <mergeCell ref="A70:D70"/>
    <mergeCell ref="A1:V1"/>
    <mergeCell ref="A2:V2"/>
    <mergeCell ref="A3:V3"/>
    <mergeCell ref="A4:O4"/>
    <mergeCell ref="P4:R4"/>
    <mergeCell ref="S4:V4"/>
    <mergeCell ref="C27:C33"/>
    <mergeCell ref="A34:D34"/>
    <mergeCell ref="S36:V36"/>
    <mergeCell ref="R5:R6"/>
    <mergeCell ref="S5:V5"/>
    <mergeCell ref="C7:C9"/>
    <mergeCell ref="C10:C12"/>
    <mergeCell ref="C13:C19"/>
    <mergeCell ref="C20:C26"/>
    <mergeCell ref="H5:H6"/>
    <mergeCell ref="I5:J5"/>
    <mergeCell ref="K5:L5"/>
    <mergeCell ref="M5:N5"/>
    <mergeCell ref="O5:P5"/>
    <mergeCell ref="Q5:Q6"/>
    <mergeCell ref="A5:A6"/>
    <mergeCell ref="B5:B6"/>
    <mergeCell ref="C5:C6"/>
    <mergeCell ref="D5:D6"/>
    <mergeCell ref="K41:L41"/>
    <mergeCell ref="M41:N41"/>
    <mergeCell ref="O41:P41"/>
    <mergeCell ref="A76:R76"/>
    <mergeCell ref="S76:V76"/>
    <mergeCell ref="A77:A78"/>
    <mergeCell ref="B77:B78"/>
    <mergeCell ref="C77:C78"/>
    <mergeCell ref="D77:D78"/>
    <mergeCell ref="H77:H78"/>
    <mergeCell ref="I77:J77"/>
    <mergeCell ref="A37:V37"/>
    <mergeCell ref="A38:V38"/>
    <mergeCell ref="A39:V39"/>
    <mergeCell ref="A40:O40"/>
    <mergeCell ref="P40:R40"/>
    <mergeCell ref="S40:V40"/>
    <mergeCell ref="A41:A42"/>
    <mergeCell ref="B41:B42"/>
    <mergeCell ref="C41:C42"/>
    <mergeCell ref="D41:D42"/>
    <mergeCell ref="H41:H42"/>
    <mergeCell ref="I41:J41"/>
    <mergeCell ref="A111:V111"/>
    <mergeCell ref="A112:Q112"/>
    <mergeCell ref="K77:L77"/>
    <mergeCell ref="M77:N77"/>
    <mergeCell ref="O77:P77"/>
    <mergeCell ref="Q77:Q78"/>
    <mergeCell ref="R77:R78"/>
    <mergeCell ref="S77:V77"/>
    <mergeCell ref="R113:R114"/>
    <mergeCell ref="S113:V113"/>
    <mergeCell ref="A136:D136"/>
    <mergeCell ref="S139:V139"/>
    <mergeCell ref="A145:V145"/>
    <mergeCell ref="A146:V146"/>
    <mergeCell ref="H113:H114"/>
    <mergeCell ref="I113:J113"/>
    <mergeCell ref="K113:L113"/>
    <mergeCell ref="M113:N113"/>
    <mergeCell ref="O113:P113"/>
    <mergeCell ref="Q113:Q114"/>
    <mergeCell ref="A113:A114"/>
    <mergeCell ref="B113:B114"/>
    <mergeCell ref="C113:C114"/>
    <mergeCell ref="D113:D114"/>
    <mergeCell ref="A147:V147"/>
    <mergeCell ref="A148:V148"/>
    <mergeCell ref="A149:A150"/>
    <mergeCell ref="B149:B150"/>
    <mergeCell ref="C149:C150"/>
    <mergeCell ref="D149:D150"/>
    <mergeCell ref="H149:H150"/>
    <mergeCell ref="I149:J149"/>
    <mergeCell ref="A166:D166"/>
    <mergeCell ref="S169:V169"/>
    <mergeCell ref="A181:V181"/>
    <mergeCell ref="A182:V182"/>
    <mergeCell ref="A183:V183"/>
    <mergeCell ref="A184:V184"/>
    <mergeCell ref="K149:L149"/>
    <mergeCell ref="M149:N149"/>
    <mergeCell ref="O149:P149"/>
    <mergeCell ref="Q149:Q150"/>
    <mergeCell ref="R149:R150"/>
    <mergeCell ref="S149:V149"/>
    <mergeCell ref="R185:R186"/>
    <mergeCell ref="S185:V185"/>
    <mergeCell ref="A209:D209"/>
    <mergeCell ref="S212:V212"/>
    <mergeCell ref="H185:H186"/>
    <mergeCell ref="I185:J185"/>
    <mergeCell ref="K185:L185"/>
    <mergeCell ref="M185:N185"/>
    <mergeCell ref="O185:P185"/>
    <mergeCell ref="Q185:Q186"/>
    <mergeCell ref="A185:A186"/>
    <mergeCell ref="B185:B186"/>
    <mergeCell ref="C185:C186"/>
    <mergeCell ref="D185:D186"/>
  </mergeCells>
  <pageMargins left="0.25" right="0.25" top="0.25" bottom="0.25" header="0.3" footer="0.3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FFFF00"/>
  </sheetPr>
  <dimension ref="A1:AE34"/>
  <sheetViews>
    <sheetView topLeftCell="A10" zoomScale="85" zoomScaleNormal="85" workbookViewId="0">
      <selection activeCell="AB38" sqref="AB38"/>
    </sheetView>
  </sheetViews>
  <sheetFormatPr defaultRowHeight="15"/>
  <cols>
    <col min="1" max="1" width="3.42578125" style="43" customWidth="1"/>
    <col min="2" max="2" width="7.85546875" style="43" customWidth="1"/>
    <col min="3" max="3" width="8.140625" style="43" customWidth="1"/>
    <col min="4" max="9" width="6.7109375" style="43" customWidth="1"/>
    <col min="10" max="10" width="7.85546875" style="43" bestFit="1" customWidth="1"/>
    <col min="11" max="16" width="6.7109375" style="43" customWidth="1"/>
    <col min="17" max="17" width="8.85546875" style="43" customWidth="1"/>
    <col min="18" max="16384" width="9.140625" style="43"/>
  </cols>
  <sheetData>
    <row r="1" spans="1:31" ht="21">
      <c r="A1" s="448" t="s">
        <v>158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  <c r="O1" s="448"/>
      <c r="P1" s="448"/>
      <c r="Q1" s="448"/>
      <c r="R1" s="448"/>
      <c r="S1" s="448"/>
      <c r="T1" s="448"/>
      <c r="U1" s="448"/>
      <c r="V1" s="448"/>
      <c r="W1" s="448"/>
      <c r="X1" s="448"/>
      <c r="Y1" s="448"/>
      <c r="Z1" s="448"/>
      <c r="AA1" s="448"/>
      <c r="AB1" s="448"/>
      <c r="AC1" s="448"/>
      <c r="AD1" s="448"/>
      <c r="AE1" s="448"/>
    </row>
    <row r="2" spans="1:31" ht="18.75">
      <c r="A2" s="449" t="s">
        <v>159</v>
      </c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  <c r="O2" s="449"/>
      <c r="P2" s="449"/>
      <c r="Q2" s="449"/>
      <c r="R2" s="449"/>
      <c r="S2" s="449"/>
      <c r="T2" s="449"/>
      <c r="U2" s="449"/>
      <c r="V2" s="449"/>
      <c r="W2" s="449"/>
      <c r="X2" s="449"/>
      <c r="Y2" s="449"/>
      <c r="Z2" s="449"/>
      <c r="AA2" s="449"/>
      <c r="AB2" s="449"/>
      <c r="AC2" s="449"/>
      <c r="AD2" s="449"/>
      <c r="AE2" s="449"/>
    </row>
    <row r="3" spans="1:31" ht="19.5">
      <c r="A3" s="532" t="s">
        <v>476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  <c r="M3" s="532"/>
      <c r="N3" s="532"/>
      <c r="O3" s="532"/>
      <c r="P3" s="532"/>
      <c r="Q3" s="532"/>
      <c r="R3" s="532"/>
      <c r="S3" s="532"/>
      <c r="T3" s="532"/>
      <c r="U3" s="532"/>
      <c r="V3" s="532"/>
      <c r="W3" s="532"/>
      <c r="X3" s="532"/>
      <c r="Y3" s="532"/>
      <c r="Z3" s="532"/>
      <c r="AA3" s="532"/>
      <c r="AB3" s="532"/>
      <c r="AC3" s="447" t="s">
        <v>302</v>
      </c>
      <c r="AD3" s="447"/>
      <c r="AE3" s="447"/>
    </row>
    <row r="4" spans="1:31" ht="16.5" thickBot="1">
      <c r="A4" s="435" t="s">
        <v>160</v>
      </c>
      <c r="B4" s="437" t="s">
        <v>16</v>
      </c>
      <c r="C4" s="438"/>
      <c r="D4" s="441" t="s">
        <v>165</v>
      </c>
      <c r="E4" s="441"/>
      <c r="F4" s="441"/>
      <c r="G4" s="442" t="s">
        <v>166</v>
      </c>
      <c r="H4" s="442"/>
      <c r="I4" s="442"/>
      <c r="J4" s="443" t="s">
        <v>167</v>
      </c>
      <c r="K4" s="444"/>
      <c r="L4" s="444"/>
      <c r="M4" s="444"/>
      <c r="N4" s="444"/>
      <c r="O4" s="444"/>
      <c r="P4" s="445"/>
      <c r="Q4" s="350" t="s">
        <v>171</v>
      </c>
      <c r="R4" s="431"/>
      <c r="S4" s="431"/>
      <c r="T4" s="431"/>
      <c r="U4" s="431"/>
      <c r="V4" s="431"/>
      <c r="W4" s="351"/>
      <c r="X4" s="432" t="s">
        <v>172</v>
      </c>
      <c r="Y4" s="433"/>
      <c r="Z4" s="433"/>
      <c r="AA4" s="433"/>
      <c r="AB4" s="433"/>
      <c r="AC4" s="433"/>
      <c r="AD4" s="434"/>
      <c r="AE4" s="435" t="s">
        <v>88</v>
      </c>
    </row>
    <row r="5" spans="1:31" ht="23.25" customHeight="1">
      <c r="A5" s="436"/>
      <c r="B5" s="439"/>
      <c r="C5" s="440"/>
      <c r="D5" s="75" t="s">
        <v>26</v>
      </c>
      <c r="E5" s="75" t="s">
        <v>168</v>
      </c>
      <c r="F5" s="76" t="s">
        <v>31</v>
      </c>
      <c r="G5" s="40" t="s">
        <v>26</v>
      </c>
      <c r="H5" s="40" t="s">
        <v>168</v>
      </c>
      <c r="I5" s="58" t="s">
        <v>31</v>
      </c>
      <c r="J5" s="75" t="s">
        <v>26</v>
      </c>
      <c r="K5" s="75" t="s">
        <v>168</v>
      </c>
      <c r="L5" s="76" t="s">
        <v>31</v>
      </c>
      <c r="M5" s="78" t="s">
        <v>169</v>
      </c>
      <c r="N5" s="78" t="s">
        <v>32</v>
      </c>
      <c r="O5" s="76" t="s">
        <v>170</v>
      </c>
      <c r="P5" s="76" t="s">
        <v>49</v>
      </c>
      <c r="Q5" s="41" t="s">
        <v>26</v>
      </c>
      <c r="R5" s="41" t="s">
        <v>168</v>
      </c>
      <c r="S5" s="59" t="s">
        <v>31</v>
      </c>
      <c r="T5" s="59" t="s">
        <v>169</v>
      </c>
      <c r="U5" s="59" t="s">
        <v>32</v>
      </c>
      <c r="V5" s="59" t="s">
        <v>170</v>
      </c>
      <c r="W5" s="59" t="s">
        <v>49</v>
      </c>
      <c r="X5" s="79" t="s">
        <v>26</v>
      </c>
      <c r="Y5" s="79" t="s">
        <v>168</v>
      </c>
      <c r="Z5" s="80" t="s">
        <v>31</v>
      </c>
      <c r="AA5" s="80" t="s">
        <v>169</v>
      </c>
      <c r="AB5" s="80" t="s">
        <v>32</v>
      </c>
      <c r="AC5" s="80" t="s">
        <v>170</v>
      </c>
      <c r="AD5" s="80" t="s">
        <v>49</v>
      </c>
      <c r="AE5" s="436"/>
    </row>
    <row r="6" spans="1:31" ht="15.75">
      <c r="A6" s="425">
        <v>1</v>
      </c>
      <c r="B6" s="427" t="s">
        <v>57</v>
      </c>
      <c r="C6" s="57" t="s">
        <v>24</v>
      </c>
      <c r="D6" s="77">
        <v>27975</v>
      </c>
      <c r="E6" s="77">
        <v>27975</v>
      </c>
      <c r="F6" s="77">
        <v>27975</v>
      </c>
      <c r="G6" s="57">
        <v>28198</v>
      </c>
      <c r="H6" s="245">
        <v>28198</v>
      </c>
      <c r="I6" s="245">
        <v>28198</v>
      </c>
      <c r="J6" s="77">
        <v>27825</v>
      </c>
      <c r="K6" s="77">
        <v>27825</v>
      </c>
      <c r="L6" s="77">
        <v>27825</v>
      </c>
      <c r="M6" s="77">
        <v>27825</v>
      </c>
      <c r="N6" s="77">
        <v>27825</v>
      </c>
      <c r="O6" s="77">
        <v>26847</v>
      </c>
      <c r="P6" s="77">
        <v>965</v>
      </c>
      <c r="Q6" s="57">
        <v>27253</v>
      </c>
      <c r="R6" s="245">
        <v>27253</v>
      </c>
      <c r="S6" s="245">
        <v>27253</v>
      </c>
      <c r="T6" s="245">
        <v>27253</v>
      </c>
      <c r="U6" s="245">
        <v>27253</v>
      </c>
      <c r="V6" s="7">
        <v>26266</v>
      </c>
      <c r="W6" s="7">
        <v>974</v>
      </c>
      <c r="X6" s="81">
        <v>26361</v>
      </c>
      <c r="Y6" s="81">
        <v>26361</v>
      </c>
      <c r="Z6" s="81">
        <v>26361</v>
      </c>
      <c r="AA6" s="81">
        <v>26361</v>
      </c>
      <c r="AB6" s="81">
        <v>26361</v>
      </c>
      <c r="AC6" s="81">
        <v>25410</v>
      </c>
      <c r="AD6" s="81">
        <v>936</v>
      </c>
      <c r="AE6" s="7">
        <f>SUM(D6:AD6)</f>
        <v>657112</v>
      </c>
    </row>
    <row r="7" spans="1:31" ht="15.75">
      <c r="A7" s="425"/>
      <c r="B7" s="427"/>
      <c r="C7" s="57" t="s">
        <v>25</v>
      </c>
      <c r="D7" s="77"/>
      <c r="E7" s="77"/>
      <c r="F7" s="77"/>
      <c r="G7" s="57"/>
      <c r="H7" s="245"/>
      <c r="I7" s="245"/>
      <c r="J7" s="77"/>
      <c r="K7" s="77"/>
      <c r="L7" s="77"/>
      <c r="M7" s="77"/>
      <c r="N7" s="77"/>
      <c r="O7" s="77"/>
      <c r="P7" s="77"/>
      <c r="Q7" s="57"/>
      <c r="R7" s="245"/>
      <c r="S7" s="245"/>
      <c r="T7" s="245"/>
      <c r="U7" s="245"/>
      <c r="V7" s="7"/>
      <c r="W7" s="7"/>
      <c r="X7" s="81"/>
      <c r="Y7" s="81"/>
      <c r="Z7" s="81"/>
      <c r="AA7" s="81"/>
      <c r="AB7" s="81"/>
      <c r="AC7" s="81"/>
      <c r="AD7" s="81"/>
      <c r="AE7" s="7">
        <f t="shared" ref="AE7:AE16" si="0">SUM(D7:AD7)</f>
        <v>0</v>
      </c>
    </row>
    <row r="8" spans="1:31" ht="15.75">
      <c r="A8" s="425">
        <v>2</v>
      </c>
      <c r="B8" s="425" t="s">
        <v>304</v>
      </c>
      <c r="C8" s="57" t="s">
        <v>24</v>
      </c>
      <c r="D8" s="77">
        <v>6406</v>
      </c>
      <c r="E8" s="77">
        <v>6406</v>
      </c>
      <c r="F8" s="77">
        <v>6406</v>
      </c>
      <c r="G8" s="57">
        <v>6253</v>
      </c>
      <c r="H8" s="245">
        <v>6253</v>
      </c>
      <c r="I8" s="245">
        <v>6253</v>
      </c>
      <c r="J8" s="77">
        <v>6211</v>
      </c>
      <c r="K8" s="77">
        <v>6211</v>
      </c>
      <c r="L8" s="77">
        <v>6211</v>
      </c>
      <c r="M8" s="77">
        <v>6211</v>
      </c>
      <c r="N8" s="77">
        <v>6211</v>
      </c>
      <c r="O8" s="77">
        <v>5343</v>
      </c>
      <c r="P8" s="77">
        <v>849</v>
      </c>
      <c r="Q8" s="57">
        <v>6016</v>
      </c>
      <c r="R8" s="245">
        <v>6016</v>
      </c>
      <c r="S8" s="245">
        <v>6016</v>
      </c>
      <c r="T8" s="245">
        <v>6016</v>
      </c>
      <c r="U8" s="245">
        <v>6016</v>
      </c>
      <c r="V8" s="7">
        <v>5125</v>
      </c>
      <c r="W8" s="7">
        <v>871</v>
      </c>
      <c r="X8" s="81">
        <v>5567</v>
      </c>
      <c r="Y8" s="81">
        <v>5567</v>
      </c>
      <c r="Z8" s="81">
        <v>5567</v>
      </c>
      <c r="AA8" s="81">
        <v>5567</v>
      </c>
      <c r="AB8" s="81">
        <v>5567</v>
      </c>
      <c r="AC8" s="81">
        <v>4786</v>
      </c>
      <c r="AD8" s="81">
        <v>767</v>
      </c>
      <c r="AE8" s="7">
        <f t="shared" si="0"/>
        <v>144688</v>
      </c>
    </row>
    <row r="9" spans="1:31" ht="15.75">
      <c r="A9" s="425"/>
      <c r="B9" s="425"/>
      <c r="C9" s="57" t="s">
        <v>25</v>
      </c>
      <c r="D9" s="77"/>
      <c r="E9" s="77"/>
      <c r="F9" s="77"/>
      <c r="G9" s="57"/>
      <c r="H9" s="245"/>
      <c r="I9" s="245"/>
      <c r="J9" s="77"/>
      <c r="K9" s="77"/>
      <c r="L9" s="77"/>
      <c r="M9" s="77"/>
      <c r="N9" s="77"/>
      <c r="O9" s="77"/>
      <c r="P9" s="77"/>
      <c r="Q9" s="57"/>
      <c r="R9" s="245"/>
      <c r="S9" s="245"/>
      <c r="T9" s="245"/>
      <c r="U9" s="245"/>
      <c r="V9" s="7"/>
      <c r="W9" s="7"/>
      <c r="X9" s="81"/>
      <c r="Y9" s="81"/>
      <c r="Z9" s="81"/>
      <c r="AA9" s="81"/>
      <c r="AB9" s="81"/>
      <c r="AC9" s="81"/>
      <c r="AD9" s="81"/>
      <c r="AE9" s="7">
        <f t="shared" si="0"/>
        <v>0</v>
      </c>
    </row>
    <row r="10" spans="1:31" ht="15.75">
      <c r="A10" s="425">
        <v>3</v>
      </c>
      <c r="B10" s="427" t="s">
        <v>219</v>
      </c>
      <c r="C10" s="57" t="s">
        <v>24</v>
      </c>
      <c r="D10" s="77">
        <v>2</v>
      </c>
      <c r="E10" s="77">
        <v>2</v>
      </c>
      <c r="F10" s="77">
        <v>2</v>
      </c>
      <c r="G10" s="57">
        <v>2</v>
      </c>
      <c r="H10" s="245">
        <v>2</v>
      </c>
      <c r="I10" s="245">
        <v>2</v>
      </c>
      <c r="J10" s="77">
        <v>2</v>
      </c>
      <c r="K10" s="77">
        <v>2</v>
      </c>
      <c r="L10" s="77">
        <v>2</v>
      </c>
      <c r="M10" s="77">
        <v>2</v>
      </c>
      <c r="N10" s="77">
        <v>2</v>
      </c>
      <c r="O10" s="77">
        <v>2</v>
      </c>
      <c r="P10" s="77">
        <v>2</v>
      </c>
      <c r="Q10" s="57">
        <v>2</v>
      </c>
      <c r="R10" s="245">
        <v>2</v>
      </c>
      <c r="S10" s="245">
        <v>2</v>
      </c>
      <c r="T10" s="245">
        <v>2</v>
      </c>
      <c r="U10" s="245">
        <v>2</v>
      </c>
      <c r="V10" s="7">
        <v>2</v>
      </c>
      <c r="W10" s="7">
        <v>2</v>
      </c>
      <c r="X10" s="81">
        <v>2</v>
      </c>
      <c r="Y10" s="81">
        <v>2</v>
      </c>
      <c r="Z10" s="81">
        <v>2</v>
      </c>
      <c r="AA10" s="81">
        <v>2</v>
      </c>
      <c r="AB10" s="81">
        <v>2</v>
      </c>
      <c r="AC10" s="81">
        <v>2</v>
      </c>
      <c r="AD10" s="81">
        <v>2</v>
      </c>
      <c r="AE10" s="7">
        <f t="shared" si="0"/>
        <v>54</v>
      </c>
    </row>
    <row r="11" spans="1:31" ht="15.75">
      <c r="A11" s="425"/>
      <c r="B11" s="427"/>
      <c r="C11" s="57" t="s">
        <v>25</v>
      </c>
      <c r="D11" s="77"/>
      <c r="E11" s="77"/>
      <c r="F11" s="77"/>
      <c r="G11" s="57"/>
      <c r="H11" s="245"/>
      <c r="I11" s="245"/>
      <c r="J11" s="77"/>
      <c r="K11" s="77"/>
      <c r="L11" s="77"/>
      <c r="M11" s="77"/>
      <c r="N11" s="77"/>
      <c r="O11" s="77"/>
      <c r="P11" s="77"/>
      <c r="Q11" s="57"/>
      <c r="R11" s="245"/>
      <c r="S11" s="245"/>
      <c r="T11" s="245"/>
      <c r="U11" s="245"/>
      <c r="V11" s="7"/>
      <c r="W11" s="7"/>
      <c r="X11" s="81"/>
      <c r="Y11" s="81"/>
      <c r="Z11" s="81"/>
      <c r="AA11" s="81"/>
      <c r="AB11" s="81"/>
      <c r="AC11" s="81"/>
      <c r="AD11" s="81"/>
      <c r="AE11" s="7">
        <f t="shared" si="0"/>
        <v>0</v>
      </c>
    </row>
    <row r="12" spans="1:31" ht="15.75">
      <c r="A12" s="425">
        <v>4</v>
      </c>
      <c r="B12" s="427" t="s">
        <v>220</v>
      </c>
      <c r="C12" s="57" t="s">
        <v>24</v>
      </c>
      <c r="D12" s="77">
        <v>2</v>
      </c>
      <c r="E12" s="77">
        <v>2</v>
      </c>
      <c r="F12" s="77">
        <v>2</v>
      </c>
      <c r="G12" s="57">
        <v>2</v>
      </c>
      <c r="H12" s="245">
        <v>2</v>
      </c>
      <c r="I12" s="245">
        <v>2</v>
      </c>
      <c r="J12" s="77">
        <v>2</v>
      </c>
      <c r="K12" s="77">
        <v>2</v>
      </c>
      <c r="L12" s="77">
        <v>2</v>
      </c>
      <c r="M12" s="77">
        <v>2</v>
      </c>
      <c r="N12" s="77">
        <v>2</v>
      </c>
      <c r="O12" s="77">
        <v>2</v>
      </c>
      <c r="P12" s="77">
        <v>2</v>
      </c>
      <c r="Q12" s="57">
        <v>2</v>
      </c>
      <c r="R12" s="245">
        <v>2</v>
      </c>
      <c r="S12" s="245">
        <v>2</v>
      </c>
      <c r="T12" s="245">
        <v>2</v>
      </c>
      <c r="U12" s="245">
        <v>2</v>
      </c>
      <c r="V12" s="7">
        <v>2</v>
      </c>
      <c r="W12" s="7">
        <v>2</v>
      </c>
      <c r="X12" s="81">
        <v>2</v>
      </c>
      <c r="Y12" s="81">
        <v>2</v>
      </c>
      <c r="Z12" s="81">
        <v>2</v>
      </c>
      <c r="AA12" s="81">
        <v>2</v>
      </c>
      <c r="AB12" s="81">
        <v>2</v>
      </c>
      <c r="AC12" s="81">
        <v>2</v>
      </c>
      <c r="AD12" s="81">
        <v>2</v>
      </c>
      <c r="AE12" s="7">
        <f t="shared" si="0"/>
        <v>54</v>
      </c>
    </row>
    <row r="13" spans="1:31" ht="15.75">
      <c r="A13" s="425"/>
      <c r="B13" s="427"/>
      <c r="C13" s="57" t="s">
        <v>25</v>
      </c>
      <c r="D13" s="77"/>
      <c r="E13" s="77"/>
      <c r="F13" s="77"/>
      <c r="G13" s="57"/>
      <c r="H13" s="245"/>
      <c r="I13" s="245"/>
      <c r="J13" s="77"/>
      <c r="K13" s="77"/>
      <c r="L13" s="77"/>
      <c r="M13" s="77"/>
      <c r="N13" s="77"/>
      <c r="O13" s="77"/>
      <c r="P13" s="77"/>
      <c r="Q13" s="57"/>
      <c r="R13" s="245"/>
      <c r="S13" s="245"/>
      <c r="T13" s="245"/>
      <c r="U13" s="245"/>
      <c r="V13" s="7"/>
      <c r="W13" s="7"/>
      <c r="X13" s="81"/>
      <c r="Y13" s="81"/>
      <c r="Z13" s="81"/>
      <c r="AA13" s="81"/>
      <c r="AB13" s="81"/>
      <c r="AC13" s="81"/>
      <c r="AD13" s="81"/>
      <c r="AE13" s="7">
        <f t="shared" si="0"/>
        <v>0</v>
      </c>
    </row>
    <row r="14" spans="1:31" ht="15.75">
      <c r="A14" s="425">
        <v>5</v>
      </c>
      <c r="B14" s="427" t="s">
        <v>306</v>
      </c>
      <c r="C14" s="57" t="s">
        <v>24</v>
      </c>
      <c r="D14" s="77">
        <v>2</v>
      </c>
      <c r="E14" s="77">
        <v>2</v>
      </c>
      <c r="F14" s="77">
        <v>2</v>
      </c>
      <c r="G14" s="57">
        <v>2</v>
      </c>
      <c r="H14" s="245">
        <v>2</v>
      </c>
      <c r="I14" s="245">
        <v>2</v>
      </c>
      <c r="J14" s="77">
        <v>2</v>
      </c>
      <c r="K14" s="77">
        <v>2</v>
      </c>
      <c r="L14" s="77">
        <v>2</v>
      </c>
      <c r="M14" s="77">
        <v>2</v>
      </c>
      <c r="N14" s="77">
        <v>2</v>
      </c>
      <c r="O14" s="77">
        <v>2</v>
      </c>
      <c r="P14" s="77">
        <v>2</v>
      </c>
      <c r="Q14" s="57">
        <v>2</v>
      </c>
      <c r="R14" s="245">
        <v>2</v>
      </c>
      <c r="S14" s="245">
        <v>2</v>
      </c>
      <c r="T14" s="245">
        <v>2</v>
      </c>
      <c r="U14" s="245">
        <v>2</v>
      </c>
      <c r="V14" s="7">
        <v>2</v>
      </c>
      <c r="W14" s="7">
        <v>2</v>
      </c>
      <c r="X14" s="81">
        <v>2</v>
      </c>
      <c r="Y14" s="81">
        <v>2</v>
      </c>
      <c r="Z14" s="81">
        <v>2</v>
      </c>
      <c r="AA14" s="81">
        <v>2</v>
      </c>
      <c r="AB14" s="81">
        <v>2</v>
      </c>
      <c r="AC14" s="81">
        <v>2</v>
      </c>
      <c r="AD14" s="81">
        <v>2</v>
      </c>
      <c r="AE14" s="7">
        <f t="shared" si="0"/>
        <v>54</v>
      </c>
    </row>
    <row r="15" spans="1:31" ht="15.75">
      <c r="A15" s="425"/>
      <c r="B15" s="427"/>
      <c r="C15" s="57" t="s">
        <v>25</v>
      </c>
      <c r="D15" s="77"/>
      <c r="E15" s="77"/>
      <c r="F15" s="77"/>
      <c r="G15" s="57"/>
      <c r="H15" s="57"/>
      <c r="I15" s="57"/>
      <c r="J15" s="77"/>
      <c r="K15" s="77"/>
      <c r="L15" s="77"/>
      <c r="M15" s="77"/>
      <c r="N15" s="77"/>
      <c r="O15" s="77"/>
      <c r="P15" s="77"/>
      <c r="Q15" s="57"/>
      <c r="R15" s="7"/>
      <c r="S15" s="7"/>
      <c r="T15" s="7"/>
      <c r="U15" s="7"/>
      <c r="V15" s="7"/>
      <c r="W15" s="7"/>
      <c r="X15" s="81"/>
      <c r="Y15" s="81"/>
      <c r="Z15" s="81"/>
      <c r="AA15" s="81"/>
      <c r="AB15" s="81"/>
      <c r="AC15" s="81"/>
      <c r="AD15" s="81"/>
      <c r="AE15" s="7">
        <f t="shared" si="0"/>
        <v>0</v>
      </c>
    </row>
    <row r="16" spans="1:31" ht="15.75">
      <c r="A16" s="425" t="s">
        <v>163</v>
      </c>
      <c r="B16" s="425"/>
      <c r="C16" s="425"/>
      <c r="D16" s="77">
        <f>D6+D8+D10+D12+D14</f>
        <v>34387</v>
      </c>
      <c r="E16" s="77">
        <f t="shared" ref="E16:AD16" si="1">E6+E8+E10+E12+E14</f>
        <v>34387</v>
      </c>
      <c r="F16" s="77">
        <f t="shared" si="1"/>
        <v>34387</v>
      </c>
      <c r="G16" s="77">
        <f t="shared" si="1"/>
        <v>34457</v>
      </c>
      <c r="H16" s="77">
        <f t="shared" si="1"/>
        <v>34457</v>
      </c>
      <c r="I16" s="77">
        <f t="shared" si="1"/>
        <v>34457</v>
      </c>
      <c r="J16" s="77">
        <f t="shared" si="1"/>
        <v>34042</v>
      </c>
      <c r="K16" s="77">
        <f t="shared" si="1"/>
        <v>34042</v>
      </c>
      <c r="L16" s="77">
        <f t="shared" si="1"/>
        <v>34042</v>
      </c>
      <c r="M16" s="77">
        <f t="shared" si="1"/>
        <v>34042</v>
      </c>
      <c r="N16" s="77">
        <f t="shared" si="1"/>
        <v>34042</v>
      </c>
      <c r="O16" s="77">
        <f t="shared" si="1"/>
        <v>32196</v>
      </c>
      <c r="P16" s="77">
        <f t="shared" si="1"/>
        <v>1820</v>
      </c>
      <c r="Q16" s="77">
        <f t="shared" si="1"/>
        <v>33275</v>
      </c>
      <c r="R16" s="77">
        <f t="shared" si="1"/>
        <v>33275</v>
      </c>
      <c r="S16" s="77">
        <f t="shared" si="1"/>
        <v>33275</v>
      </c>
      <c r="T16" s="77">
        <f t="shared" si="1"/>
        <v>33275</v>
      </c>
      <c r="U16" s="77">
        <f t="shared" si="1"/>
        <v>33275</v>
      </c>
      <c r="V16" s="77">
        <f t="shared" si="1"/>
        <v>31397</v>
      </c>
      <c r="W16" s="77">
        <f t="shared" si="1"/>
        <v>1851</v>
      </c>
      <c r="X16" s="77">
        <f t="shared" si="1"/>
        <v>31934</v>
      </c>
      <c r="Y16" s="77">
        <f t="shared" si="1"/>
        <v>31934</v>
      </c>
      <c r="Z16" s="77">
        <f t="shared" si="1"/>
        <v>31934</v>
      </c>
      <c r="AA16" s="77">
        <f t="shared" si="1"/>
        <v>31934</v>
      </c>
      <c r="AB16" s="77">
        <f t="shared" si="1"/>
        <v>31934</v>
      </c>
      <c r="AC16" s="77">
        <f t="shared" si="1"/>
        <v>30202</v>
      </c>
      <c r="AD16" s="77">
        <f t="shared" si="1"/>
        <v>1709</v>
      </c>
      <c r="AE16" s="7">
        <f t="shared" si="0"/>
        <v>801962</v>
      </c>
    </row>
    <row r="17" spans="1:31" ht="15.75">
      <c r="A17" s="425" t="s">
        <v>164</v>
      </c>
      <c r="B17" s="425"/>
      <c r="C17" s="425"/>
      <c r="D17" s="77">
        <f>D7+D9+D11+D13+D15</f>
        <v>0</v>
      </c>
      <c r="E17" s="77">
        <f t="shared" ref="E17:AE17" si="2">E7+E9+E11+E13+E15</f>
        <v>0</v>
      </c>
      <c r="F17" s="77">
        <f t="shared" si="2"/>
        <v>0</v>
      </c>
      <c r="G17" s="77">
        <f t="shared" si="2"/>
        <v>0</v>
      </c>
      <c r="H17" s="77">
        <f t="shared" si="2"/>
        <v>0</v>
      </c>
      <c r="I17" s="77">
        <f t="shared" si="2"/>
        <v>0</v>
      </c>
      <c r="J17" s="77">
        <f t="shared" si="2"/>
        <v>0</v>
      </c>
      <c r="K17" s="77">
        <f t="shared" si="2"/>
        <v>0</v>
      </c>
      <c r="L17" s="77">
        <f t="shared" si="2"/>
        <v>0</v>
      </c>
      <c r="M17" s="77">
        <f t="shared" si="2"/>
        <v>0</v>
      </c>
      <c r="N17" s="77">
        <f t="shared" si="2"/>
        <v>0</v>
      </c>
      <c r="O17" s="77">
        <f t="shared" si="2"/>
        <v>0</v>
      </c>
      <c r="P17" s="77">
        <f t="shared" si="2"/>
        <v>0</v>
      </c>
      <c r="Q17" s="77">
        <f t="shared" si="2"/>
        <v>0</v>
      </c>
      <c r="R17" s="77">
        <f t="shared" si="2"/>
        <v>0</v>
      </c>
      <c r="S17" s="77">
        <f t="shared" si="2"/>
        <v>0</v>
      </c>
      <c r="T17" s="77">
        <f t="shared" si="2"/>
        <v>0</v>
      </c>
      <c r="U17" s="77">
        <f t="shared" si="2"/>
        <v>0</v>
      </c>
      <c r="V17" s="77">
        <f t="shared" si="2"/>
        <v>0</v>
      </c>
      <c r="W17" s="77">
        <f t="shared" si="2"/>
        <v>0</v>
      </c>
      <c r="X17" s="77">
        <f t="shared" si="2"/>
        <v>0</v>
      </c>
      <c r="Y17" s="77">
        <f t="shared" si="2"/>
        <v>0</v>
      </c>
      <c r="Z17" s="77">
        <f t="shared" si="2"/>
        <v>0</v>
      </c>
      <c r="AA17" s="77">
        <f t="shared" si="2"/>
        <v>0</v>
      </c>
      <c r="AB17" s="77">
        <f t="shared" si="2"/>
        <v>0</v>
      </c>
      <c r="AC17" s="77">
        <f t="shared" si="2"/>
        <v>0</v>
      </c>
      <c r="AD17" s="77">
        <f t="shared" si="2"/>
        <v>0</v>
      </c>
      <c r="AE17" s="77">
        <f t="shared" si="2"/>
        <v>0</v>
      </c>
    </row>
    <row r="18" spans="1:31" ht="15.75">
      <c r="A18" s="425" t="s">
        <v>70</v>
      </c>
      <c r="B18" s="425"/>
      <c r="C18" s="425"/>
      <c r="D18" s="77">
        <f>D16-D17</f>
        <v>34387</v>
      </c>
      <c r="E18" s="77">
        <f t="shared" ref="E18:AE18" si="3">E16-E17</f>
        <v>34387</v>
      </c>
      <c r="F18" s="77">
        <f t="shared" si="3"/>
        <v>34387</v>
      </c>
      <c r="G18" s="77">
        <f t="shared" si="3"/>
        <v>34457</v>
      </c>
      <c r="H18" s="77">
        <f t="shared" si="3"/>
        <v>34457</v>
      </c>
      <c r="I18" s="77">
        <f t="shared" si="3"/>
        <v>34457</v>
      </c>
      <c r="J18" s="77">
        <f t="shared" si="3"/>
        <v>34042</v>
      </c>
      <c r="K18" s="77">
        <f t="shared" si="3"/>
        <v>34042</v>
      </c>
      <c r="L18" s="77">
        <f t="shared" si="3"/>
        <v>34042</v>
      </c>
      <c r="M18" s="77">
        <f t="shared" si="3"/>
        <v>34042</v>
      </c>
      <c r="N18" s="77">
        <f t="shared" si="3"/>
        <v>34042</v>
      </c>
      <c r="O18" s="77">
        <f t="shared" si="3"/>
        <v>32196</v>
      </c>
      <c r="P18" s="77">
        <f t="shared" si="3"/>
        <v>1820</v>
      </c>
      <c r="Q18" s="77">
        <f t="shared" si="3"/>
        <v>33275</v>
      </c>
      <c r="R18" s="77">
        <f t="shared" si="3"/>
        <v>33275</v>
      </c>
      <c r="S18" s="77">
        <f t="shared" si="3"/>
        <v>33275</v>
      </c>
      <c r="T18" s="77">
        <f t="shared" si="3"/>
        <v>33275</v>
      </c>
      <c r="U18" s="77">
        <f t="shared" si="3"/>
        <v>33275</v>
      </c>
      <c r="V18" s="77">
        <f t="shared" si="3"/>
        <v>31397</v>
      </c>
      <c r="W18" s="77">
        <f t="shared" si="3"/>
        <v>1851</v>
      </c>
      <c r="X18" s="77">
        <f t="shared" si="3"/>
        <v>31934</v>
      </c>
      <c r="Y18" s="77">
        <f t="shared" si="3"/>
        <v>31934</v>
      </c>
      <c r="Z18" s="77">
        <f t="shared" si="3"/>
        <v>31934</v>
      </c>
      <c r="AA18" s="77">
        <f t="shared" si="3"/>
        <v>31934</v>
      </c>
      <c r="AB18" s="77">
        <f t="shared" si="3"/>
        <v>31934</v>
      </c>
      <c r="AC18" s="77">
        <f t="shared" si="3"/>
        <v>30202</v>
      </c>
      <c r="AD18" s="77">
        <f t="shared" si="3"/>
        <v>1709</v>
      </c>
      <c r="AE18" s="77">
        <f t="shared" si="3"/>
        <v>801962</v>
      </c>
    </row>
    <row r="20" spans="1:31" ht="19.5">
      <c r="A20" s="532" t="s">
        <v>477</v>
      </c>
      <c r="B20" s="532"/>
      <c r="C20" s="532"/>
      <c r="D20" s="532"/>
      <c r="E20" s="532"/>
      <c r="F20" s="532"/>
      <c r="G20" s="532"/>
      <c r="H20" s="532"/>
      <c r="I20" s="532"/>
      <c r="J20" s="532"/>
      <c r="K20" s="532"/>
      <c r="L20" s="532"/>
      <c r="M20" s="532"/>
      <c r="N20" s="532"/>
      <c r="O20" s="532"/>
      <c r="P20" s="532"/>
      <c r="Q20" s="532"/>
      <c r="R20" s="532"/>
      <c r="S20" s="532"/>
      <c r="T20" s="532"/>
      <c r="U20" s="532"/>
      <c r="V20" s="532"/>
      <c r="W20" s="532"/>
      <c r="X20" s="532"/>
      <c r="Y20" s="532"/>
      <c r="Z20" s="532"/>
      <c r="AA20" s="532"/>
      <c r="AB20" s="532"/>
      <c r="AC20" s="447" t="s">
        <v>302</v>
      </c>
      <c r="AD20" s="447"/>
      <c r="AE20" s="447"/>
    </row>
    <row r="21" spans="1:31" ht="16.5" thickBot="1">
      <c r="A21" s="435" t="s">
        <v>160</v>
      </c>
      <c r="B21" s="437" t="s">
        <v>16</v>
      </c>
      <c r="C21" s="438"/>
      <c r="D21" s="441" t="s">
        <v>165</v>
      </c>
      <c r="E21" s="441"/>
      <c r="F21" s="441"/>
      <c r="G21" s="442" t="s">
        <v>166</v>
      </c>
      <c r="H21" s="442"/>
      <c r="I21" s="442"/>
      <c r="J21" s="443" t="s">
        <v>167</v>
      </c>
      <c r="K21" s="444"/>
      <c r="L21" s="444"/>
      <c r="M21" s="444"/>
      <c r="N21" s="444"/>
      <c r="O21" s="444"/>
      <c r="P21" s="445"/>
      <c r="Q21" s="350" t="s">
        <v>171</v>
      </c>
      <c r="R21" s="431"/>
      <c r="S21" s="431"/>
      <c r="T21" s="431"/>
      <c r="U21" s="431"/>
      <c r="V21" s="431"/>
      <c r="W21" s="351"/>
      <c r="X21" s="432" t="s">
        <v>172</v>
      </c>
      <c r="Y21" s="433"/>
      <c r="Z21" s="433"/>
      <c r="AA21" s="433"/>
      <c r="AB21" s="433"/>
      <c r="AC21" s="433"/>
      <c r="AD21" s="434"/>
      <c r="AE21" s="435" t="s">
        <v>88</v>
      </c>
    </row>
    <row r="22" spans="1:31" ht="23.25" customHeight="1">
      <c r="A22" s="436"/>
      <c r="B22" s="439"/>
      <c r="C22" s="440"/>
      <c r="D22" s="75" t="s">
        <v>26</v>
      </c>
      <c r="E22" s="75" t="s">
        <v>168</v>
      </c>
      <c r="F22" s="76" t="s">
        <v>31</v>
      </c>
      <c r="G22" s="40" t="s">
        <v>26</v>
      </c>
      <c r="H22" s="40" t="s">
        <v>168</v>
      </c>
      <c r="I22" s="246" t="s">
        <v>31</v>
      </c>
      <c r="J22" s="75" t="s">
        <v>26</v>
      </c>
      <c r="K22" s="75" t="s">
        <v>168</v>
      </c>
      <c r="L22" s="76" t="s">
        <v>31</v>
      </c>
      <c r="M22" s="78" t="s">
        <v>169</v>
      </c>
      <c r="N22" s="78" t="s">
        <v>32</v>
      </c>
      <c r="O22" s="76" t="s">
        <v>170</v>
      </c>
      <c r="P22" s="76" t="s">
        <v>49</v>
      </c>
      <c r="Q22" s="41" t="s">
        <v>26</v>
      </c>
      <c r="R22" s="41" t="s">
        <v>168</v>
      </c>
      <c r="S22" s="247" t="s">
        <v>31</v>
      </c>
      <c r="T22" s="247" t="s">
        <v>169</v>
      </c>
      <c r="U22" s="247" t="s">
        <v>32</v>
      </c>
      <c r="V22" s="247" t="s">
        <v>170</v>
      </c>
      <c r="W22" s="247" t="s">
        <v>49</v>
      </c>
      <c r="X22" s="79" t="s">
        <v>26</v>
      </c>
      <c r="Y22" s="79" t="s">
        <v>168</v>
      </c>
      <c r="Z22" s="80" t="s">
        <v>31</v>
      </c>
      <c r="AA22" s="80" t="s">
        <v>169</v>
      </c>
      <c r="AB22" s="80" t="s">
        <v>32</v>
      </c>
      <c r="AC22" s="80" t="s">
        <v>170</v>
      </c>
      <c r="AD22" s="80" t="s">
        <v>49</v>
      </c>
      <c r="AE22" s="436"/>
    </row>
    <row r="23" spans="1:31" ht="15.75">
      <c r="A23" s="425">
        <v>1</v>
      </c>
      <c r="B23" s="427" t="s">
        <v>23</v>
      </c>
      <c r="C23" s="245" t="s">
        <v>24</v>
      </c>
      <c r="D23" s="77">
        <v>26621</v>
      </c>
      <c r="E23" s="77">
        <v>26621</v>
      </c>
      <c r="F23" s="77">
        <v>26621</v>
      </c>
      <c r="G23" s="245">
        <v>26049</v>
      </c>
      <c r="H23" s="248">
        <v>26049</v>
      </c>
      <c r="I23" s="248">
        <v>26049</v>
      </c>
      <c r="J23" s="77">
        <v>25690</v>
      </c>
      <c r="K23" s="77">
        <v>25690</v>
      </c>
      <c r="L23" s="77">
        <v>25690</v>
      </c>
      <c r="M23" s="77">
        <v>25690</v>
      </c>
      <c r="N23" s="77">
        <v>25690</v>
      </c>
      <c r="O23" s="77">
        <v>23771</v>
      </c>
      <c r="P23" s="77">
        <v>1400</v>
      </c>
      <c r="Q23" s="245">
        <v>24230</v>
      </c>
      <c r="R23" s="248">
        <v>24230</v>
      </c>
      <c r="S23" s="248">
        <v>24230</v>
      </c>
      <c r="T23" s="248">
        <v>24230</v>
      </c>
      <c r="U23" s="248">
        <v>24230</v>
      </c>
      <c r="V23" s="7">
        <v>22364</v>
      </c>
      <c r="W23" s="7">
        <v>1345</v>
      </c>
      <c r="X23" s="81">
        <v>23124</v>
      </c>
      <c r="Y23" s="81">
        <v>23124</v>
      </c>
      <c r="Z23" s="81">
        <v>23124</v>
      </c>
      <c r="AA23" s="81">
        <v>23124</v>
      </c>
      <c r="AB23" s="81">
        <v>23124</v>
      </c>
      <c r="AC23" s="81">
        <v>21256</v>
      </c>
      <c r="AD23" s="81">
        <v>1370</v>
      </c>
      <c r="AE23" s="7">
        <f>SUM(D23:AD23)</f>
        <v>594736</v>
      </c>
    </row>
    <row r="24" spans="1:31" ht="15.75">
      <c r="A24" s="425"/>
      <c r="B24" s="427"/>
      <c r="C24" s="245" t="s">
        <v>25</v>
      </c>
      <c r="D24" s="77"/>
      <c r="E24" s="77"/>
      <c r="F24" s="77"/>
      <c r="G24" s="245"/>
      <c r="H24" s="245"/>
      <c r="I24" s="245"/>
      <c r="J24" s="77"/>
      <c r="K24" s="77"/>
      <c r="L24" s="77"/>
      <c r="M24" s="77"/>
      <c r="N24" s="77"/>
      <c r="O24" s="77"/>
      <c r="P24" s="77"/>
      <c r="Q24" s="245"/>
      <c r="R24" s="245"/>
      <c r="S24" s="245"/>
      <c r="T24" s="245"/>
      <c r="U24" s="245"/>
      <c r="V24" s="7"/>
      <c r="W24" s="7"/>
      <c r="X24" s="81"/>
      <c r="Y24" s="81"/>
      <c r="Z24" s="81"/>
      <c r="AA24" s="81"/>
      <c r="AB24" s="81"/>
      <c r="AC24" s="81"/>
      <c r="AD24" s="81"/>
      <c r="AE24" s="7">
        <f t="shared" ref="AE24:AE30" si="4">SUM(D24:AD24)</f>
        <v>0</v>
      </c>
    </row>
    <row r="25" spans="1:31" ht="15.75">
      <c r="A25" s="425">
        <v>3</v>
      </c>
      <c r="B25" s="427" t="s">
        <v>219</v>
      </c>
      <c r="C25" s="245" t="s">
        <v>24</v>
      </c>
      <c r="D25" s="77">
        <v>2</v>
      </c>
      <c r="E25" s="77">
        <v>2</v>
      </c>
      <c r="F25" s="77">
        <v>2</v>
      </c>
      <c r="G25" s="245">
        <v>2</v>
      </c>
      <c r="H25" s="245">
        <v>2</v>
      </c>
      <c r="I25" s="245">
        <v>2</v>
      </c>
      <c r="J25" s="77">
        <v>2</v>
      </c>
      <c r="K25" s="77">
        <v>2</v>
      </c>
      <c r="L25" s="77">
        <v>2</v>
      </c>
      <c r="M25" s="77">
        <v>2</v>
      </c>
      <c r="N25" s="77">
        <v>2</v>
      </c>
      <c r="O25" s="77">
        <v>2</v>
      </c>
      <c r="P25" s="77">
        <v>2</v>
      </c>
      <c r="Q25" s="245">
        <v>2</v>
      </c>
      <c r="R25" s="245">
        <v>2</v>
      </c>
      <c r="S25" s="245">
        <v>2</v>
      </c>
      <c r="T25" s="245">
        <v>2</v>
      </c>
      <c r="U25" s="245">
        <v>2</v>
      </c>
      <c r="V25" s="7">
        <v>2</v>
      </c>
      <c r="W25" s="7">
        <v>2</v>
      </c>
      <c r="X25" s="81">
        <v>2</v>
      </c>
      <c r="Y25" s="81">
        <v>2</v>
      </c>
      <c r="Z25" s="81">
        <v>2</v>
      </c>
      <c r="AA25" s="81">
        <v>2</v>
      </c>
      <c r="AB25" s="81">
        <v>2</v>
      </c>
      <c r="AC25" s="81">
        <v>2</v>
      </c>
      <c r="AD25" s="81">
        <v>2</v>
      </c>
      <c r="AE25" s="7">
        <f t="shared" si="4"/>
        <v>54</v>
      </c>
    </row>
    <row r="26" spans="1:31" ht="15.75">
      <c r="A26" s="425"/>
      <c r="B26" s="427"/>
      <c r="C26" s="245" t="s">
        <v>25</v>
      </c>
      <c r="D26" s="77"/>
      <c r="E26" s="77"/>
      <c r="F26" s="77"/>
      <c r="G26" s="245"/>
      <c r="H26" s="245"/>
      <c r="I26" s="245"/>
      <c r="J26" s="77"/>
      <c r="K26" s="77"/>
      <c r="L26" s="77"/>
      <c r="M26" s="77"/>
      <c r="N26" s="77"/>
      <c r="O26" s="77"/>
      <c r="P26" s="77"/>
      <c r="Q26" s="245"/>
      <c r="R26" s="245"/>
      <c r="S26" s="245"/>
      <c r="T26" s="245"/>
      <c r="U26" s="245"/>
      <c r="V26" s="7"/>
      <c r="W26" s="7"/>
      <c r="X26" s="81"/>
      <c r="Y26" s="81"/>
      <c r="Z26" s="81"/>
      <c r="AA26" s="81"/>
      <c r="AB26" s="81"/>
      <c r="AC26" s="81"/>
      <c r="AD26" s="81"/>
      <c r="AE26" s="7">
        <f t="shared" si="4"/>
        <v>0</v>
      </c>
    </row>
    <row r="27" spans="1:31" ht="15.75">
      <c r="A27" s="425">
        <v>4</v>
      </c>
      <c r="B27" s="427" t="s">
        <v>220</v>
      </c>
      <c r="C27" s="245" t="s">
        <v>24</v>
      </c>
      <c r="D27" s="77">
        <v>2</v>
      </c>
      <c r="E27" s="77">
        <v>2</v>
      </c>
      <c r="F27" s="77">
        <v>2</v>
      </c>
      <c r="G27" s="245">
        <v>2</v>
      </c>
      <c r="H27" s="245">
        <v>2</v>
      </c>
      <c r="I27" s="245">
        <v>2</v>
      </c>
      <c r="J27" s="77">
        <v>2</v>
      </c>
      <c r="K27" s="77">
        <v>2</v>
      </c>
      <c r="L27" s="77">
        <v>2</v>
      </c>
      <c r="M27" s="77">
        <v>2</v>
      </c>
      <c r="N27" s="77">
        <v>2</v>
      </c>
      <c r="O27" s="77">
        <v>2</v>
      </c>
      <c r="P27" s="77">
        <v>2</v>
      </c>
      <c r="Q27" s="245">
        <v>2</v>
      </c>
      <c r="R27" s="245">
        <v>2</v>
      </c>
      <c r="S27" s="245">
        <v>2</v>
      </c>
      <c r="T27" s="245">
        <v>2</v>
      </c>
      <c r="U27" s="245">
        <v>2</v>
      </c>
      <c r="V27" s="7">
        <v>2</v>
      </c>
      <c r="W27" s="7">
        <v>2</v>
      </c>
      <c r="X27" s="81">
        <v>2</v>
      </c>
      <c r="Y27" s="81">
        <v>2</v>
      </c>
      <c r="Z27" s="81">
        <v>2</v>
      </c>
      <c r="AA27" s="81">
        <v>2</v>
      </c>
      <c r="AB27" s="81">
        <v>2</v>
      </c>
      <c r="AC27" s="81">
        <v>2</v>
      </c>
      <c r="AD27" s="81">
        <v>2</v>
      </c>
      <c r="AE27" s="7">
        <f t="shared" si="4"/>
        <v>54</v>
      </c>
    </row>
    <row r="28" spans="1:31" ht="15.75">
      <c r="A28" s="425"/>
      <c r="B28" s="427"/>
      <c r="C28" s="245" t="s">
        <v>25</v>
      </c>
      <c r="D28" s="77"/>
      <c r="E28" s="77"/>
      <c r="F28" s="77"/>
      <c r="G28" s="245"/>
      <c r="H28" s="245"/>
      <c r="I28" s="245"/>
      <c r="J28" s="77"/>
      <c r="K28" s="77"/>
      <c r="L28" s="77"/>
      <c r="M28" s="77"/>
      <c r="N28" s="77"/>
      <c r="O28" s="77"/>
      <c r="P28" s="77"/>
      <c r="Q28" s="245"/>
      <c r="R28" s="245"/>
      <c r="S28" s="245"/>
      <c r="T28" s="245"/>
      <c r="U28" s="245"/>
      <c r="V28" s="7"/>
      <c r="W28" s="7"/>
      <c r="X28" s="81"/>
      <c r="Y28" s="81"/>
      <c r="Z28" s="81"/>
      <c r="AA28" s="81"/>
      <c r="AB28" s="81"/>
      <c r="AC28" s="81"/>
      <c r="AD28" s="81"/>
      <c r="AE28" s="7">
        <f t="shared" si="4"/>
        <v>0</v>
      </c>
    </row>
    <row r="29" spans="1:31" ht="15.75">
      <c r="A29" s="425">
        <v>5</v>
      </c>
      <c r="B29" s="427" t="s">
        <v>306</v>
      </c>
      <c r="C29" s="245" t="s">
        <v>24</v>
      </c>
      <c r="D29" s="77">
        <v>1</v>
      </c>
      <c r="E29" s="77">
        <v>1</v>
      </c>
      <c r="F29" s="77">
        <v>1</v>
      </c>
      <c r="G29" s="245">
        <v>1</v>
      </c>
      <c r="H29" s="248">
        <v>1</v>
      </c>
      <c r="I29" s="248">
        <v>1</v>
      </c>
      <c r="J29" s="77">
        <v>1</v>
      </c>
      <c r="K29" s="77">
        <v>1</v>
      </c>
      <c r="L29" s="77">
        <v>1</v>
      </c>
      <c r="M29" s="77">
        <v>1</v>
      </c>
      <c r="N29" s="77">
        <v>1</v>
      </c>
      <c r="O29" s="77">
        <v>1</v>
      </c>
      <c r="P29" s="77">
        <v>1</v>
      </c>
      <c r="Q29" s="245">
        <v>1</v>
      </c>
      <c r="R29" s="248">
        <v>1</v>
      </c>
      <c r="S29" s="248">
        <v>1</v>
      </c>
      <c r="T29" s="248">
        <v>1</v>
      </c>
      <c r="U29" s="248">
        <v>1</v>
      </c>
      <c r="V29" s="248">
        <v>1</v>
      </c>
      <c r="W29" s="248">
        <v>1</v>
      </c>
      <c r="X29" s="81">
        <v>1</v>
      </c>
      <c r="Y29" s="81">
        <v>1</v>
      </c>
      <c r="Z29" s="81">
        <v>1</v>
      </c>
      <c r="AA29" s="81">
        <v>1</v>
      </c>
      <c r="AB29" s="81">
        <v>1</v>
      </c>
      <c r="AC29" s="81">
        <v>1</v>
      </c>
      <c r="AD29" s="81">
        <v>1</v>
      </c>
      <c r="AE29" s="7">
        <f t="shared" si="4"/>
        <v>27</v>
      </c>
    </row>
    <row r="30" spans="1:31" ht="15.75">
      <c r="A30" s="425"/>
      <c r="B30" s="427"/>
      <c r="C30" s="245" t="s">
        <v>25</v>
      </c>
      <c r="D30" s="77"/>
      <c r="E30" s="77"/>
      <c r="F30" s="77"/>
      <c r="G30" s="245"/>
      <c r="H30" s="245"/>
      <c r="I30" s="245"/>
      <c r="J30" s="77"/>
      <c r="K30" s="77"/>
      <c r="L30" s="77"/>
      <c r="M30" s="77"/>
      <c r="N30" s="77"/>
      <c r="O30" s="77"/>
      <c r="P30" s="77"/>
      <c r="Q30" s="245"/>
      <c r="R30" s="7"/>
      <c r="S30" s="7"/>
      <c r="T30" s="7"/>
      <c r="U30" s="7"/>
      <c r="V30" s="7"/>
      <c r="W30" s="7"/>
      <c r="X30" s="81"/>
      <c r="Y30" s="81"/>
      <c r="Z30" s="81"/>
      <c r="AA30" s="81"/>
      <c r="AB30" s="81"/>
      <c r="AC30" s="81"/>
      <c r="AD30" s="81"/>
      <c r="AE30" s="7">
        <f t="shared" si="4"/>
        <v>0</v>
      </c>
    </row>
    <row r="31" spans="1:31" ht="15.75">
      <c r="A31" s="425" t="s">
        <v>163</v>
      </c>
      <c r="B31" s="425"/>
      <c r="C31" s="425"/>
      <c r="D31" s="77">
        <f>D23+D25+D27+D29</f>
        <v>26626</v>
      </c>
      <c r="E31" s="77">
        <f t="shared" ref="E31:AE31" si="5">E23+E25+E27+E29</f>
        <v>26626</v>
      </c>
      <c r="F31" s="77">
        <f t="shared" si="5"/>
        <v>26626</v>
      </c>
      <c r="G31" s="77">
        <f t="shared" si="5"/>
        <v>26054</v>
      </c>
      <c r="H31" s="77">
        <f t="shared" si="5"/>
        <v>26054</v>
      </c>
      <c r="I31" s="77">
        <f t="shared" si="5"/>
        <v>26054</v>
      </c>
      <c r="J31" s="77">
        <f t="shared" si="5"/>
        <v>25695</v>
      </c>
      <c r="K31" s="77">
        <f t="shared" si="5"/>
        <v>25695</v>
      </c>
      <c r="L31" s="77">
        <f t="shared" si="5"/>
        <v>25695</v>
      </c>
      <c r="M31" s="77">
        <f t="shared" si="5"/>
        <v>25695</v>
      </c>
      <c r="N31" s="77">
        <f t="shared" si="5"/>
        <v>25695</v>
      </c>
      <c r="O31" s="77">
        <f t="shared" si="5"/>
        <v>23776</v>
      </c>
      <c r="P31" s="77">
        <f t="shared" si="5"/>
        <v>1405</v>
      </c>
      <c r="Q31" s="77">
        <f t="shared" si="5"/>
        <v>24235</v>
      </c>
      <c r="R31" s="77">
        <f t="shared" si="5"/>
        <v>24235</v>
      </c>
      <c r="S31" s="77">
        <f t="shared" si="5"/>
        <v>24235</v>
      </c>
      <c r="T31" s="77">
        <f t="shared" si="5"/>
        <v>24235</v>
      </c>
      <c r="U31" s="77">
        <f t="shared" si="5"/>
        <v>24235</v>
      </c>
      <c r="V31" s="77">
        <f t="shared" si="5"/>
        <v>22369</v>
      </c>
      <c r="W31" s="77">
        <f t="shared" si="5"/>
        <v>1350</v>
      </c>
      <c r="X31" s="77">
        <f t="shared" si="5"/>
        <v>23129</v>
      </c>
      <c r="Y31" s="77">
        <f t="shared" si="5"/>
        <v>23129</v>
      </c>
      <c r="Z31" s="77">
        <f t="shared" si="5"/>
        <v>23129</v>
      </c>
      <c r="AA31" s="77">
        <f t="shared" si="5"/>
        <v>23129</v>
      </c>
      <c r="AB31" s="77">
        <f t="shared" si="5"/>
        <v>23129</v>
      </c>
      <c r="AC31" s="77">
        <f t="shared" si="5"/>
        <v>21261</v>
      </c>
      <c r="AD31" s="77">
        <f t="shared" si="5"/>
        <v>1375</v>
      </c>
      <c r="AE31" s="77">
        <f t="shared" si="5"/>
        <v>594871</v>
      </c>
    </row>
    <row r="32" spans="1:31" ht="15.75">
      <c r="A32" s="425" t="s">
        <v>164</v>
      </c>
      <c r="B32" s="425"/>
      <c r="C32" s="425"/>
      <c r="D32" s="77">
        <f>D24+D26+D28+D30</f>
        <v>0</v>
      </c>
      <c r="E32" s="77">
        <f t="shared" ref="E32:AE32" si="6">E24+E26+E28+E30</f>
        <v>0</v>
      </c>
      <c r="F32" s="77">
        <f t="shared" si="6"/>
        <v>0</v>
      </c>
      <c r="G32" s="77">
        <f t="shared" si="6"/>
        <v>0</v>
      </c>
      <c r="H32" s="77">
        <f t="shared" si="6"/>
        <v>0</v>
      </c>
      <c r="I32" s="77">
        <f t="shared" si="6"/>
        <v>0</v>
      </c>
      <c r="J32" s="77">
        <f t="shared" si="6"/>
        <v>0</v>
      </c>
      <c r="K32" s="77">
        <f t="shared" si="6"/>
        <v>0</v>
      </c>
      <c r="L32" s="77">
        <f t="shared" si="6"/>
        <v>0</v>
      </c>
      <c r="M32" s="77">
        <f t="shared" si="6"/>
        <v>0</v>
      </c>
      <c r="N32" s="77">
        <f t="shared" si="6"/>
        <v>0</v>
      </c>
      <c r="O32" s="77">
        <f t="shared" si="6"/>
        <v>0</v>
      </c>
      <c r="P32" s="77">
        <f t="shared" si="6"/>
        <v>0</v>
      </c>
      <c r="Q32" s="77">
        <f t="shared" si="6"/>
        <v>0</v>
      </c>
      <c r="R32" s="77">
        <f t="shared" si="6"/>
        <v>0</v>
      </c>
      <c r="S32" s="77">
        <f t="shared" si="6"/>
        <v>0</v>
      </c>
      <c r="T32" s="77">
        <f t="shared" si="6"/>
        <v>0</v>
      </c>
      <c r="U32" s="77">
        <f t="shared" si="6"/>
        <v>0</v>
      </c>
      <c r="V32" s="77">
        <f t="shared" si="6"/>
        <v>0</v>
      </c>
      <c r="W32" s="77">
        <f t="shared" si="6"/>
        <v>0</v>
      </c>
      <c r="X32" s="77">
        <f t="shared" si="6"/>
        <v>0</v>
      </c>
      <c r="Y32" s="77">
        <f t="shared" si="6"/>
        <v>0</v>
      </c>
      <c r="Z32" s="77">
        <f t="shared" si="6"/>
        <v>0</v>
      </c>
      <c r="AA32" s="77">
        <f t="shared" si="6"/>
        <v>0</v>
      </c>
      <c r="AB32" s="77">
        <f t="shared" si="6"/>
        <v>0</v>
      </c>
      <c r="AC32" s="77">
        <f t="shared" si="6"/>
        <v>0</v>
      </c>
      <c r="AD32" s="77">
        <f t="shared" si="6"/>
        <v>0</v>
      </c>
      <c r="AE32" s="77">
        <f t="shared" si="6"/>
        <v>0</v>
      </c>
    </row>
    <row r="33" spans="1:31" ht="15.75">
      <c r="A33" s="425" t="s">
        <v>70</v>
      </c>
      <c r="B33" s="425"/>
      <c r="C33" s="425"/>
      <c r="D33" s="77">
        <f>D31-D32</f>
        <v>26626</v>
      </c>
      <c r="E33" s="77">
        <f t="shared" ref="E33" si="7">E31-E32</f>
        <v>26626</v>
      </c>
      <c r="F33" s="77">
        <f t="shared" ref="F33" si="8">F31-F32</f>
        <v>26626</v>
      </c>
      <c r="G33" s="77">
        <f t="shared" ref="G33" si="9">G31-G32</f>
        <v>26054</v>
      </c>
      <c r="H33" s="77">
        <f t="shared" ref="H33" si="10">H31-H32</f>
        <v>26054</v>
      </c>
      <c r="I33" s="77">
        <f t="shared" ref="I33" si="11">I31-I32</f>
        <v>26054</v>
      </c>
      <c r="J33" s="77">
        <f t="shared" ref="J33" si="12">J31-J32</f>
        <v>25695</v>
      </c>
      <c r="K33" s="77">
        <f t="shared" ref="K33" si="13">K31-K32</f>
        <v>25695</v>
      </c>
      <c r="L33" s="77">
        <f t="shared" ref="L33" si="14">L31-L32</f>
        <v>25695</v>
      </c>
      <c r="M33" s="77">
        <f t="shared" ref="M33" si="15">M31-M32</f>
        <v>25695</v>
      </c>
      <c r="N33" s="77">
        <f t="shared" ref="N33" si="16">N31-N32</f>
        <v>25695</v>
      </c>
      <c r="O33" s="77">
        <f t="shared" ref="O33" si="17">O31-O32</f>
        <v>23776</v>
      </c>
      <c r="P33" s="77">
        <f t="shared" ref="P33" si="18">P31-P32</f>
        <v>1405</v>
      </c>
      <c r="Q33" s="77">
        <f t="shared" ref="Q33" si="19">Q31-Q32</f>
        <v>24235</v>
      </c>
      <c r="R33" s="77">
        <f t="shared" ref="R33" si="20">R31-R32</f>
        <v>24235</v>
      </c>
      <c r="S33" s="77">
        <f t="shared" ref="S33" si="21">S31-S32</f>
        <v>24235</v>
      </c>
      <c r="T33" s="77">
        <f t="shared" ref="T33" si="22">T31-T32</f>
        <v>24235</v>
      </c>
      <c r="U33" s="77">
        <f t="shared" ref="U33" si="23">U31-U32</f>
        <v>24235</v>
      </c>
      <c r="V33" s="77">
        <f t="shared" ref="V33" si="24">V31-V32</f>
        <v>22369</v>
      </c>
      <c r="W33" s="77">
        <f t="shared" ref="W33" si="25">W31-W32</f>
        <v>1350</v>
      </c>
      <c r="X33" s="77">
        <f t="shared" ref="X33" si="26">X31-X32</f>
        <v>23129</v>
      </c>
      <c r="Y33" s="77">
        <f t="shared" ref="Y33" si="27">Y31-Y32</f>
        <v>23129</v>
      </c>
      <c r="Z33" s="77">
        <f t="shared" ref="Z33" si="28">Z31-Z32</f>
        <v>23129</v>
      </c>
      <c r="AA33" s="77">
        <f t="shared" ref="AA33" si="29">AA31-AA32</f>
        <v>23129</v>
      </c>
      <c r="AB33" s="77">
        <f t="shared" ref="AB33" si="30">AB31-AB32</f>
        <v>23129</v>
      </c>
      <c r="AC33" s="77">
        <f t="shared" ref="AC33" si="31">AC31-AC32</f>
        <v>21261</v>
      </c>
      <c r="AD33" s="77">
        <f t="shared" ref="AD33" si="32">AD31-AD32</f>
        <v>1375</v>
      </c>
      <c r="AE33" s="77">
        <f t="shared" ref="AE33" si="33">AE31-AE32</f>
        <v>594871</v>
      </c>
    </row>
    <row r="34" spans="1:31"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</sheetData>
  <mergeCells count="46">
    <mergeCell ref="A6:A7"/>
    <mergeCell ref="B6:B7"/>
    <mergeCell ref="A8:A9"/>
    <mergeCell ref="B8:B9"/>
    <mergeCell ref="A1:AE1"/>
    <mergeCell ref="A2:AE2"/>
    <mergeCell ref="A3:AB3"/>
    <mergeCell ref="AC3:AE3"/>
    <mergeCell ref="A4:A5"/>
    <mergeCell ref="B4:C5"/>
    <mergeCell ref="D4:F4"/>
    <mergeCell ref="G4:I4"/>
    <mergeCell ref="J4:P4"/>
    <mergeCell ref="Q4:W4"/>
    <mergeCell ref="X4:AD4"/>
    <mergeCell ref="AE4:AE5"/>
    <mergeCell ref="A16:C16"/>
    <mergeCell ref="A17:C17"/>
    <mergeCell ref="A18:C18"/>
    <mergeCell ref="A10:A11"/>
    <mergeCell ref="B10:B11"/>
    <mergeCell ref="A12:A13"/>
    <mergeCell ref="B12:B13"/>
    <mergeCell ref="A14:A15"/>
    <mergeCell ref="B14:B15"/>
    <mergeCell ref="AC20:AE20"/>
    <mergeCell ref="A21:A22"/>
    <mergeCell ref="B21:C22"/>
    <mergeCell ref="D21:F21"/>
    <mergeCell ref="G21:I21"/>
    <mergeCell ref="J21:P21"/>
    <mergeCell ref="Q21:W21"/>
    <mergeCell ref="X21:AD21"/>
    <mergeCell ref="AE21:AE22"/>
    <mergeCell ref="A23:A24"/>
    <mergeCell ref="B23:B24"/>
    <mergeCell ref="A25:A26"/>
    <mergeCell ref="B25:B26"/>
    <mergeCell ref="A20:AB20"/>
    <mergeCell ref="A32:C32"/>
    <mergeCell ref="A33:C33"/>
    <mergeCell ref="A27:A28"/>
    <mergeCell ref="B27:B28"/>
    <mergeCell ref="A29:A30"/>
    <mergeCell ref="B29:B30"/>
    <mergeCell ref="A31:C31"/>
  </mergeCells>
  <pageMargins left="0.7" right="0.7" top="0.75" bottom="0.75" header="0.3" footer="0.3"/>
  <pageSetup paperSize="9"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FF00"/>
  </sheetPr>
  <dimension ref="A1:X75"/>
  <sheetViews>
    <sheetView topLeftCell="A52" workbookViewId="0">
      <selection activeCell="L85" sqref="L85"/>
    </sheetView>
  </sheetViews>
  <sheetFormatPr defaultRowHeight="15.75"/>
  <cols>
    <col min="1" max="1" width="3.28515625" style="1" bestFit="1" customWidth="1"/>
    <col min="2" max="2" width="8.7109375" style="1" customWidth="1"/>
    <col min="3" max="3" width="9.140625" style="1"/>
    <col min="4" max="4" width="6.7109375" style="1" bestFit="1" customWidth="1"/>
    <col min="5" max="6" width="6.140625" style="1" customWidth="1"/>
    <col min="7" max="7" width="6.7109375" style="1" customWidth="1"/>
    <col min="8" max="8" width="6.85546875" style="1" customWidth="1"/>
    <col min="9" max="9" width="6.5703125" style="1" customWidth="1"/>
    <col min="10" max="11" width="6.7109375" style="1" bestFit="1" customWidth="1"/>
    <col min="12" max="12" width="7" style="1" bestFit="1" customWidth="1"/>
    <col min="13" max="15" width="6.7109375" style="1" bestFit="1" customWidth="1"/>
    <col min="16" max="22" width="6.5703125" style="1" bestFit="1" customWidth="1"/>
    <col min="23" max="23" width="6.7109375" style="1" bestFit="1" customWidth="1"/>
    <col min="24" max="24" width="9.140625" style="1"/>
  </cols>
  <sheetData>
    <row r="1" spans="1:24" ht="19.5">
      <c r="A1" s="533" t="s">
        <v>545</v>
      </c>
      <c r="B1" s="533"/>
      <c r="C1" s="533"/>
      <c r="D1" s="533"/>
      <c r="E1" s="533"/>
      <c r="F1" s="533"/>
      <c r="G1" s="533"/>
      <c r="H1" s="533"/>
      <c r="I1" s="533"/>
      <c r="J1" s="533"/>
      <c r="K1" s="533"/>
      <c r="L1" s="533"/>
      <c r="M1" s="533"/>
      <c r="N1" s="533"/>
      <c r="O1" s="533"/>
      <c r="P1" s="533"/>
      <c r="Q1" s="533"/>
      <c r="R1" s="533"/>
      <c r="S1" s="533"/>
      <c r="T1" s="533"/>
      <c r="U1" s="533"/>
      <c r="V1" s="533"/>
      <c r="W1" s="533"/>
      <c r="X1" s="533"/>
    </row>
    <row r="2" spans="1:24">
      <c r="A2" s="534" t="s">
        <v>15</v>
      </c>
      <c r="B2" s="535" t="s">
        <v>80</v>
      </c>
      <c r="C2" s="256" t="s">
        <v>81</v>
      </c>
      <c r="D2" s="534" t="s">
        <v>61</v>
      </c>
      <c r="E2" s="534"/>
      <c r="F2" s="534"/>
      <c r="G2" s="534"/>
      <c r="H2" s="534"/>
      <c r="I2" s="534"/>
      <c r="J2" s="534" t="s">
        <v>62</v>
      </c>
      <c r="K2" s="534"/>
      <c r="L2" s="534"/>
      <c r="M2" s="534"/>
      <c r="N2" s="534"/>
      <c r="O2" s="534"/>
      <c r="P2" s="534" t="s">
        <v>63</v>
      </c>
      <c r="Q2" s="534"/>
      <c r="R2" s="534"/>
      <c r="S2" s="534"/>
      <c r="T2" s="534"/>
      <c r="U2" s="534"/>
      <c r="V2" s="534"/>
      <c r="W2" s="534"/>
      <c r="X2" s="534" t="s">
        <v>34</v>
      </c>
    </row>
    <row r="3" spans="1:24">
      <c r="A3" s="534"/>
      <c r="B3" s="535"/>
      <c r="C3" s="256" t="s">
        <v>64</v>
      </c>
      <c r="D3" s="256" t="s">
        <v>26</v>
      </c>
      <c r="E3" s="256" t="s">
        <v>27</v>
      </c>
      <c r="F3" s="256" t="s">
        <v>28</v>
      </c>
      <c r="G3" s="256" t="s">
        <v>29</v>
      </c>
      <c r="H3" s="256" t="s">
        <v>30</v>
      </c>
      <c r="I3" s="256" t="s">
        <v>31</v>
      </c>
      <c r="J3" s="256" t="s">
        <v>26</v>
      </c>
      <c r="K3" s="256" t="s">
        <v>27</v>
      </c>
      <c r="L3" s="256" t="s">
        <v>31</v>
      </c>
      <c r="M3" s="256" t="s">
        <v>28</v>
      </c>
      <c r="N3" s="256" t="s">
        <v>29</v>
      </c>
      <c r="O3" s="256" t="s">
        <v>60</v>
      </c>
      <c r="P3" s="256" t="s">
        <v>26</v>
      </c>
      <c r="Q3" s="256" t="s">
        <v>27</v>
      </c>
      <c r="R3" s="256" t="s">
        <v>31</v>
      </c>
      <c r="S3" s="256" t="s">
        <v>32</v>
      </c>
      <c r="T3" s="256" t="s">
        <v>33</v>
      </c>
      <c r="U3" s="256" t="s">
        <v>28</v>
      </c>
      <c r="V3" s="256" t="s">
        <v>29</v>
      </c>
      <c r="W3" s="256" t="s">
        <v>30</v>
      </c>
      <c r="X3" s="534"/>
    </row>
    <row r="4" spans="1:24">
      <c r="A4" s="458">
        <v>1</v>
      </c>
      <c r="B4" s="460" t="s">
        <v>546</v>
      </c>
      <c r="C4" s="2" t="s">
        <v>24</v>
      </c>
      <c r="D4" s="81">
        <v>2900</v>
      </c>
      <c r="E4" s="81">
        <v>2900</v>
      </c>
      <c r="F4" s="81">
        <v>2900</v>
      </c>
      <c r="G4" s="81">
        <v>2900</v>
      </c>
      <c r="H4" s="81">
        <v>2900</v>
      </c>
      <c r="I4" s="81">
        <v>2900</v>
      </c>
      <c r="J4" s="2">
        <v>2600</v>
      </c>
      <c r="K4" s="2">
        <v>2600</v>
      </c>
      <c r="L4" s="2">
        <v>2600</v>
      </c>
      <c r="M4" s="2">
        <v>2600</v>
      </c>
      <c r="N4" s="2">
        <v>2600</v>
      </c>
      <c r="O4" s="2">
        <v>2600</v>
      </c>
      <c r="P4" s="81">
        <v>2500</v>
      </c>
      <c r="Q4" s="81">
        <v>2500</v>
      </c>
      <c r="R4" s="81">
        <v>2500</v>
      </c>
      <c r="S4" s="81">
        <v>2500</v>
      </c>
      <c r="T4" s="81">
        <v>2500</v>
      </c>
      <c r="U4" s="81">
        <v>2500</v>
      </c>
      <c r="V4" s="81">
        <v>2500</v>
      </c>
      <c r="W4" s="81">
        <v>2500</v>
      </c>
      <c r="X4" s="2">
        <f>SUM(D4:W4)</f>
        <v>53000</v>
      </c>
    </row>
    <row r="5" spans="1:24">
      <c r="A5" s="458"/>
      <c r="B5" s="460"/>
      <c r="C5" s="2" t="s">
        <v>25</v>
      </c>
      <c r="D5" s="81"/>
      <c r="E5" s="81"/>
      <c r="F5" s="81"/>
      <c r="G5" s="81"/>
      <c r="H5" s="81"/>
      <c r="I5" s="81"/>
      <c r="J5" s="2"/>
      <c r="K5" s="2"/>
      <c r="L5" s="2"/>
      <c r="M5" s="2"/>
      <c r="N5" s="2"/>
      <c r="O5" s="2"/>
      <c r="P5" s="81"/>
      <c r="Q5" s="81"/>
      <c r="R5" s="81"/>
      <c r="S5" s="81"/>
      <c r="T5" s="81"/>
      <c r="U5" s="81"/>
      <c r="V5" s="81"/>
      <c r="W5" s="81"/>
      <c r="X5" s="2">
        <f t="shared" ref="X5:X68" si="0">SUM(D5:W5)</f>
        <v>0</v>
      </c>
    </row>
    <row r="6" spans="1:24">
      <c r="A6" s="458">
        <v>2</v>
      </c>
      <c r="B6" s="460" t="s">
        <v>547</v>
      </c>
      <c r="C6" s="2" t="s">
        <v>24</v>
      </c>
      <c r="D6" s="81">
        <v>2000</v>
      </c>
      <c r="E6" s="81">
        <v>2000</v>
      </c>
      <c r="F6" s="81">
        <v>2000</v>
      </c>
      <c r="G6" s="81">
        <v>2000</v>
      </c>
      <c r="H6" s="81">
        <v>2000</v>
      </c>
      <c r="I6" s="81">
        <v>2000</v>
      </c>
      <c r="J6" s="2">
        <v>1800</v>
      </c>
      <c r="K6" s="2">
        <v>1800</v>
      </c>
      <c r="L6" s="2">
        <v>1800</v>
      </c>
      <c r="M6" s="2">
        <v>1800</v>
      </c>
      <c r="N6" s="2">
        <v>1800</v>
      </c>
      <c r="O6" s="2">
        <v>1800</v>
      </c>
      <c r="P6" s="81">
        <v>1750</v>
      </c>
      <c r="Q6" s="81">
        <v>1750</v>
      </c>
      <c r="R6" s="81">
        <v>1750</v>
      </c>
      <c r="S6" s="81">
        <v>1750</v>
      </c>
      <c r="T6" s="81">
        <v>1750</v>
      </c>
      <c r="U6" s="81">
        <v>1750</v>
      </c>
      <c r="V6" s="81">
        <v>1750</v>
      </c>
      <c r="W6" s="81">
        <v>1750</v>
      </c>
      <c r="X6" s="2">
        <f t="shared" si="0"/>
        <v>36800</v>
      </c>
    </row>
    <row r="7" spans="1:24">
      <c r="A7" s="458"/>
      <c r="B7" s="460"/>
      <c r="C7" s="2" t="s">
        <v>25</v>
      </c>
      <c r="D7" s="81"/>
      <c r="E7" s="81"/>
      <c r="F7" s="81"/>
      <c r="G7" s="81"/>
      <c r="H7" s="81"/>
      <c r="I7" s="81"/>
      <c r="J7" s="2"/>
      <c r="K7" s="2"/>
      <c r="L7" s="2"/>
      <c r="M7" s="2"/>
      <c r="N7" s="2"/>
      <c r="O7" s="2"/>
      <c r="P7" s="81"/>
      <c r="Q7" s="81"/>
      <c r="R7" s="81"/>
      <c r="S7" s="81"/>
      <c r="T7" s="81"/>
      <c r="U7" s="81"/>
      <c r="V7" s="81"/>
      <c r="W7" s="81"/>
      <c r="X7" s="2">
        <f t="shared" si="0"/>
        <v>0</v>
      </c>
    </row>
    <row r="8" spans="1:24">
      <c r="A8" s="458">
        <v>3</v>
      </c>
      <c r="B8" s="460" t="s">
        <v>548</v>
      </c>
      <c r="C8" s="2" t="s">
        <v>24</v>
      </c>
      <c r="D8" s="81">
        <v>1400</v>
      </c>
      <c r="E8" s="81">
        <v>1400</v>
      </c>
      <c r="F8" s="81">
        <v>1400</v>
      </c>
      <c r="G8" s="81">
        <v>1400</v>
      </c>
      <c r="H8" s="81">
        <v>1400</v>
      </c>
      <c r="I8" s="81">
        <v>1400</v>
      </c>
      <c r="J8" s="2">
        <v>1250</v>
      </c>
      <c r="K8" s="2">
        <v>1250</v>
      </c>
      <c r="L8" s="2">
        <v>1250</v>
      </c>
      <c r="M8" s="2">
        <v>1250</v>
      </c>
      <c r="N8" s="2">
        <v>1250</v>
      </c>
      <c r="O8" s="2">
        <v>1250</v>
      </c>
      <c r="P8" s="81">
        <v>1300</v>
      </c>
      <c r="Q8" s="81">
        <v>1300</v>
      </c>
      <c r="R8" s="81">
        <v>1300</v>
      </c>
      <c r="S8" s="81">
        <v>1300</v>
      </c>
      <c r="T8" s="81">
        <v>1300</v>
      </c>
      <c r="U8" s="81">
        <v>1300</v>
      </c>
      <c r="V8" s="81">
        <v>1300</v>
      </c>
      <c r="W8" s="81">
        <v>1300</v>
      </c>
      <c r="X8" s="2">
        <f t="shared" si="0"/>
        <v>26300</v>
      </c>
    </row>
    <row r="9" spans="1:24">
      <c r="A9" s="458"/>
      <c r="B9" s="460"/>
      <c r="C9" s="2" t="s">
        <v>25</v>
      </c>
      <c r="D9" s="81"/>
      <c r="E9" s="81"/>
      <c r="F9" s="81"/>
      <c r="G9" s="81"/>
      <c r="H9" s="81"/>
      <c r="I9" s="81"/>
      <c r="J9" s="2"/>
      <c r="K9" s="2"/>
      <c r="L9" s="2"/>
      <c r="M9" s="2"/>
      <c r="N9" s="2"/>
      <c r="O9" s="2"/>
      <c r="P9" s="81"/>
      <c r="Q9" s="81"/>
      <c r="R9" s="81"/>
      <c r="S9" s="81"/>
      <c r="T9" s="81"/>
      <c r="U9" s="81"/>
      <c r="V9" s="81"/>
      <c r="W9" s="81"/>
      <c r="X9" s="2">
        <f t="shared" si="0"/>
        <v>0</v>
      </c>
    </row>
    <row r="10" spans="1:24">
      <c r="A10" s="458">
        <v>4</v>
      </c>
      <c r="B10" s="460" t="s">
        <v>549</v>
      </c>
      <c r="C10" s="2" t="s">
        <v>24</v>
      </c>
      <c r="D10" s="81">
        <v>1800</v>
      </c>
      <c r="E10" s="81">
        <v>1800</v>
      </c>
      <c r="F10" s="81">
        <v>1800</v>
      </c>
      <c r="G10" s="81">
        <v>1800</v>
      </c>
      <c r="H10" s="81">
        <v>1800</v>
      </c>
      <c r="I10" s="81">
        <v>1800</v>
      </c>
      <c r="J10" s="2">
        <v>1800</v>
      </c>
      <c r="K10" s="2">
        <v>1800</v>
      </c>
      <c r="L10" s="2">
        <v>1800</v>
      </c>
      <c r="M10" s="2">
        <v>1800</v>
      </c>
      <c r="N10" s="2">
        <v>1800</v>
      </c>
      <c r="O10" s="2">
        <v>1800</v>
      </c>
      <c r="P10" s="81">
        <v>1900</v>
      </c>
      <c r="Q10" s="81">
        <v>1900</v>
      </c>
      <c r="R10" s="81">
        <v>1900</v>
      </c>
      <c r="S10" s="81">
        <v>1900</v>
      </c>
      <c r="T10" s="81">
        <v>1900</v>
      </c>
      <c r="U10" s="81">
        <v>1900</v>
      </c>
      <c r="V10" s="81">
        <v>1900</v>
      </c>
      <c r="W10" s="81">
        <v>1900</v>
      </c>
      <c r="X10" s="2">
        <f t="shared" si="0"/>
        <v>36800</v>
      </c>
    </row>
    <row r="11" spans="1:24">
      <c r="A11" s="458"/>
      <c r="B11" s="460"/>
      <c r="C11" s="2" t="s">
        <v>25</v>
      </c>
      <c r="D11" s="81"/>
      <c r="E11" s="81"/>
      <c r="F11" s="81"/>
      <c r="G11" s="81"/>
      <c r="H11" s="81"/>
      <c r="I11" s="81"/>
      <c r="J11" s="2"/>
      <c r="K11" s="2"/>
      <c r="L11" s="2"/>
      <c r="M11" s="2"/>
      <c r="N11" s="2"/>
      <c r="O11" s="2"/>
      <c r="P11" s="81"/>
      <c r="Q11" s="81"/>
      <c r="R11" s="81"/>
      <c r="S11" s="81"/>
      <c r="T11" s="81"/>
      <c r="U11" s="81"/>
      <c r="V11" s="81"/>
      <c r="W11" s="81"/>
      <c r="X11" s="2">
        <f t="shared" si="0"/>
        <v>0</v>
      </c>
    </row>
    <row r="12" spans="1:24">
      <c r="A12" s="458">
        <v>5</v>
      </c>
      <c r="B12" s="460" t="s">
        <v>550</v>
      </c>
      <c r="C12" s="2" t="s">
        <v>24</v>
      </c>
      <c r="D12" s="81">
        <v>1200</v>
      </c>
      <c r="E12" s="81">
        <v>1200</v>
      </c>
      <c r="F12" s="81">
        <v>1200</v>
      </c>
      <c r="G12" s="81">
        <v>1200</v>
      </c>
      <c r="H12" s="81">
        <v>1200</v>
      </c>
      <c r="I12" s="81">
        <v>1200</v>
      </c>
      <c r="J12" s="2">
        <v>1125</v>
      </c>
      <c r="K12" s="2">
        <v>1125</v>
      </c>
      <c r="L12" s="2">
        <v>1125</v>
      </c>
      <c r="M12" s="2">
        <v>1125</v>
      </c>
      <c r="N12" s="2">
        <v>1125</v>
      </c>
      <c r="O12" s="2">
        <v>1125</v>
      </c>
      <c r="P12" s="81">
        <v>1050</v>
      </c>
      <c r="Q12" s="81">
        <v>1050</v>
      </c>
      <c r="R12" s="81">
        <v>1050</v>
      </c>
      <c r="S12" s="81">
        <v>1050</v>
      </c>
      <c r="T12" s="81">
        <v>1050</v>
      </c>
      <c r="U12" s="81">
        <v>1050</v>
      </c>
      <c r="V12" s="81">
        <v>1050</v>
      </c>
      <c r="W12" s="81">
        <v>1050</v>
      </c>
      <c r="X12" s="2">
        <f t="shared" si="0"/>
        <v>22350</v>
      </c>
    </row>
    <row r="13" spans="1:24">
      <c r="A13" s="458"/>
      <c r="B13" s="460"/>
      <c r="C13" s="2" t="s">
        <v>25</v>
      </c>
      <c r="D13" s="81"/>
      <c r="E13" s="81"/>
      <c r="F13" s="81"/>
      <c r="G13" s="81"/>
      <c r="H13" s="81"/>
      <c r="I13" s="81"/>
      <c r="J13" s="2"/>
      <c r="K13" s="2"/>
      <c r="L13" s="2"/>
      <c r="M13" s="2"/>
      <c r="N13" s="2"/>
      <c r="O13" s="2"/>
      <c r="P13" s="81"/>
      <c r="Q13" s="81"/>
      <c r="R13" s="81"/>
      <c r="S13" s="81"/>
      <c r="T13" s="81"/>
      <c r="U13" s="81"/>
      <c r="V13" s="81"/>
      <c r="W13" s="81"/>
      <c r="X13" s="2">
        <f t="shared" si="0"/>
        <v>0</v>
      </c>
    </row>
    <row r="14" spans="1:24">
      <c r="A14" s="458">
        <v>6</v>
      </c>
      <c r="B14" s="460" t="s">
        <v>551</v>
      </c>
      <c r="C14" s="2" t="s">
        <v>24</v>
      </c>
      <c r="D14" s="81">
        <v>1350</v>
      </c>
      <c r="E14" s="81">
        <v>1350</v>
      </c>
      <c r="F14" s="81">
        <v>1350</v>
      </c>
      <c r="G14" s="81">
        <v>1350</v>
      </c>
      <c r="H14" s="81">
        <v>1350</v>
      </c>
      <c r="I14" s="81">
        <v>1350</v>
      </c>
      <c r="J14" s="2">
        <v>1210</v>
      </c>
      <c r="K14" s="2">
        <v>1210</v>
      </c>
      <c r="L14" s="2">
        <v>1210</v>
      </c>
      <c r="M14" s="2">
        <v>1210</v>
      </c>
      <c r="N14" s="2">
        <v>1210</v>
      </c>
      <c r="O14" s="2">
        <v>1210</v>
      </c>
      <c r="P14" s="81">
        <v>1175</v>
      </c>
      <c r="Q14" s="81">
        <v>1175</v>
      </c>
      <c r="R14" s="81">
        <v>1175</v>
      </c>
      <c r="S14" s="81">
        <v>1175</v>
      </c>
      <c r="T14" s="81">
        <v>1175</v>
      </c>
      <c r="U14" s="81">
        <v>1175</v>
      </c>
      <c r="V14" s="81">
        <v>1175</v>
      </c>
      <c r="W14" s="81">
        <v>1175</v>
      </c>
      <c r="X14" s="2">
        <f t="shared" si="0"/>
        <v>24760</v>
      </c>
    </row>
    <row r="15" spans="1:24">
      <c r="A15" s="458"/>
      <c r="B15" s="460"/>
      <c r="C15" s="2" t="s">
        <v>25</v>
      </c>
      <c r="D15" s="81"/>
      <c r="E15" s="81"/>
      <c r="F15" s="81"/>
      <c r="G15" s="81"/>
      <c r="H15" s="81"/>
      <c r="I15" s="81"/>
      <c r="J15" s="2"/>
      <c r="K15" s="2"/>
      <c r="L15" s="2"/>
      <c r="M15" s="2"/>
      <c r="N15" s="2"/>
      <c r="O15" s="2"/>
      <c r="P15" s="81"/>
      <c r="Q15" s="81"/>
      <c r="R15" s="81"/>
      <c r="S15" s="81"/>
      <c r="T15" s="81"/>
      <c r="U15" s="81"/>
      <c r="V15" s="81"/>
      <c r="W15" s="81"/>
      <c r="X15" s="2">
        <f t="shared" si="0"/>
        <v>0</v>
      </c>
    </row>
    <row r="16" spans="1:24">
      <c r="A16" s="458">
        <v>7</v>
      </c>
      <c r="B16" s="460" t="s">
        <v>552</v>
      </c>
      <c r="C16" s="2" t="s">
        <v>24</v>
      </c>
      <c r="D16" s="81">
        <v>2000</v>
      </c>
      <c r="E16" s="81">
        <v>2000</v>
      </c>
      <c r="F16" s="81">
        <v>2000</v>
      </c>
      <c r="G16" s="81">
        <v>2000</v>
      </c>
      <c r="H16" s="81">
        <v>2000</v>
      </c>
      <c r="I16" s="81">
        <v>2000</v>
      </c>
      <c r="J16" s="2">
        <v>2000</v>
      </c>
      <c r="K16" s="2">
        <v>2000</v>
      </c>
      <c r="L16" s="2">
        <v>2000</v>
      </c>
      <c r="M16" s="2">
        <v>2000</v>
      </c>
      <c r="N16" s="2">
        <v>2000</v>
      </c>
      <c r="O16" s="2">
        <v>2000</v>
      </c>
      <c r="P16" s="81">
        <v>2000</v>
      </c>
      <c r="Q16" s="81">
        <v>2000</v>
      </c>
      <c r="R16" s="81">
        <v>2000</v>
      </c>
      <c r="S16" s="81">
        <v>2000</v>
      </c>
      <c r="T16" s="81">
        <v>2000</v>
      </c>
      <c r="U16" s="81">
        <v>2000</v>
      </c>
      <c r="V16" s="81">
        <v>2000</v>
      </c>
      <c r="W16" s="81">
        <v>2000</v>
      </c>
      <c r="X16" s="2">
        <f t="shared" si="0"/>
        <v>40000</v>
      </c>
    </row>
    <row r="17" spans="1:24">
      <c r="A17" s="458"/>
      <c r="B17" s="460"/>
      <c r="C17" s="2" t="s">
        <v>25</v>
      </c>
      <c r="D17" s="81"/>
      <c r="E17" s="81"/>
      <c r="F17" s="81"/>
      <c r="G17" s="81"/>
      <c r="H17" s="81"/>
      <c r="I17" s="81"/>
      <c r="J17" s="2"/>
      <c r="K17" s="2"/>
      <c r="L17" s="2"/>
      <c r="M17" s="2"/>
      <c r="N17" s="2"/>
      <c r="O17" s="2"/>
      <c r="P17" s="81"/>
      <c r="Q17" s="81"/>
      <c r="R17" s="81"/>
      <c r="S17" s="81"/>
      <c r="T17" s="81"/>
      <c r="U17" s="81"/>
      <c r="V17" s="81"/>
      <c r="W17" s="81"/>
      <c r="X17" s="2">
        <f t="shared" si="0"/>
        <v>0</v>
      </c>
    </row>
    <row r="18" spans="1:24">
      <c r="A18" s="458">
        <v>8</v>
      </c>
      <c r="B18" s="460" t="s">
        <v>553</v>
      </c>
      <c r="C18" s="2" t="s">
        <v>24</v>
      </c>
      <c r="D18" s="81">
        <v>4500</v>
      </c>
      <c r="E18" s="81">
        <v>4500</v>
      </c>
      <c r="F18" s="81">
        <v>4500</v>
      </c>
      <c r="G18" s="81">
        <v>4500</v>
      </c>
      <c r="H18" s="81">
        <v>4500</v>
      </c>
      <c r="I18" s="81">
        <v>4500</v>
      </c>
      <c r="J18" s="2">
        <v>4400</v>
      </c>
      <c r="K18" s="2">
        <v>4400</v>
      </c>
      <c r="L18" s="2">
        <v>4400</v>
      </c>
      <c r="M18" s="2">
        <v>4400</v>
      </c>
      <c r="N18" s="2">
        <v>4400</v>
      </c>
      <c r="O18" s="2">
        <v>4400</v>
      </c>
      <c r="P18" s="81">
        <v>4300</v>
      </c>
      <c r="Q18" s="81">
        <v>4300</v>
      </c>
      <c r="R18" s="81">
        <v>4300</v>
      </c>
      <c r="S18" s="81">
        <v>4300</v>
      </c>
      <c r="T18" s="81">
        <v>4300</v>
      </c>
      <c r="U18" s="81">
        <v>4300</v>
      </c>
      <c r="V18" s="81">
        <v>4300</v>
      </c>
      <c r="W18" s="81">
        <v>4300</v>
      </c>
      <c r="X18" s="2">
        <f t="shared" si="0"/>
        <v>87800</v>
      </c>
    </row>
    <row r="19" spans="1:24">
      <c r="A19" s="458"/>
      <c r="B19" s="460"/>
      <c r="C19" s="2" t="s">
        <v>25</v>
      </c>
      <c r="D19" s="81"/>
      <c r="E19" s="81"/>
      <c r="F19" s="81"/>
      <c r="G19" s="81"/>
      <c r="H19" s="81"/>
      <c r="I19" s="81"/>
      <c r="J19" s="2"/>
      <c r="K19" s="2"/>
      <c r="L19" s="2"/>
      <c r="M19" s="2"/>
      <c r="N19" s="2"/>
      <c r="O19" s="2"/>
      <c r="P19" s="81"/>
      <c r="Q19" s="81"/>
      <c r="R19" s="81"/>
      <c r="S19" s="81"/>
      <c r="T19" s="81"/>
      <c r="U19" s="81"/>
      <c r="V19" s="81"/>
      <c r="W19" s="81"/>
      <c r="X19" s="2">
        <f t="shared" si="0"/>
        <v>0</v>
      </c>
    </row>
    <row r="20" spans="1:24">
      <c r="A20" s="458">
        <v>9</v>
      </c>
      <c r="B20" s="460" t="s">
        <v>21</v>
      </c>
      <c r="C20" s="2" t="s">
        <v>24</v>
      </c>
      <c r="D20" s="81">
        <v>2500</v>
      </c>
      <c r="E20" s="81">
        <v>2500</v>
      </c>
      <c r="F20" s="81">
        <v>2500</v>
      </c>
      <c r="G20" s="81">
        <v>2500</v>
      </c>
      <c r="H20" s="81">
        <v>2500</v>
      </c>
      <c r="I20" s="81">
        <v>2500</v>
      </c>
      <c r="J20" s="2">
        <v>2500</v>
      </c>
      <c r="K20" s="2">
        <v>2500</v>
      </c>
      <c r="L20" s="2">
        <v>2500</v>
      </c>
      <c r="M20" s="2">
        <v>2500</v>
      </c>
      <c r="N20" s="2">
        <v>2500</v>
      </c>
      <c r="O20" s="2">
        <v>2500</v>
      </c>
      <c r="P20" s="81">
        <v>2350</v>
      </c>
      <c r="Q20" s="81">
        <v>2350</v>
      </c>
      <c r="R20" s="81">
        <v>2350</v>
      </c>
      <c r="S20" s="81">
        <v>2350</v>
      </c>
      <c r="T20" s="81">
        <v>2350</v>
      </c>
      <c r="U20" s="81">
        <v>2350</v>
      </c>
      <c r="V20" s="81">
        <v>2350</v>
      </c>
      <c r="W20" s="81">
        <v>2350</v>
      </c>
      <c r="X20" s="2">
        <f t="shared" si="0"/>
        <v>48800</v>
      </c>
    </row>
    <row r="21" spans="1:24">
      <c r="A21" s="458"/>
      <c r="B21" s="460"/>
      <c r="C21" s="2" t="s">
        <v>25</v>
      </c>
      <c r="D21" s="81"/>
      <c r="E21" s="81"/>
      <c r="F21" s="81"/>
      <c r="G21" s="81"/>
      <c r="H21" s="81"/>
      <c r="I21" s="81"/>
      <c r="J21" s="2"/>
      <c r="K21" s="2"/>
      <c r="L21" s="2"/>
      <c r="M21" s="2"/>
      <c r="N21" s="2"/>
      <c r="O21" s="2"/>
      <c r="P21" s="81"/>
      <c r="Q21" s="81"/>
      <c r="R21" s="81"/>
      <c r="S21" s="81"/>
      <c r="T21" s="81"/>
      <c r="U21" s="81"/>
      <c r="V21" s="81"/>
      <c r="W21" s="81"/>
      <c r="X21" s="2">
        <f t="shared" si="0"/>
        <v>0</v>
      </c>
    </row>
    <row r="22" spans="1:24">
      <c r="A22" s="458">
        <v>10</v>
      </c>
      <c r="B22" s="460" t="s">
        <v>384</v>
      </c>
      <c r="C22" s="2" t="s">
        <v>24</v>
      </c>
      <c r="D22" s="81">
        <v>1400</v>
      </c>
      <c r="E22" s="81">
        <v>1400</v>
      </c>
      <c r="F22" s="81">
        <v>1400</v>
      </c>
      <c r="G22" s="81">
        <v>1400</v>
      </c>
      <c r="H22" s="81">
        <v>1400</v>
      </c>
      <c r="I22" s="81">
        <v>1400</v>
      </c>
      <c r="J22" s="2">
        <v>1400</v>
      </c>
      <c r="K22" s="2">
        <v>1400</v>
      </c>
      <c r="L22" s="2">
        <v>1400</v>
      </c>
      <c r="M22" s="2">
        <v>1400</v>
      </c>
      <c r="N22" s="2">
        <v>1400</v>
      </c>
      <c r="O22" s="2">
        <v>1400</v>
      </c>
      <c r="P22" s="81">
        <v>1400</v>
      </c>
      <c r="Q22" s="81">
        <v>1400</v>
      </c>
      <c r="R22" s="81">
        <v>1400</v>
      </c>
      <c r="S22" s="81">
        <v>1400</v>
      </c>
      <c r="T22" s="81">
        <v>1400</v>
      </c>
      <c r="U22" s="81">
        <v>1400</v>
      </c>
      <c r="V22" s="81">
        <v>1400</v>
      </c>
      <c r="W22" s="81">
        <v>1400</v>
      </c>
      <c r="X22" s="2">
        <f t="shared" si="0"/>
        <v>28000</v>
      </c>
    </row>
    <row r="23" spans="1:24">
      <c r="A23" s="458"/>
      <c r="B23" s="460"/>
      <c r="C23" s="2" t="s">
        <v>25</v>
      </c>
      <c r="D23" s="81"/>
      <c r="E23" s="81"/>
      <c r="F23" s="81"/>
      <c r="G23" s="81"/>
      <c r="H23" s="81"/>
      <c r="I23" s="81"/>
      <c r="J23" s="2"/>
      <c r="K23" s="2"/>
      <c r="L23" s="2"/>
      <c r="M23" s="2"/>
      <c r="N23" s="2"/>
      <c r="O23" s="2"/>
      <c r="P23" s="81"/>
      <c r="Q23" s="81"/>
      <c r="R23" s="81"/>
      <c r="S23" s="81"/>
      <c r="T23" s="81"/>
      <c r="U23" s="81"/>
      <c r="V23" s="81"/>
      <c r="W23" s="81"/>
      <c r="X23" s="2">
        <f t="shared" si="0"/>
        <v>0</v>
      </c>
    </row>
    <row r="24" spans="1:24">
      <c r="A24" s="458">
        <v>11</v>
      </c>
      <c r="B24" s="460" t="s">
        <v>389</v>
      </c>
      <c r="C24" s="2" t="s">
        <v>24</v>
      </c>
      <c r="D24" s="81">
        <v>300</v>
      </c>
      <c r="E24" s="81">
        <v>300</v>
      </c>
      <c r="F24" s="81">
        <v>300</v>
      </c>
      <c r="G24" s="81">
        <v>300</v>
      </c>
      <c r="H24" s="81">
        <v>300</v>
      </c>
      <c r="I24" s="81">
        <v>300</v>
      </c>
      <c r="J24" s="2">
        <v>250</v>
      </c>
      <c r="K24" s="2">
        <v>250</v>
      </c>
      <c r="L24" s="2">
        <v>250</v>
      </c>
      <c r="M24" s="2">
        <v>250</v>
      </c>
      <c r="N24" s="2">
        <v>250</v>
      </c>
      <c r="O24" s="2">
        <v>250</v>
      </c>
      <c r="P24" s="81">
        <v>250</v>
      </c>
      <c r="Q24" s="81">
        <v>250</v>
      </c>
      <c r="R24" s="81">
        <v>250</v>
      </c>
      <c r="S24" s="81">
        <v>250</v>
      </c>
      <c r="T24" s="81">
        <v>250</v>
      </c>
      <c r="U24" s="81">
        <v>250</v>
      </c>
      <c r="V24" s="81">
        <v>250</v>
      </c>
      <c r="W24" s="81">
        <v>250</v>
      </c>
      <c r="X24" s="2">
        <f t="shared" si="0"/>
        <v>5300</v>
      </c>
    </row>
    <row r="25" spans="1:24">
      <c r="A25" s="458"/>
      <c r="B25" s="460"/>
      <c r="C25" s="2" t="s">
        <v>25</v>
      </c>
      <c r="D25" s="81"/>
      <c r="E25" s="81"/>
      <c r="F25" s="81"/>
      <c r="G25" s="81"/>
      <c r="H25" s="81"/>
      <c r="I25" s="81"/>
      <c r="J25" s="2"/>
      <c r="K25" s="2"/>
      <c r="L25" s="2"/>
      <c r="M25" s="2"/>
      <c r="N25" s="2"/>
      <c r="O25" s="2"/>
      <c r="P25" s="81"/>
      <c r="Q25" s="81"/>
      <c r="R25" s="81"/>
      <c r="S25" s="81"/>
      <c r="T25" s="81"/>
      <c r="U25" s="81"/>
      <c r="V25" s="81"/>
      <c r="W25" s="81"/>
      <c r="X25" s="2">
        <f t="shared" si="0"/>
        <v>0</v>
      </c>
    </row>
    <row r="26" spans="1:24">
      <c r="A26" s="458">
        <v>12</v>
      </c>
      <c r="B26" s="460" t="s">
        <v>385</v>
      </c>
      <c r="C26" s="2" t="s">
        <v>24</v>
      </c>
      <c r="D26" s="81">
        <v>1300</v>
      </c>
      <c r="E26" s="81">
        <v>1300</v>
      </c>
      <c r="F26" s="81">
        <v>1300</v>
      </c>
      <c r="G26" s="81">
        <v>1300</v>
      </c>
      <c r="H26" s="81">
        <v>1300</v>
      </c>
      <c r="I26" s="81">
        <v>1300</v>
      </c>
      <c r="J26" s="2">
        <v>1100</v>
      </c>
      <c r="K26" s="2">
        <v>1100</v>
      </c>
      <c r="L26" s="2">
        <v>1100</v>
      </c>
      <c r="M26" s="2">
        <v>1100</v>
      </c>
      <c r="N26" s="2">
        <v>1100</v>
      </c>
      <c r="O26" s="2">
        <v>1100</v>
      </c>
      <c r="P26" s="81">
        <v>1100</v>
      </c>
      <c r="Q26" s="81">
        <v>1100</v>
      </c>
      <c r="R26" s="81">
        <v>1100</v>
      </c>
      <c r="S26" s="81">
        <v>1100</v>
      </c>
      <c r="T26" s="81">
        <v>1100</v>
      </c>
      <c r="U26" s="81">
        <v>1100</v>
      </c>
      <c r="V26" s="81">
        <v>1100</v>
      </c>
      <c r="W26" s="81">
        <v>1100</v>
      </c>
      <c r="X26" s="2">
        <f t="shared" si="0"/>
        <v>23200</v>
      </c>
    </row>
    <row r="27" spans="1:24">
      <c r="A27" s="458"/>
      <c r="B27" s="460"/>
      <c r="C27" s="2" t="s">
        <v>25</v>
      </c>
      <c r="D27" s="81"/>
      <c r="E27" s="81"/>
      <c r="F27" s="81"/>
      <c r="G27" s="81"/>
      <c r="H27" s="81"/>
      <c r="I27" s="81"/>
      <c r="J27" s="2"/>
      <c r="K27" s="2"/>
      <c r="L27" s="2"/>
      <c r="M27" s="2"/>
      <c r="N27" s="2"/>
      <c r="O27" s="2"/>
      <c r="P27" s="81"/>
      <c r="Q27" s="81"/>
      <c r="R27" s="81"/>
      <c r="S27" s="81"/>
      <c r="T27" s="81"/>
      <c r="U27" s="81"/>
      <c r="V27" s="81"/>
      <c r="W27" s="81"/>
      <c r="X27" s="2">
        <f t="shared" si="0"/>
        <v>0</v>
      </c>
    </row>
    <row r="28" spans="1:24">
      <c r="A28" s="458">
        <v>13</v>
      </c>
      <c r="B28" s="460" t="s">
        <v>390</v>
      </c>
      <c r="C28" s="2" t="s">
        <v>24</v>
      </c>
      <c r="D28" s="81">
        <v>600</v>
      </c>
      <c r="E28" s="81">
        <v>600</v>
      </c>
      <c r="F28" s="81">
        <v>600</v>
      </c>
      <c r="G28" s="81">
        <v>600</v>
      </c>
      <c r="H28" s="81">
        <v>600</v>
      </c>
      <c r="I28" s="81">
        <v>600</v>
      </c>
      <c r="J28" s="2">
        <v>600</v>
      </c>
      <c r="K28" s="2">
        <v>600</v>
      </c>
      <c r="L28" s="2">
        <v>600</v>
      </c>
      <c r="M28" s="2">
        <v>600</v>
      </c>
      <c r="N28" s="2">
        <v>600</v>
      </c>
      <c r="O28" s="2">
        <v>600</v>
      </c>
      <c r="P28" s="81">
        <v>600</v>
      </c>
      <c r="Q28" s="81">
        <v>600</v>
      </c>
      <c r="R28" s="81">
        <v>600</v>
      </c>
      <c r="S28" s="81">
        <v>600</v>
      </c>
      <c r="T28" s="81">
        <v>600</v>
      </c>
      <c r="U28" s="81">
        <v>600</v>
      </c>
      <c r="V28" s="81">
        <v>600</v>
      </c>
      <c r="W28" s="81">
        <v>600</v>
      </c>
      <c r="X28" s="2">
        <f t="shared" si="0"/>
        <v>12000</v>
      </c>
    </row>
    <row r="29" spans="1:24">
      <c r="A29" s="458"/>
      <c r="B29" s="460"/>
      <c r="C29" s="2" t="s">
        <v>25</v>
      </c>
      <c r="D29" s="81"/>
      <c r="E29" s="81"/>
      <c r="F29" s="81"/>
      <c r="G29" s="81"/>
      <c r="H29" s="81"/>
      <c r="I29" s="81"/>
      <c r="J29" s="2"/>
      <c r="K29" s="2"/>
      <c r="L29" s="2"/>
      <c r="M29" s="2"/>
      <c r="N29" s="2"/>
      <c r="O29" s="2"/>
      <c r="P29" s="81"/>
      <c r="Q29" s="81"/>
      <c r="R29" s="81"/>
      <c r="S29" s="81"/>
      <c r="T29" s="81"/>
      <c r="U29" s="81"/>
      <c r="V29" s="81"/>
      <c r="W29" s="81"/>
      <c r="X29" s="2">
        <f t="shared" si="0"/>
        <v>0</v>
      </c>
    </row>
    <row r="30" spans="1:24">
      <c r="A30" s="458">
        <v>14</v>
      </c>
      <c r="B30" s="460" t="s">
        <v>382</v>
      </c>
      <c r="C30" s="2" t="s">
        <v>24</v>
      </c>
      <c r="D30" s="81">
        <v>363</v>
      </c>
      <c r="E30" s="81">
        <v>363</v>
      </c>
      <c r="F30" s="81">
        <v>363</v>
      </c>
      <c r="G30" s="81">
        <v>363</v>
      </c>
      <c r="H30" s="81">
        <v>363</v>
      </c>
      <c r="I30" s="81">
        <v>363</v>
      </c>
      <c r="J30" s="2">
        <v>360</v>
      </c>
      <c r="K30" s="2">
        <v>360</v>
      </c>
      <c r="L30" s="2">
        <v>360</v>
      </c>
      <c r="M30" s="2">
        <v>360</v>
      </c>
      <c r="N30" s="2">
        <v>360</v>
      </c>
      <c r="O30" s="2">
        <v>360</v>
      </c>
      <c r="P30" s="81">
        <v>365</v>
      </c>
      <c r="Q30" s="81">
        <v>365</v>
      </c>
      <c r="R30" s="81">
        <v>365</v>
      </c>
      <c r="S30" s="81">
        <v>365</v>
      </c>
      <c r="T30" s="81">
        <v>365</v>
      </c>
      <c r="U30" s="81">
        <v>365</v>
      </c>
      <c r="V30" s="81">
        <v>365</v>
      </c>
      <c r="W30" s="81">
        <v>365</v>
      </c>
      <c r="X30" s="2">
        <f t="shared" si="0"/>
        <v>7258</v>
      </c>
    </row>
    <row r="31" spans="1:24">
      <c r="A31" s="458"/>
      <c r="B31" s="460"/>
      <c r="C31" s="2" t="s">
        <v>25</v>
      </c>
      <c r="D31" s="81"/>
      <c r="E31" s="81"/>
      <c r="F31" s="81"/>
      <c r="G31" s="81"/>
      <c r="H31" s="81"/>
      <c r="I31" s="81"/>
      <c r="J31" s="2"/>
      <c r="K31" s="2"/>
      <c r="L31" s="2"/>
      <c r="M31" s="2"/>
      <c r="N31" s="2"/>
      <c r="O31" s="2"/>
      <c r="P31" s="81"/>
      <c r="Q31" s="81"/>
      <c r="R31" s="81"/>
      <c r="S31" s="81"/>
      <c r="T31" s="81"/>
      <c r="U31" s="81"/>
      <c r="V31" s="81"/>
      <c r="W31" s="81"/>
      <c r="X31" s="2">
        <f t="shared" si="0"/>
        <v>0</v>
      </c>
    </row>
    <row r="32" spans="1:24">
      <c r="A32" s="458">
        <v>15</v>
      </c>
      <c r="B32" s="460" t="s">
        <v>388</v>
      </c>
      <c r="C32" s="2" t="s">
        <v>24</v>
      </c>
      <c r="D32" s="81">
        <v>100</v>
      </c>
      <c r="E32" s="81">
        <v>100</v>
      </c>
      <c r="F32" s="81">
        <v>100</v>
      </c>
      <c r="G32" s="81">
        <v>100</v>
      </c>
      <c r="H32" s="81">
        <v>100</v>
      </c>
      <c r="I32" s="81">
        <v>100</v>
      </c>
      <c r="J32" s="2">
        <v>100</v>
      </c>
      <c r="K32" s="2">
        <v>100</v>
      </c>
      <c r="L32" s="2">
        <v>100</v>
      </c>
      <c r="M32" s="2">
        <v>100</v>
      </c>
      <c r="N32" s="2">
        <v>100</v>
      </c>
      <c r="O32" s="2">
        <v>100</v>
      </c>
      <c r="P32" s="81">
        <v>80</v>
      </c>
      <c r="Q32" s="81">
        <v>80</v>
      </c>
      <c r="R32" s="81">
        <v>80</v>
      </c>
      <c r="S32" s="81">
        <v>80</v>
      </c>
      <c r="T32" s="81">
        <v>80</v>
      </c>
      <c r="U32" s="81">
        <v>80</v>
      </c>
      <c r="V32" s="81">
        <v>80</v>
      </c>
      <c r="W32" s="81">
        <v>80</v>
      </c>
      <c r="X32" s="2">
        <f t="shared" si="0"/>
        <v>1840</v>
      </c>
    </row>
    <row r="33" spans="1:24">
      <c r="A33" s="458"/>
      <c r="B33" s="460"/>
      <c r="C33" s="2" t="s">
        <v>25</v>
      </c>
      <c r="D33" s="81"/>
      <c r="E33" s="81"/>
      <c r="F33" s="81"/>
      <c r="G33" s="81"/>
      <c r="H33" s="81"/>
      <c r="I33" s="81"/>
      <c r="J33" s="2"/>
      <c r="K33" s="2"/>
      <c r="L33" s="2"/>
      <c r="M33" s="2"/>
      <c r="N33" s="2"/>
      <c r="O33" s="2"/>
      <c r="P33" s="81"/>
      <c r="Q33" s="81"/>
      <c r="R33" s="81"/>
      <c r="S33" s="81"/>
      <c r="T33" s="81"/>
      <c r="U33" s="81"/>
      <c r="V33" s="81"/>
      <c r="W33" s="81"/>
      <c r="X33" s="2">
        <f t="shared" si="0"/>
        <v>0</v>
      </c>
    </row>
    <row r="34" spans="1:24">
      <c r="A34" s="458">
        <v>16</v>
      </c>
      <c r="B34" s="460" t="s">
        <v>387</v>
      </c>
      <c r="C34" s="2" t="s">
        <v>24</v>
      </c>
      <c r="D34" s="81">
        <v>1200</v>
      </c>
      <c r="E34" s="81">
        <v>1200</v>
      </c>
      <c r="F34" s="81">
        <v>1200</v>
      </c>
      <c r="G34" s="81">
        <v>1200</v>
      </c>
      <c r="H34" s="81">
        <v>1200</v>
      </c>
      <c r="I34" s="81">
        <v>1200</v>
      </c>
      <c r="J34" s="2">
        <v>950</v>
      </c>
      <c r="K34" s="2">
        <v>950</v>
      </c>
      <c r="L34" s="2">
        <v>950</v>
      </c>
      <c r="M34" s="2">
        <v>950</v>
      </c>
      <c r="N34" s="2">
        <v>950</v>
      </c>
      <c r="O34" s="2">
        <v>950</v>
      </c>
      <c r="P34" s="81">
        <v>900</v>
      </c>
      <c r="Q34" s="81">
        <v>900</v>
      </c>
      <c r="R34" s="81">
        <v>900</v>
      </c>
      <c r="S34" s="81">
        <v>900</v>
      </c>
      <c r="T34" s="81">
        <v>900</v>
      </c>
      <c r="U34" s="81">
        <v>900</v>
      </c>
      <c r="V34" s="81">
        <v>900</v>
      </c>
      <c r="W34" s="81">
        <v>900</v>
      </c>
      <c r="X34" s="2">
        <f t="shared" si="0"/>
        <v>20100</v>
      </c>
    </row>
    <row r="35" spans="1:24">
      <c r="A35" s="458"/>
      <c r="B35" s="460"/>
      <c r="C35" s="2" t="s">
        <v>25</v>
      </c>
      <c r="D35" s="81"/>
      <c r="E35" s="81"/>
      <c r="F35" s="81"/>
      <c r="G35" s="81"/>
      <c r="H35" s="81"/>
      <c r="I35" s="81"/>
      <c r="J35" s="2"/>
      <c r="K35" s="2"/>
      <c r="L35" s="2"/>
      <c r="M35" s="2"/>
      <c r="N35" s="2"/>
      <c r="O35" s="2"/>
      <c r="P35" s="81"/>
      <c r="Q35" s="81"/>
      <c r="R35" s="81"/>
      <c r="S35" s="81"/>
      <c r="T35" s="81"/>
      <c r="U35" s="81"/>
      <c r="V35" s="81"/>
      <c r="W35" s="81"/>
      <c r="X35" s="2">
        <f t="shared" si="0"/>
        <v>0</v>
      </c>
    </row>
    <row r="36" spans="1:24">
      <c r="A36" s="458">
        <v>17</v>
      </c>
      <c r="B36" s="460" t="s">
        <v>386</v>
      </c>
      <c r="C36" s="2" t="s">
        <v>24</v>
      </c>
      <c r="D36" s="81">
        <v>700</v>
      </c>
      <c r="E36" s="81">
        <v>700</v>
      </c>
      <c r="F36" s="81">
        <v>700</v>
      </c>
      <c r="G36" s="81">
        <v>700</v>
      </c>
      <c r="H36" s="81">
        <v>700</v>
      </c>
      <c r="I36" s="81">
        <v>700</v>
      </c>
      <c r="J36" s="2">
        <v>690</v>
      </c>
      <c r="K36" s="2">
        <v>690</v>
      </c>
      <c r="L36" s="2">
        <v>690</v>
      </c>
      <c r="M36" s="2">
        <v>690</v>
      </c>
      <c r="N36" s="2">
        <v>690</v>
      </c>
      <c r="O36" s="2">
        <v>690</v>
      </c>
      <c r="P36" s="81">
        <v>725</v>
      </c>
      <c r="Q36" s="81">
        <v>725</v>
      </c>
      <c r="R36" s="81">
        <v>725</v>
      </c>
      <c r="S36" s="81">
        <v>725</v>
      </c>
      <c r="T36" s="81">
        <v>725</v>
      </c>
      <c r="U36" s="81">
        <v>725</v>
      </c>
      <c r="V36" s="81">
        <v>725</v>
      </c>
      <c r="W36" s="81">
        <v>725</v>
      </c>
      <c r="X36" s="2">
        <f t="shared" si="0"/>
        <v>14140</v>
      </c>
    </row>
    <row r="37" spans="1:24">
      <c r="A37" s="458"/>
      <c r="B37" s="460"/>
      <c r="C37" s="2" t="s">
        <v>25</v>
      </c>
      <c r="D37" s="81"/>
      <c r="E37" s="81"/>
      <c r="F37" s="81"/>
      <c r="G37" s="81"/>
      <c r="H37" s="81"/>
      <c r="I37" s="81"/>
      <c r="J37" s="2"/>
      <c r="K37" s="2"/>
      <c r="L37" s="2"/>
      <c r="M37" s="2"/>
      <c r="N37" s="2"/>
      <c r="O37" s="2"/>
      <c r="P37" s="81"/>
      <c r="Q37" s="81"/>
      <c r="R37" s="81"/>
      <c r="S37" s="81"/>
      <c r="T37" s="81"/>
      <c r="U37" s="81"/>
      <c r="V37" s="81"/>
      <c r="W37" s="81"/>
      <c r="X37" s="2">
        <f t="shared" si="0"/>
        <v>0</v>
      </c>
    </row>
    <row r="38" spans="1:24">
      <c r="A38" s="458">
        <v>18</v>
      </c>
      <c r="B38" s="460" t="s">
        <v>391</v>
      </c>
      <c r="C38" s="2" t="s">
        <v>24</v>
      </c>
      <c r="D38" s="81">
        <v>1700</v>
      </c>
      <c r="E38" s="81">
        <v>1700</v>
      </c>
      <c r="F38" s="81">
        <v>1700</v>
      </c>
      <c r="G38" s="81">
        <v>1700</v>
      </c>
      <c r="H38" s="81">
        <v>1700</v>
      </c>
      <c r="I38" s="81">
        <v>1700</v>
      </c>
      <c r="J38" s="2">
        <v>1600</v>
      </c>
      <c r="K38" s="2">
        <v>1600</v>
      </c>
      <c r="L38" s="2">
        <v>1600</v>
      </c>
      <c r="M38" s="2">
        <v>1600</v>
      </c>
      <c r="N38" s="2">
        <v>1600</v>
      </c>
      <c r="O38" s="2">
        <v>1600</v>
      </c>
      <c r="P38" s="81">
        <v>1500</v>
      </c>
      <c r="Q38" s="81">
        <v>1500</v>
      </c>
      <c r="R38" s="81">
        <v>1500</v>
      </c>
      <c r="S38" s="81">
        <v>1500</v>
      </c>
      <c r="T38" s="81">
        <v>1500</v>
      </c>
      <c r="U38" s="81">
        <v>1500</v>
      </c>
      <c r="V38" s="81">
        <v>1500</v>
      </c>
      <c r="W38" s="81">
        <v>1500</v>
      </c>
      <c r="X38" s="2">
        <f t="shared" si="0"/>
        <v>31800</v>
      </c>
    </row>
    <row r="39" spans="1:24">
      <c r="A39" s="458"/>
      <c r="B39" s="460"/>
      <c r="C39" s="2" t="s">
        <v>25</v>
      </c>
      <c r="D39" s="81"/>
      <c r="E39" s="81"/>
      <c r="F39" s="81"/>
      <c r="G39" s="81"/>
      <c r="H39" s="81"/>
      <c r="I39" s="81"/>
      <c r="J39" s="2"/>
      <c r="K39" s="2"/>
      <c r="L39" s="2"/>
      <c r="M39" s="2"/>
      <c r="N39" s="2"/>
      <c r="O39" s="2"/>
      <c r="P39" s="81"/>
      <c r="Q39" s="81"/>
      <c r="R39" s="81"/>
      <c r="S39" s="81"/>
      <c r="T39" s="81"/>
      <c r="U39" s="81"/>
      <c r="V39" s="81"/>
      <c r="W39" s="81"/>
      <c r="X39" s="2">
        <f t="shared" si="0"/>
        <v>0</v>
      </c>
    </row>
    <row r="40" spans="1:24">
      <c r="A40" s="458">
        <v>19</v>
      </c>
      <c r="B40" s="460" t="s">
        <v>383</v>
      </c>
      <c r="C40" s="2" t="s">
        <v>24</v>
      </c>
      <c r="D40" s="81">
        <v>1126</v>
      </c>
      <c r="E40" s="81">
        <v>1126</v>
      </c>
      <c r="F40" s="81">
        <v>1126</v>
      </c>
      <c r="G40" s="81">
        <v>1126</v>
      </c>
      <c r="H40" s="81">
        <v>1126</v>
      </c>
      <c r="I40" s="81">
        <v>1126</v>
      </c>
      <c r="J40" s="2">
        <v>1035</v>
      </c>
      <c r="K40" s="2">
        <v>1035</v>
      </c>
      <c r="L40" s="2">
        <v>1035</v>
      </c>
      <c r="M40" s="2">
        <v>1035</v>
      </c>
      <c r="N40" s="2">
        <v>1035</v>
      </c>
      <c r="O40" s="2">
        <v>1035</v>
      </c>
      <c r="P40" s="81">
        <v>1020</v>
      </c>
      <c r="Q40" s="81">
        <v>1020</v>
      </c>
      <c r="R40" s="81">
        <v>1020</v>
      </c>
      <c r="S40" s="81">
        <v>1020</v>
      </c>
      <c r="T40" s="81">
        <v>1020</v>
      </c>
      <c r="U40" s="81">
        <v>1020</v>
      </c>
      <c r="V40" s="81">
        <v>1020</v>
      </c>
      <c r="W40" s="81">
        <v>1020</v>
      </c>
      <c r="X40" s="2">
        <f t="shared" si="0"/>
        <v>21126</v>
      </c>
    </row>
    <row r="41" spans="1:24">
      <c r="A41" s="458"/>
      <c r="B41" s="460"/>
      <c r="C41" s="2" t="s">
        <v>25</v>
      </c>
      <c r="D41" s="81"/>
      <c r="E41" s="81"/>
      <c r="F41" s="81"/>
      <c r="G41" s="81"/>
      <c r="H41" s="81"/>
      <c r="I41" s="81"/>
      <c r="J41" s="2"/>
      <c r="K41" s="2"/>
      <c r="L41" s="2"/>
      <c r="M41" s="2"/>
      <c r="N41" s="2"/>
      <c r="O41" s="2"/>
      <c r="P41" s="81"/>
      <c r="Q41" s="81"/>
      <c r="R41" s="81"/>
      <c r="S41" s="81"/>
      <c r="T41" s="81"/>
      <c r="U41" s="81"/>
      <c r="V41" s="81"/>
      <c r="W41" s="81"/>
      <c r="X41" s="2">
        <f t="shared" si="0"/>
        <v>0</v>
      </c>
    </row>
    <row r="42" spans="1:24">
      <c r="A42" s="458">
        <v>20</v>
      </c>
      <c r="B42" s="460" t="s">
        <v>319</v>
      </c>
      <c r="C42" s="2" t="s">
        <v>24</v>
      </c>
      <c r="D42" s="81">
        <v>1200</v>
      </c>
      <c r="E42" s="81">
        <v>1200</v>
      </c>
      <c r="F42" s="81">
        <v>1200</v>
      </c>
      <c r="G42" s="81">
        <v>1200</v>
      </c>
      <c r="H42" s="81">
        <v>1200</v>
      </c>
      <c r="I42" s="81">
        <v>1200</v>
      </c>
      <c r="J42" s="2">
        <v>1100</v>
      </c>
      <c r="K42" s="2">
        <v>1100</v>
      </c>
      <c r="L42" s="2">
        <v>1100</v>
      </c>
      <c r="M42" s="2">
        <v>1100</v>
      </c>
      <c r="N42" s="2">
        <v>1100</v>
      </c>
      <c r="O42" s="2">
        <v>1100</v>
      </c>
      <c r="P42" s="81">
        <v>1100</v>
      </c>
      <c r="Q42" s="81">
        <v>1100</v>
      </c>
      <c r="R42" s="81">
        <v>1100</v>
      </c>
      <c r="S42" s="81">
        <v>1100</v>
      </c>
      <c r="T42" s="81">
        <v>1100</v>
      </c>
      <c r="U42" s="81">
        <v>1100</v>
      </c>
      <c r="V42" s="81">
        <v>1100</v>
      </c>
      <c r="W42" s="81">
        <v>1100</v>
      </c>
      <c r="X42" s="2">
        <f t="shared" si="0"/>
        <v>22600</v>
      </c>
    </row>
    <row r="43" spans="1:24">
      <c r="A43" s="458"/>
      <c r="B43" s="460"/>
      <c r="C43" s="2" t="s">
        <v>25</v>
      </c>
      <c r="D43" s="81"/>
      <c r="E43" s="81"/>
      <c r="F43" s="81"/>
      <c r="G43" s="81"/>
      <c r="H43" s="81"/>
      <c r="I43" s="81"/>
      <c r="J43" s="2"/>
      <c r="K43" s="2"/>
      <c r="L43" s="2"/>
      <c r="M43" s="2"/>
      <c r="N43" s="2"/>
      <c r="O43" s="2"/>
      <c r="P43" s="81"/>
      <c r="Q43" s="81"/>
      <c r="R43" s="81"/>
      <c r="S43" s="81"/>
      <c r="T43" s="81"/>
      <c r="U43" s="81"/>
      <c r="V43" s="81"/>
      <c r="W43" s="81"/>
      <c r="X43" s="2">
        <f t="shared" si="0"/>
        <v>0</v>
      </c>
    </row>
    <row r="44" spans="1:24">
      <c r="A44" s="458">
        <v>21</v>
      </c>
      <c r="B44" s="460" t="s">
        <v>320</v>
      </c>
      <c r="C44" s="2" t="s">
        <v>24</v>
      </c>
      <c r="D44" s="81">
        <v>800</v>
      </c>
      <c r="E44" s="81">
        <v>800</v>
      </c>
      <c r="F44" s="81">
        <v>800</v>
      </c>
      <c r="G44" s="81">
        <v>800</v>
      </c>
      <c r="H44" s="81">
        <v>800</v>
      </c>
      <c r="I44" s="81">
        <v>800</v>
      </c>
      <c r="J44" s="2">
        <v>700</v>
      </c>
      <c r="K44" s="2">
        <v>700</v>
      </c>
      <c r="L44" s="2">
        <v>700</v>
      </c>
      <c r="M44" s="2">
        <v>700</v>
      </c>
      <c r="N44" s="2">
        <v>700</v>
      </c>
      <c r="O44" s="2">
        <v>700</v>
      </c>
      <c r="P44" s="81">
        <v>700</v>
      </c>
      <c r="Q44" s="81">
        <v>700</v>
      </c>
      <c r="R44" s="81">
        <v>700</v>
      </c>
      <c r="S44" s="81">
        <v>700</v>
      </c>
      <c r="T44" s="81">
        <v>700</v>
      </c>
      <c r="U44" s="81">
        <v>700</v>
      </c>
      <c r="V44" s="81">
        <v>700</v>
      </c>
      <c r="W44" s="81">
        <v>700</v>
      </c>
      <c r="X44" s="2">
        <f t="shared" si="0"/>
        <v>14600</v>
      </c>
    </row>
    <row r="45" spans="1:24">
      <c r="A45" s="458"/>
      <c r="B45" s="460"/>
      <c r="C45" s="2" t="s">
        <v>25</v>
      </c>
      <c r="D45" s="81"/>
      <c r="E45" s="81"/>
      <c r="F45" s="81"/>
      <c r="G45" s="81"/>
      <c r="H45" s="81"/>
      <c r="I45" s="81"/>
      <c r="J45" s="2"/>
      <c r="K45" s="2"/>
      <c r="L45" s="2"/>
      <c r="M45" s="2"/>
      <c r="N45" s="2"/>
      <c r="O45" s="2"/>
      <c r="P45" s="81"/>
      <c r="Q45" s="81"/>
      <c r="R45" s="81"/>
      <c r="S45" s="81"/>
      <c r="T45" s="81"/>
      <c r="U45" s="81"/>
      <c r="V45" s="81"/>
      <c r="W45" s="81"/>
      <c r="X45" s="2">
        <f t="shared" si="0"/>
        <v>0</v>
      </c>
    </row>
    <row r="46" spans="1:24">
      <c r="A46" s="458">
        <v>22</v>
      </c>
      <c r="B46" s="460" t="s">
        <v>323</v>
      </c>
      <c r="C46" s="2" t="s">
        <v>24</v>
      </c>
      <c r="D46" s="81">
        <v>550</v>
      </c>
      <c r="E46" s="81">
        <v>550</v>
      </c>
      <c r="F46" s="81">
        <v>550</v>
      </c>
      <c r="G46" s="81">
        <v>550</v>
      </c>
      <c r="H46" s="81">
        <v>550</v>
      </c>
      <c r="I46" s="81">
        <v>550</v>
      </c>
      <c r="J46" s="2">
        <v>500</v>
      </c>
      <c r="K46" s="2">
        <v>500</v>
      </c>
      <c r="L46" s="2">
        <v>500</v>
      </c>
      <c r="M46" s="2">
        <v>500</v>
      </c>
      <c r="N46" s="2">
        <v>500</v>
      </c>
      <c r="O46" s="2">
        <v>500</v>
      </c>
      <c r="P46" s="81">
        <v>450</v>
      </c>
      <c r="Q46" s="81">
        <v>450</v>
      </c>
      <c r="R46" s="81">
        <v>450</v>
      </c>
      <c r="S46" s="81">
        <v>450</v>
      </c>
      <c r="T46" s="81">
        <v>450</v>
      </c>
      <c r="U46" s="81">
        <v>450</v>
      </c>
      <c r="V46" s="81">
        <v>450</v>
      </c>
      <c r="W46" s="81">
        <v>450</v>
      </c>
      <c r="X46" s="2">
        <f t="shared" si="0"/>
        <v>9900</v>
      </c>
    </row>
    <row r="47" spans="1:24">
      <c r="A47" s="458"/>
      <c r="B47" s="460"/>
      <c r="C47" s="2" t="s">
        <v>25</v>
      </c>
      <c r="D47" s="81"/>
      <c r="E47" s="81"/>
      <c r="F47" s="81"/>
      <c r="G47" s="81"/>
      <c r="H47" s="81"/>
      <c r="I47" s="81"/>
      <c r="J47" s="2"/>
      <c r="K47" s="2"/>
      <c r="L47" s="2"/>
      <c r="M47" s="2"/>
      <c r="N47" s="2"/>
      <c r="O47" s="2"/>
      <c r="P47" s="81"/>
      <c r="Q47" s="81"/>
      <c r="R47" s="81"/>
      <c r="S47" s="81"/>
      <c r="T47" s="81"/>
      <c r="U47" s="81"/>
      <c r="V47" s="81"/>
      <c r="W47" s="81"/>
      <c r="X47" s="2">
        <f t="shared" si="0"/>
        <v>0</v>
      </c>
    </row>
    <row r="48" spans="1:24" s="43" customFormat="1">
      <c r="A48" s="458">
        <v>23</v>
      </c>
      <c r="B48" s="460" t="s">
        <v>318</v>
      </c>
      <c r="C48" s="2" t="s">
        <v>24</v>
      </c>
      <c r="D48" s="81">
        <v>850</v>
      </c>
      <c r="E48" s="81">
        <v>850</v>
      </c>
      <c r="F48" s="81">
        <v>850</v>
      </c>
      <c r="G48" s="81">
        <v>850</v>
      </c>
      <c r="H48" s="81">
        <v>850</v>
      </c>
      <c r="I48" s="81">
        <v>850</v>
      </c>
      <c r="J48" s="2">
        <v>850</v>
      </c>
      <c r="K48" s="2">
        <v>850</v>
      </c>
      <c r="L48" s="2">
        <v>850</v>
      </c>
      <c r="M48" s="2">
        <v>850</v>
      </c>
      <c r="N48" s="2">
        <v>850</v>
      </c>
      <c r="O48" s="2">
        <v>850</v>
      </c>
      <c r="P48" s="81">
        <v>850</v>
      </c>
      <c r="Q48" s="81">
        <v>850</v>
      </c>
      <c r="R48" s="81">
        <v>850</v>
      </c>
      <c r="S48" s="81">
        <v>850</v>
      </c>
      <c r="T48" s="81">
        <v>850</v>
      </c>
      <c r="U48" s="81">
        <v>850</v>
      </c>
      <c r="V48" s="81">
        <v>850</v>
      </c>
      <c r="W48" s="81">
        <v>850</v>
      </c>
      <c r="X48" s="2">
        <f t="shared" si="0"/>
        <v>17000</v>
      </c>
    </row>
    <row r="49" spans="1:24" s="43" customFormat="1">
      <c r="A49" s="458"/>
      <c r="B49" s="460"/>
      <c r="C49" s="2" t="s">
        <v>25</v>
      </c>
      <c r="D49" s="81"/>
      <c r="E49" s="81"/>
      <c r="F49" s="81"/>
      <c r="G49" s="81"/>
      <c r="H49" s="81"/>
      <c r="I49" s="81"/>
      <c r="J49" s="2"/>
      <c r="K49" s="2"/>
      <c r="L49" s="2"/>
      <c r="M49" s="2"/>
      <c r="N49" s="2"/>
      <c r="O49" s="2"/>
      <c r="P49" s="81"/>
      <c r="Q49" s="81"/>
      <c r="R49" s="81"/>
      <c r="S49" s="81"/>
      <c r="T49" s="81"/>
      <c r="U49" s="81"/>
      <c r="V49" s="81"/>
      <c r="W49" s="81"/>
      <c r="X49" s="2">
        <f t="shared" si="0"/>
        <v>0</v>
      </c>
    </row>
    <row r="50" spans="1:24" s="43" customFormat="1">
      <c r="A50" s="458">
        <v>24</v>
      </c>
      <c r="B50" s="460" t="s">
        <v>316</v>
      </c>
      <c r="C50" s="2" t="s">
        <v>24</v>
      </c>
      <c r="D50" s="81">
        <v>1820</v>
      </c>
      <c r="E50" s="81">
        <v>1820</v>
      </c>
      <c r="F50" s="81">
        <v>1820</v>
      </c>
      <c r="G50" s="81">
        <v>1820</v>
      </c>
      <c r="H50" s="81">
        <v>1820</v>
      </c>
      <c r="I50" s="81">
        <v>1820</v>
      </c>
      <c r="J50" s="2">
        <v>1750</v>
      </c>
      <c r="K50" s="2">
        <v>1750</v>
      </c>
      <c r="L50" s="2">
        <v>1750</v>
      </c>
      <c r="M50" s="2">
        <v>1750</v>
      </c>
      <c r="N50" s="2">
        <v>1750</v>
      </c>
      <c r="O50" s="2">
        <v>1750</v>
      </c>
      <c r="P50" s="81">
        <v>1720</v>
      </c>
      <c r="Q50" s="81">
        <v>1720</v>
      </c>
      <c r="R50" s="81">
        <v>1720</v>
      </c>
      <c r="S50" s="81">
        <v>1720</v>
      </c>
      <c r="T50" s="81">
        <v>1720</v>
      </c>
      <c r="U50" s="81">
        <v>1720</v>
      </c>
      <c r="V50" s="81">
        <v>1720</v>
      </c>
      <c r="W50" s="81">
        <v>1720</v>
      </c>
      <c r="X50" s="2">
        <f t="shared" si="0"/>
        <v>35180</v>
      </c>
    </row>
    <row r="51" spans="1:24" s="43" customFormat="1">
      <c r="A51" s="458"/>
      <c r="B51" s="460"/>
      <c r="C51" s="2" t="s">
        <v>25</v>
      </c>
      <c r="D51" s="81"/>
      <c r="E51" s="81"/>
      <c r="F51" s="81"/>
      <c r="G51" s="81"/>
      <c r="H51" s="81"/>
      <c r="I51" s="81"/>
      <c r="J51" s="2"/>
      <c r="K51" s="2"/>
      <c r="L51" s="2"/>
      <c r="M51" s="2"/>
      <c r="N51" s="2"/>
      <c r="O51" s="2"/>
      <c r="P51" s="81"/>
      <c r="Q51" s="81"/>
      <c r="R51" s="81"/>
      <c r="S51" s="81"/>
      <c r="T51" s="81"/>
      <c r="U51" s="81"/>
      <c r="V51" s="81"/>
      <c r="W51" s="81"/>
      <c r="X51" s="2">
        <f t="shared" si="0"/>
        <v>0</v>
      </c>
    </row>
    <row r="52" spans="1:24" s="43" customFormat="1">
      <c r="A52" s="458">
        <v>25</v>
      </c>
      <c r="B52" s="460" t="s">
        <v>554</v>
      </c>
      <c r="C52" s="2" t="s">
        <v>24</v>
      </c>
      <c r="D52" s="81">
        <v>1800</v>
      </c>
      <c r="E52" s="81">
        <v>1800</v>
      </c>
      <c r="F52" s="81">
        <v>1800</v>
      </c>
      <c r="G52" s="81">
        <v>1800</v>
      </c>
      <c r="H52" s="81">
        <v>1800</v>
      </c>
      <c r="I52" s="81">
        <v>1800</v>
      </c>
      <c r="J52" s="2">
        <v>1700</v>
      </c>
      <c r="K52" s="2">
        <v>1700</v>
      </c>
      <c r="L52" s="2">
        <v>1700</v>
      </c>
      <c r="M52" s="2">
        <v>1700</v>
      </c>
      <c r="N52" s="2">
        <v>1700</v>
      </c>
      <c r="O52" s="2">
        <v>1700</v>
      </c>
      <c r="P52" s="81">
        <v>1700</v>
      </c>
      <c r="Q52" s="81">
        <v>1700</v>
      </c>
      <c r="R52" s="81">
        <v>1700</v>
      </c>
      <c r="S52" s="81">
        <v>1700</v>
      </c>
      <c r="T52" s="81">
        <v>1700</v>
      </c>
      <c r="U52" s="81">
        <v>1700</v>
      </c>
      <c r="V52" s="81">
        <v>1700</v>
      </c>
      <c r="W52" s="81">
        <v>1700</v>
      </c>
      <c r="X52" s="2">
        <f t="shared" si="0"/>
        <v>34600</v>
      </c>
    </row>
    <row r="53" spans="1:24" s="43" customFormat="1">
      <c r="A53" s="458"/>
      <c r="B53" s="460"/>
      <c r="C53" s="2" t="s">
        <v>25</v>
      </c>
      <c r="D53" s="81"/>
      <c r="E53" s="81"/>
      <c r="F53" s="81"/>
      <c r="G53" s="81"/>
      <c r="H53" s="81"/>
      <c r="I53" s="81"/>
      <c r="J53" s="2"/>
      <c r="K53" s="2"/>
      <c r="L53" s="2"/>
      <c r="M53" s="2"/>
      <c r="N53" s="2"/>
      <c r="O53" s="2"/>
      <c r="P53" s="81"/>
      <c r="Q53" s="81"/>
      <c r="R53" s="81"/>
      <c r="S53" s="81"/>
      <c r="T53" s="81"/>
      <c r="U53" s="81"/>
      <c r="V53" s="81"/>
      <c r="W53" s="81"/>
      <c r="X53" s="2">
        <f t="shared" si="0"/>
        <v>0</v>
      </c>
    </row>
    <row r="54" spans="1:24" s="43" customFormat="1">
      <c r="A54" s="458">
        <v>26</v>
      </c>
      <c r="B54" s="460" t="s">
        <v>321</v>
      </c>
      <c r="C54" s="2" t="s">
        <v>24</v>
      </c>
      <c r="D54" s="81">
        <v>600</v>
      </c>
      <c r="E54" s="81">
        <v>600</v>
      </c>
      <c r="F54" s="81">
        <v>600</v>
      </c>
      <c r="G54" s="81">
        <v>600</v>
      </c>
      <c r="H54" s="81">
        <v>600</v>
      </c>
      <c r="I54" s="81">
        <v>600</v>
      </c>
      <c r="J54" s="2">
        <v>600</v>
      </c>
      <c r="K54" s="2">
        <v>600</v>
      </c>
      <c r="L54" s="2">
        <v>600</v>
      </c>
      <c r="M54" s="2">
        <v>600</v>
      </c>
      <c r="N54" s="2">
        <v>600</v>
      </c>
      <c r="O54" s="2">
        <v>600</v>
      </c>
      <c r="P54" s="81">
        <v>600</v>
      </c>
      <c r="Q54" s="81">
        <v>600</v>
      </c>
      <c r="R54" s="81">
        <v>600</v>
      </c>
      <c r="S54" s="81">
        <v>600</v>
      </c>
      <c r="T54" s="81">
        <v>600</v>
      </c>
      <c r="U54" s="81">
        <v>600</v>
      </c>
      <c r="V54" s="81">
        <v>600</v>
      </c>
      <c r="W54" s="81">
        <v>600</v>
      </c>
      <c r="X54" s="2">
        <f t="shared" si="0"/>
        <v>12000</v>
      </c>
    </row>
    <row r="55" spans="1:24" s="43" customFormat="1">
      <c r="A55" s="458"/>
      <c r="B55" s="460"/>
      <c r="C55" s="2" t="s">
        <v>25</v>
      </c>
      <c r="D55" s="81"/>
      <c r="E55" s="81"/>
      <c r="F55" s="81"/>
      <c r="G55" s="81"/>
      <c r="H55" s="81"/>
      <c r="I55" s="81"/>
      <c r="J55" s="2"/>
      <c r="K55" s="2"/>
      <c r="L55" s="2"/>
      <c r="M55" s="2"/>
      <c r="N55" s="2"/>
      <c r="O55" s="2"/>
      <c r="P55" s="81"/>
      <c r="Q55" s="81"/>
      <c r="R55" s="81"/>
      <c r="S55" s="81"/>
      <c r="T55" s="81"/>
      <c r="U55" s="81"/>
      <c r="V55" s="81"/>
      <c r="W55" s="81"/>
      <c r="X55" s="2">
        <f t="shared" si="0"/>
        <v>0</v>
      </c>
    </row>
    <row r="56" spans="1:24" s="43" customFormat="1">
      <c r="A56" s="458">
        <v>27</v>
      </c>
      <c r="B56" s="460" t="s">
        <v>322</v>
      </c>
      <c r="C56" s="2" t="s">
        <v>24</v>
      </c>
      <c r="D56" s="81">
        <v>730</v>
      </c>
      <c r="E56" s="81">
        <v>730</v>
      </c>
      <c r="F56" s="81">
        <v>730</v>
      </c>
      <c r="G56" s="81">
        <v>730</v>
      </c>
      <c r="H56" s="81">
        <v>730</v>
      </c>
      <c r="I56" s="81">
        <v>730</v>
      </c>
      <c r="J56" s="2">
        <v>700</v>
      </c>
      <c r="K56" s="2">
        <v>700</v>
      </c>
      <c r="L56" s="2">
        <v>700</v>
      </c>
      <c r="M56" s="2">
        <v>700</v>
      </c>
      <c r="N56" s="2">
        <v>700</v>
      </c>
      <c r="O56" s="2">
        <v>700</v>
      </c>
      <c r="P56" s="81">
        <v>650</v>
      </c>
      <c r="Q56" s="81">
        <v>650</v>
      </c>
      <c r="R56" s="81">
        <v>650</v>
      </c>
      <c r="S56" s="81">
        <v>650</v>
      </c>
      <c r="T56" s="81">
        <v>650</v>
      </c>
      <c r="U56" s="81">
        <v>650</v>
      </c>
      <c r="V56" s="81">
        <v>650</v>
      </c>
      <c r="W56" s="81">
        <v>650</v>
      </c>
      <c r="X56" s="2">
        <f t="shared" si="0"/>
        <v>13780</v>
      </c>
    </row>
    <row r="57" spans="1:24" s="43" customFormat="1">
      <c r="A57" s="458"/>
      <c r="B57" s="460"/>
      <c r="C57" s="2" t="s">
        <v>25</v>
      </c>
      <c r="D57" s="81"/>
      <c r="E57" s="81"/>
      <c r="F57" s="81"/>
      <c r="G57" s="81"/>
      <c r="H57" s="81"/>
      <c r="I57" s="81"/>
      <c r="J57" s="2"/>
      <c r="K57" s="2"/>
      <c r="L57" s="2"/>
      <c r="M57" s="2"/>
      <c r="N57" s="2"/>
      <c r="O57" s="2"/>
      <c r="P57" s="81"/>
      <c r="Q57" s="81"/>
      <c r="R57" s="81"/>
      <c r="S57" s="81"/>
      <c r="T57" s="81"/>
      <c r="U57" s="81"/>
      <c r="V57" s="81"/>
      <c r="W57" s="81"/>
      <c r="X57" s="2">
        <f t="shared" si="0"/>
        <v>0</v>
      </c>
    </row>
    <row r="58" spans="1:24" s="43" customFormat="1">
      <c r="A58" s="458">
        <v>28</v>
      </c>
      <c r="B58" s="460" t="s">
        <v>317</v>
      </c>
      <c r="C58" s="2" t="s">
        <v>24</v>
      </c>
      <c r="D58" s="81">
        <v>700</v>
      </c>
      <c r="E58" s="81">
        <v>700</v>
      </c>
      <c r="F58" s="81">
        <v>700</v>
      </c>
      <c r="G58" s="81">
        <v>700</v>
      </c>
      <c r="H58" s="81">
        <v>700</v>
      </c>
      <c r="I58" s="81">
        <v>700</v>
      </c>
      <c r="J58" s="2">
        <v>675</v>
      </c>
      <c r="K58" s="2">
        <v>675</v>
      </c>
      <c r="L58" s="2">
        <v>675</v>
      </c>
      <c r="M58" s="2">
        <v>675</v>
      </c>
      <c r="N58" s="2">
        <v>675</v>
      </c>
      <c r="O58" s="2">
        <v>675</v>
      </c>
      <c r="P58" s="81">
        <v>650</v>
      </c>
      <c r="Q58" s="81">
        <v>650</v>
      </c>
      <c r="R58" s="81">
        <v>650</v>
      </c>
      <c r="S58" s="81">
        <v>650</v>
      </c>
      <c r="T58" s="81">
        <v>650</v>
      </c>
      <c r="U58" s="81">
        <v>650</v>
      </c>
      <c r="V58" s="81">
        <v>650</v>
      </c>
      <c r="W58" s="81">
        <v>650</v>
      </c>
      <c r="X58" s="2">
        <f t="shared" si="0"/>
        <v>13450</v>
      </c>
    </row>
    <row r="59" spans="1:24" s="43" customFormat="1">
      <c r="A59" s="458"/>
      <c r="B59" s="460"/>
      <c r="C59" s="2" t="s">
        <v>25</v>
      </c>
      <c r="D59" s="81"/>
      <c r="E59" s="81"/>
      <c r="F59" s="81"/>
      <c r="G59" s="81"/>
      <c r="H59" s="81"/>
      <c r="I59" s="81"/>
      <c r="J59" s="2"/>
      <c r="K59" s="2"/>
      <c r="L59" s="2"/>
      <c r="M59" s="2"/>
      <c r="N59" s="2"/>
      <c r="O59" s="2"/>
      <c r="P59" s="81"/>
      <c r="Q59" s="81"/>
      <c r="R59" s="81"/>
      <c r="S59" s="81"/>
      <c r="T59" s="81"/>
      <c r="U59" s="81"/>
      <c r="V59" s="81"/>
      <c r="W59" s="81"/>
      <c r="X59" s="2">
        <f t="shared" si="0"/>
        <v>0</v>
      </c>
    </row>
    <row r="60" spans="1:24" s="43" customFormat="1">
      <c r="A60" s="458">
        <v>29</v>
      </c>
      <c r="B60" s="460" t="s">
        <v>57</v>
      </c>
      <c r="C60" s="2" t="s">
        <v>24</v>
      </c>
      <c r="D60" s="81">
        <v>1450</v>
      </c>
      <c r="E60" s="81">
        <v>1450</v>
      </c>
      <c r="F60" s="81">
        <v>1450</v>
      </c>
      <c r="G60" s="81">
        <v>1450</v>
      </c>
      <c r="H60" s="81">
        <v>1450</v>
      </c>
      <c r="I60" s="81">
        <v>1450</v>
      </c>
      <c r="J60" s="2">
        <v>1400</v>
      </c>
      <c r="K60" s="2">
        <v>1400</v>
      </c>
      <c r="L60" s="2">
        <v>1400</v>
      </c>
      <c r="M60" s="2">
        <v>1400</v>
      </c>
      <c r="N60" s="2">
        <v>1400</v>
      </c>
      <c r="O60" s="2">
        <v>1400</v>
      </c>
      <c r="P60" s="81">
        <v>1350</v>
      </c>
      <c r="Q60" s="81">
        <v>1350</v>
      </c>
      <c r="R60" s="81">
        <v>1350</v>
      </c>
      <c r="S60" s="81">
        <v>1350</v>
      </c>
      <c r="T60" s="81">
        <v>1350</v>
      </c>
      <c r="U60" s="81">
        <v>1350</v>
      </c>
      <c r="V60" s="81">
        <v>1350</v>
      </c>
      <c r="W60" s="81">
        <v>1350</v>
      </c>
      <c r="X60" s="2">
        <f t="shared" si="0"/>
        <v>27900</v>
      </c>
    </row>
    <row r="61" spans="1:24" s="43" customFormat="1">
      <c r="A61" s="458"/>
      <c r="B61" s="460"/>
      <c r="C61" s="2" t="s">
        <v>25</v>
      </c>
      <c r="D61" s="81"/>
      <c r="E61" s="81"/>
      <c r="F61" s="81"/>
      <c r="G61" s="81"/>
      <c r="H61" s="81"/>
      <c r="I61" s="81"/>
      <c r="J61" s="2"/>
      <c r="K61" s="2"/>
      <c r="L61" s="2"/>
      <c r="M61" s="2"/>
      <c r="N61" s="2"/>
      <c r="O61" s="2"/>
      <c r="P61" s="81"/>
      <c r="Q61" s="81"/>
      <c r="R61" s="81"/>
      <c r="S61" s="81"/>
      <c r="T61" s="81"/>
      <c r="U61" s="81"/>
      <c r="V61" s="81"/>
      <c r="W61" s="81"/>
      <c r="X61" s="2">
        <f t="shared" si="0"/>
        <v>0</v>
      </c>
    </row>
    <row r="62" spans="1:24" s="43" customFormat="1">
      <c r="A62" s="458">
        <v>30</v>
      </c>
      <c r="B62" s="460" t="s">
        <v>555</v>
      </c>
      <c r="C62" s="2" t="s">
        <v>24</v>
      </c>
      <c r="D62" s="81">
        <v>500</v>
      </c>
      <c r="E62" s="81">
        <v>500</v>
      </c>
      <c r="F62" s="81">
        <v>500</v>
      </c>
      <c r="G62" s="81">
        <v>500</v>
      </c>
      <c r="H62" s="81">
        <v>500</v>
      </c>
      <c r="I62" s="81">
        <v>500</v>
      </c>
      <c r="J62" s="2">
        <v>480</v>
      </c>
      <c r="K62" s="2">
        <v>480</v>
      </c>
      <c r="L62" s="2">
        <v>480</v>
      </c>
      <c r="M62" s="2">
        <v>480</v>
      </c>
      <c r="N62" s="2">
        <v>480</v>
      </c>
      <c r="O62" s="2">
        <v>480</v>
      </c>
      <c r="P62" s="81">
        <v>480</v>
      </c>
      <c r="Q62" s="81">
        <v>480</v>
      </c>
      <c r="R62" s="81">
        <v>480</v>
      </c>
      <c r="S62" s="81">
        <v>480</v>
      </c>
      <c r="T62" s="81">
        <v>480</v>
      </c>
      <c r="U62" s="81">
        <v>480</v>
      </c>
      <c r="V62" s="81">
        <v>480</v>
      </c>
      <c r="W62" s="81">
        <v>480</v>
      </c>
      <c r="X62" s="2">
        <f t="shared" si="0"/>
        <v>9720</v>
      </c>
    </row>
    <row r="63" spans="1:24" s="43" customFormat="1">
      <c r="A63" s="458"/>
      <c r="B63" s="460"/>
      <c r="C63" s="2" t="s">
        <v>25</v>
      </c>
      <c r="D63" s="81"/>
      <c r="E63" s="81"/>
      <c r="F63" s="81"/>
      <c r="G63" s="81"/>
      <c r="H63" s="81"/>
      <c r="I63" s="81"/>
      <c r="J63" s="2"/>
      <c r="K63" s="2"/>
      <c r="L63" s="2"/>
      <c r="M63" s="2"/>
      <c r="N63" s="2"/>
      <c r="O63" s="2"/>
      <c r="P63" s="81"/>
      <c r="Q63" s="81"/>
      <c r="R63" s="81"/>
      <c r="S63" s="81"/>
      <c r="T63" s="81"/>
      <c r="U63" s="81"/>
      <c r="V63" s="81"/>
      <c r="W63" s="81"/>
      <c r="X63" s="2">
        <f t="shared" si="0"/>
        <v>0</v>
      </c>
    </row>
    <row r="64" spans="1:24" s="43" customFormat="1">
      <c r="A64" s="458">
        <v>31</v>
      </c>
      <c r="B64" s="460" t="s">
        <v>59</v>
      </c>
      <c r="C64" s="2" t="s">
        <v>24</v>
      </c>
      <c r="D64" s="81">
        <v>1095</v>
      </c>
      <c r="E64" s="81">
        <v>1095</v>
      </c>
      <c r="F64" s="81">
        <v>1095</v>
      </c>
      <c r="G64" s="81">
        <v>1095</v>
      </c>
      <c r="H64" s="81">
        <v>1095</v>
      </c>
      <c r="I64" s="81">
        <v>1095</v>
      </c>
      <c r="J64" s="2">
        <v>1095</v>
      </c>
      <c r="K64" s="2">
        <v>1095</v>
      </c>
      <c r="L64" s="2">
        <v>1095</v>
      </c>
      <c r="M64" s="2">
        <v>1095</v>
      </c>
      <c r="N64" s="2">
        <v>1095</v>
      </c>
      <c r="O64" s="2">
        <v>1095</v>
      </c>
      <c r="P64" s="81">
        <v>1118</v>
      </c>
      <c r="Q64" s="81">
        <v>1118</v>
      </c>
      <c r="R64" s="81">
        <v>1118</v>
      </c>
      <c r="S64" s="81">
        <v>1118</v>
      </c>
      <c r="T64" s="81">
        <v>1118</v>
      </c>
      <c r="U64" s="81">
        <v>1118</v>
      </c>
      <c r="V64" s="81">
        <v>1118</v>
      </c>
      <c r="W64" s="81">
        <v>1118</v>
      </c>
      <c r="X64" s="2">
        <f t="shared" si="0"/>
        <v>22084</v>
      </c>
    </row>
    <row r="65" spans="1:24" s="43" customFormat="1">
      <c r="A65" s="458"/>
      <c r="B65" s="460"/>
      <c r="C65" s="2" t="s">
        <v>25</v>
      </c>
      <c r="D65" s="81"/>
      <c r="E65" s="81"/>
      <c r="F65" s="81"/>
      <c r="G65" s="81"/>
      <c r="H65" s="81"/>
      <c r="I65" s="81"/>
      <c r="J65" s="2"/>
      <c r="K65" s="2"/>
      <c r="L65" s="2"/>
      <c r="M65" s="2"/>
      <c r="N65" s="2"/>
      <c r="O65" s="2"/>
      <c r="P65" s="81"/>
      <c r="Q65" s="81"/>
      <c r="R65" s="81"/>
      <c r="S65" s="81"/>
      <c r="T65" s="81"/>
      <c r="U65" s="81"/>
      <c r="V65" s="81"/>
      <c r="W65" s="81"/>
      <c r="X65" s="2">
        <f t="shared" si="0"/>
        <v>0</v>
      </c>
    </row>
    <row r="66" spans="1:24" s="43" customFormat="1">
      <c r="A66" s="458">
        <v>32</v>
      </c>
      <c r="B66" s="460" t="s">
        <v>58</v>
      </c>
      <c r="C66" s="2" t="s">
        <v>24</v>
      </c>
      <c r="D66" s="81">
        <v>1050</v>
      </c>
      <c r="E66" s="81">
        <v>1050</v>
      </c>
      <c r="F66" s="81">
        <v>1050</v>
      </c>
      <c r="G66" s="81">
        <v>1050</v>
      </c>
      <c r="H66" s="81">
        <v>1050</v>
      </c>
      <c r="I66" s="81">
        <v>1050</v>
      </c>
      <c r="J66" s="2">
        <v>1050</v>
      </c>
      <c r="K66" s="2">
        <v>1050</v>
      </c>
      <c r="L66" s="2">
        <v>1050</v>
      </c>
      <c r="M66" s="2">
        <v>1050</v>
      </c>
      <c r="N66" s="2">
        <v>1050</v>
      </c>
      <c r="O66" s="2">
        <v>1050</v>
      </c>
      <c r="P66" s="81">
        <v>1000</v>
      </c>
      <c r="Q66" s="81">
        <v>1000</v>
      </c>
      <c r="R66" s="81">
        <v>1000</v>
      </c>
      <c r="S66" s="81">
        <v>1000</v>
      </c>
      <c r="T66" s="81">
        <v>1000</v>
      </c>
      <c r="U66" s="81">
        <v>1000</v>
      </c>
      <c r="V66" s="81">
        <v>1000</v>
      </c>
      <c r="W66" s="81">
        <v>1000</v>
      </c>
      <c r="X66" s="2">
        <f t="shared" si="0"/>
        <v>20600</v>
      </c>
    </row>
    <row r="67" spans="1:24" s="43" customFormat="1">
      <c r="A67" s="458"/>
      <c r="B67" s="460"/>
      <c r="C67" s="2" t="s">
        <v>25</v>
      </c>
      <c r="D67" s="81"/>
      <c r="E67" s="81"/>
      <c r="F67" s="81"/>
      <c r="G67" s="81"/>
      <c r="H67" s="81"/>
      <c r="I67" s="81"/>
      <c r="J67" s="2"/>
      <c r="K67" s="2"/>
      <c r="L67" s="2"/>
      <c r="M67" s="2"/>
      <c r="N67" s="2"/>
      <c r="O67" s="2"/>
      <c r="P67" s="81"/>
      <c r="Q67" s="81"/>
      <c r="R67" s="81"/>
      <c r="S67" s="81"/>
      <c r="T67" s="81"/>
      <c r="U67" s="81"/>
      <c r="V67" s="81"/>
      <c r="W67" s="81"/>
      <c r="X67" s="2">
        <f t="shared" si="0"/>
        <v>0</v>
      </c>
    </row>
    <row r="68" spans="1:24">
      <c r="A68" s="458">
        <v>33</v>
      </c>
      <c r="B68" s="460" t="s">
        <v>556</v>
      </c>
      <c r="C68" s="2" t="s">
        <v>24</v>
      </c>
      <c r="D68" s="81">
        <v>2850</v>
      </c>
      <c r="E68" s="81">
        <v>2850</v>
      </c>
      <c r="F68" s="81">
        <v>2850</v>
      </c>
      <c r="G68" s="81">
        <v>2850</v>
      </c>
      <c r="H68" s="81">
        <v>2850</v>
      </c>
      <c r="I68" s="81">
        <v>2850</v>
      </c>
      <c r="J68" s="2">
        <v>2750</v>
      </c>
      <c r="K68" s="2">
        <v>2750</v>
      </c>
      <c r="L68" s="2">
        <v>2750</v>
      </c>
      <c r="M68" s="2">
        <v>2750</v>
      </c>
      <c r="N68" s="2">
        <v>2750</v>
      </c>
      <c r="O68" s="2">
        <v>2750</v>
      </c>
      <c r="P68" s="81">
        <v>2700</v>
      </c>
      <c r="Q68" s="81">
        <v>2700</v>
      </c>
      <c r="R68" s="81">
        <v>2700</v>
      </c>
      <c r="S68" s="81">
        <v>2700</v>
      </c>
      <c r="T68" s="81">
        <v>2700</v>
      </c>
      <c r="U68" s="81">
        <v>2700</v>
      </c>
      <c r="V68" s="81">
        <v>2700</v>
      </c>
      <c r="W68" s="81">
        <v>2700</v>
      </c>
      <c r="X68" s="2">
        <f t="shared" si="0"/>
        <v>55200</v>
      </c>
    </row>
    <row r="69" spans="1:24">
      <c r="A69" s="458"/>
      <c r="B69" s="460"/>
      <c r="C69" s="2" t="s">
        <v>25</v>
      </c>
      <c r="D69" s="81"/>
      <c r="E69" s="81"/>
      <c r="F69" s="81"/>
      <c r="G69" s="81"/>
      <c r="H69" s="81"/>
      <c r="I69" s="81"/>
      <c r="J69" s="2"/>
      <c r="K69" s="2"/>
      <c r="L69" s="2"/>
      <c r="M69" s="2"/>
      <c r="N69" s="2"/>
      <c r="O69" s="2"/>
      <c r="P69" s="81"/>
      <c r="Q69" s="81"/>
      <c r="R69" s="81"/>
      <c r="S69" s="81"/>
      <c r="T69" s="81"/>
      <c r="U69" s="81"/>
      <c r="V69" s="81"/>
      <c r="W69" s="81"/>
      <c r="X69" s="2">
        <f t="shared" ref="X69:X71" si="1">SUM(D69:W69)</f>
        <v>0</v>
      </c>
    </row>
    <row r="70" spans="1:24">
      <c r="A70" s="458">
        <v>34</v>
      </c>
      <c r="B70" s="460" t="s">
        <v>557</v>
      </c>
      <c r="C70" s="2" t="s">
        <v>24</v>
      </c>
      <c r="D70" s="81">
        <v>680</v>
      </c>
      <c r="E70" s="81">
        <v>680</v>
      </c>
      <c r="F70" s="81">
        <v>680</v>
      </c>
      <c r="G70" s="81">
        <v>680</v>
      </c>
      <c r="H70" s="81">
        <v>680</v>
      </c>
      <c r="I70" s="81">
        <v>680</v>
      </c>
      <c r="J70" s="2">
        <v>650</v>
      </c>
      <c r="K70" s="2">
        <v>650</v>
      </c>
      <c r="L70" s="2">
        <v>650</v>
      </c>
      <c r="M70" s="2">
        <v>650</v>
      </c>
      <c r="N70" s="2">
        <v>650</v>
      </c>
      <c r="O70" s="2">
        <v>650</v>
      </c>
      <c r="P70" s="81">
        <v>550</v>
      </c>
      <c r="Q70" s="81">
        <v>550</v>
      </c>
      <c r="R70" s="81">
        <v>550</v>
      </c>
      <c r="S70" s="81">
        <v>550</v>
      </c>
      <c r="T70" s="81">
        <v>550</v>
      </c>
      <c r="U70" s="81">
        <v>550</v>
      </c>
      <c r="V70" s="81">
        <v>550</v>
      </c>
      <c r="W70" s="81">
        <v>550</v>
      </c>
      <c r="X70" s="2">
        <f t="shared" si="1"/>
        <v>12380</v>
      </c>
    </row>
    <row r="71" spans="1:24">
      <c r="A71" s="458"/>
      <c r="B71" s="460"/>
      <c r="C71" s="2" t="s">
        <v>25</v>
      </c>
      <c r="D71" s="81"/>
      <c r="E71" s="81"/>
      <c r="F71" s="81"/>
      <c r="G71" s="81"/>
      <c r="H71" s="81"/>
      <c r="I71" s="81"/>
      <c r="J71" s="2"/>
      <c r="K71" s="2"/>
      <c r="L71" s="2"/>
      <c r="M71" s="2"/>
      <c r="N71" s="2"/>
      <c r="O71" s="2"/>
      <c r="P71" s="81"/>
      <c r="Q71" s="81"/>
      <c r="R71" s="81"/>
      <c r="S71" s="81"/>
      <c r="T71" s="81"/>
      <c r="U71" s="81"/>
      <c r="V71" s="81"/>
      <c r="W71" s="81"/>
      <c r="X71" s="2">
        <f t="shared" si="1"/>
        <v>0</v>
      </c>
    </row>
    <row r="72" spans="1:24">
      <c r="A72" s="442" t="s">
        <v>35</v>
      </c>
      <c r="B72" s="442"/>
      <c r="C72" s="442"/>
      <c r="D72" s="2">
        <f>D4+D6+D8+D10+D12+D14+D16+D18+D20+D22+D24+D26+D28+D30+D32+D34+D36+D38+D40+D42+D44+D46+D48+D50+D52+D54+D56+D58+D60+D62+D64+D66+D68+D70</f>
        <v>45114</v>
      </c>
      <c r="E72" s="2">
        <f t="shared" ref="E72:X72" si="2">E4+E6+E8+E10+E12+E14+E16+E18+E20+E22+E24+E26+E28+E30+E32+E34+E36+E38+E40+E42+E44+E46+E48+E50+E52+E54+E56+E58+E60+E62+E64+E66+E68+E70</f>
        <v>45114</v>
      </c>
      <c r="F72" s="2">
        <f t="shared" si="2"/>
        <v>45114</v>
      </c>
      <c r="G72" s="2">
        <f t="shared" si="2"/>
        <v>45114</v>
      </c>
      <c r="H72" s="2">
        <f t="shared" si="2"/>
        <v>45114</v>
      </c>
      <c r="I72" s="2">
        <f t="shared" si="2"/>
        <v>45114</v>
      </c>
      <c r="J72" s="2">
        <f t="shared" si="2"/>
        <v>42770</v>
      </c>
      <c r="K72" s="2">
        <f t="shared" si="2"/>
        <v>42770</v>
      </c>
      <c r="L72" s="2">
        <f t="shared" si="2"/>
        <v>42770</v>
      </c>
      <c r="M72" s="2">
        <f t="shared" si="2"/>
        <v>42770</v>
      </c>
      <c r="N72" s="2">
        <f t="shared" si="2"/>
        <v>42770</v>
      </c>
      <c r="O72" s="2">
        <f t="shared" si="2"/>
        <v>42770</v>
      </c>
      <c r="P72" s="2">
        <f t="shared" si="2"/>
        <v>41883</v>
      </c>
      <c r="Q72" s="2">
        <f t="shared" si="2"/>
        <v>41883</v>
      </c>
      <c r="R72" s="2">
        <f t="shared" si="2"/>
        <v>41883</v>
      </c>
      <c r="S72" s="2">
        <f t="shared" si="2"/>
        <v>41883</v>
      </c>
      <c r="T72" s="2">
        <f t="shared" si="2"/>
        <v>41883</v>
      </c>
      <c r="U72" s="2">
        <f t="shared" si="2"/>
        <v>41883</v>
      </c>
      <c r="V72" s="2">
        <f t="shared" si="2"/>
        <v>41883</v>
      </c>
      <c r="W72" s="2">
        <f t="shared" si="2"/>
        <v>41883</v>
      </c>
      <c r="X72" s="2">
        <f t="shared" si="2"/>
        <v>862368</v>
      </c>
    </row>
    <row r="73" spans="1:24">
      <c r="A73" s="442" t="s">
        <v>36</v>
      </c>
      <c r="B73" s="442"/>
      <c r="C73" s="442"/>
      <c r="D73" s="2">
        <f>D5+D7+D9+D11+D13+D15+D17+D19+D21+D23+D25+D27+D29+D31+D33+D35+D37+D39+D41+D43+D45+D47+D49+D51+D53+D55+D57+D59+D61+D63+D65+D67+D69+D71</f>
        <v>0</v>
      </c>
      <c r="E73" s="2">
        <f t="shared" ref="E73:X73" si="3">E5+E7+E9+E11+E13+E15+E17+E19+E21+E23+E25+E27+E29+E31+E33+E35+E37+E39+E41+E43+E45+E47+E49+E51+E53+E55+E57+E59+E61+E63+E65+E67+E69+E71</f>
        <v>0</v>
      </c>
      <c r="F73" s="2">
        <f t="shared" si="3"/>
        <v>0</v>
      </c>
      <c r="G73" s="2">
        <f t="shared" si="3"/>
        <v>0</v>
      </c>
      <c r="H73" s="2">
        <f t="shared" si="3"/>
        <v>0</v>
      </c>
      <c r="I73" s="2">
        <f t="shared" si="3"/>
        <v>0</v>
      </c>
      <c r="J73" s="2">
        <f t="shared" si="3"/>
        <v>0</v>
      </c>
      <c r="K73" s="2">
        <f t="shared" si="3"/>
        <v>0</v>
      </c>
      <c r="L73" s="2">
        <f t="shared" si="3"/>
        <v>0</v>
      </c>
      <c r="M73" s="2">
        <f t="shared" si="3"/>
        <v>0</v>
      </c>
      <c r="N73" s="2">
        <f t="shared" si="3"/>
        <v>0</v>
      </c>
      <c r="O73" s="2">
        <f t="shared" si="3"/>
        <v>0</v>
      </c>
      <c r="P73" s="2">
        <f t="shared" si="3"/>
        <v>0</v>
      </c>
      <c r="Q73" s="2">
        <f t="shared" si="3"/>
        <v>0</v>
      </c>
      <c r="R73" s="2">
        <f t="shared" si="3"/>
        <v>0</v>
      </c>
      <c r="S73" s="2">
        <f t="shared" si="3"/>
        <v>0</v>
      </c>
      <c r="T73" s="2">
        <f t="shared" si="3"/>
        <v>0</v>
      </c>
      <c r="U73" s="2">
        <f t="shared" si="3"/>
        <v>0</v>
      </c>
      <c r="V73" s="2">
        <f t="shared" si="3"/>
        <v>0</v>
      </c>
      <c r="W73" s="2">
        <f t="shared" si="3"/>
        <v>0</v>
      </c>
      <c r="X73" s="2">
        <f t="shared" si="3"/>
        <v>0</v>
      </c>
    </row>
    <row r="74" spans="1:24">
      <c r="A74" s="442" t="s">
        <v>37</v>
      </c>
      <c r="B74" s="442"/>
      <c r="C74" s="442"/>
      <c r="D74" s="2">
        <f>D72-D73</f>
        <v>45114</v>
      </c>
      <c r="E74" s="2">
        <f t="shared" ref="E74:W74" si="4">E72-E73</f>
        <v>45114</v>
      </c>
      <c r="F74" s="2">
        <f t="shared" si="4"/>
        <v>45114</v>
      </c>
      <c r="G74" s="2">
        <f t="shared" si="4"/>
        <v>45114</v>
      </c>
      <c r="H74" s="2">
        <f t="shared" si="4"/>
        <v>45114</v>
      </c>
      <c r="I74" s="2">
        <f t="shared" si="4"/>
        <v>45114</v>
      </c>
      <c r="J74" s="2">
        <f t="shared" si="4"/>
        <v>42770</v>
      </c>
      <c r="K74" s="2">
        <f t="shared" si="4"/>
        <v>42770</v>
      </c>
      <c r="L74" s="2">
        <f t="shared" si="4"/>
        <v>42770</v>
      </c>
      <c r="M74" s="2">
        <f t="shared" si="4"/>
        <v>42770</v>
      </c>
      <c r="N74" s="2">
        <f t="shared" si="4"/>
        <v>42770</v>
      </c>
      <c r="O74" s="2">
        <f t="shared" si="4"/>
        <v>42770</v>
      </c>
      <c r="P74" s="2">
        <f t="shared" si="4"/>
        <v>41883</v>
      </c>
      <c r="Q74" s="2">
        <f t="shared" si="4"/>
        <v>41883</v>
      </c>
      <c r="R74" s="2">
        <f t="shared" si="4"/>
        <v>41883</v>
      </c>
      <c r="S74" s="2">
        <f t="shared" si="4"/>
        <v>41883</v>
      </c>
      <c r="T74" s="2">
        <f t="shared" si="4"/>
        <v>41883</v>
      </c>
      <c r="U74" s="2">
        <f t="shared" si="4"/>
        <v>41883</v>
      </c>
      <c r="V74" s="2">
        <f t="shared" si="4"/>
        <v>41883</v>
      </c>
      <c r="W74" s="2">
        <f t="shared" si="4"/>
        <v>41883</v>
      </c>
      <c r="X74" s="2">
        <f t="shared" ref="X74" si="5">SUM(D74:W74)</f>
        <v>862368</v>
      </c>
    </row>
    <row r="75" spans="1:24">
      <c r="D75" s="233">
        <v>1</v>
      </c>
      <c r="E75" s="233">
        <v>2</v>
      </c>
      <c r="F75" s="233">
        <v>3</v>
      </c>
      <c r="G75" s="233">
        <v>4</v>
      </c>
      <c r="H75" s="233">
        <v>5</v>
      </c>
      <c r="I75" s="233">
        <v>6</v>
      </c>
      <c r="J75" s="233">
        <v>7</v>
      </c>
      <c r="K75" s="233">
        <v>8</v>
      </c>
      <c r="L75" s="233">
        <v>9</v>
      </c>
      <c r="M75" s="233">
        <v>10</v>
      </c>
      <c r="N75" s="233">
        <v>11</v>
      </c>
      <c r="O75" s="233">
        <v>12</v>
      </c>
      <c r="P75" s="233">
        <v>13</v>
      </c>
      <c r="Q75" s="233">
        <v>14</v>
      </c>
      <c r="R75" s="233">
        <v>15</v>
      </c>
      <c r="S75" s="233">
        <v>16</v>
      </c>
      <c r="T75" s="233">
        <v>17</v>
      </c>
      <c r="U75" s="233">
        <v>18</v>
      </c>
      <c r="V75" s="233">
        <v>19</v>
      </c>
      <c r="W75" s="233">
        <v>20</v>
      </c>
    </row>
  </sheetData>
  <mergeCells count="78">
    <mergeCell ref="A10:A11"/>
    <mergeCell ref="B10:B11"/>
    <mergeCell ref="A12:A13"/>
    <mergeCell ref="B12:B13"/>
    <mergeCell ref="A14:A15"/>
    <mergeCell ref="B14:B15"/>
    <mergeCell ref="A1:X1"/>
    <mergeCell ref="A2:A3"/>
    <mergeCell ref="B2:B3"/>
    <mergeCell ref="D2:I2"/>
    <mergeCell ref="J2:O2"/>
    <mergeCell ref="P2:W2"/>
    <mergeCell ref="X2:X3"/>
    <mergeCell ref="A4:A5"/>
    <mergeCell ref="B4:B5"/>
    <mergeCell ref="A6:A7"/>
    <mergeCell ref="B6:B7"/>
    <mergeCell ref="A8:A9"/>
    <mergeCell ref="B8:B9"/>
    <mergeCell ref="A22:A23"/>
    <mergeCell ref="B22:B23"/>
    <mergeCell ref="A24:A25"/>
    <mergeCell ref="B24:B25"/>
    <mergeCell ref="A26:A27"/>
    <mergeCell ref="B26:B27"/>
    <mergeCell ref="A16:A17"/>
    <mergeCell ref="B16:B17"/>
    <mergeCell ref="A18:A19"/>
    <mergeCell ref="B18:B19"/>
    <mergeCell ref="A20:A21"/>
    <mergeCell ref="B20:B21"/>
    <mergeCell ref="A34:A35"/>
    <mergeCell ref="B34:B35"/>
    <mergeCell ref="A36:A37"/>
    <mergeCell ref="B36:B37"/>
    <mergeCell ref="A38:A39"/>
    <mergeCell ref="B38:B39"/>
    <mergeCell ref="A28:A29"/>
    <mergeCell ref="B28:B29"/>
    <mergeCell ref="A30:A31"/>
    <mergeCell ref="B30:B31"/>
    <mergeCell ref="A32:A33"/>
    <mergeCell ref="B32:B33"/>
    <mergeCell ref="A46:A47"/>
    <mergeCell ref="B46:B47"/>
    <mergeCell ref="A68:A69"/>
    <mergeCell ref="B68:B69"/>
    <mergeCell ref="A70:A71"/>
    <mergeCell ref="B70:B71"/>
    <mergeCell ref="A48:A49"/>
    <mergeCell ref="A50:A51"/>
    <mergeCell ref="A52:A53"/>
    <mergeCell ref="A54:A55"/>
    <mergeCell ref="A56:A57"/>
    <mergeCell ref="A58:A59"/>
    <mergeCell ref="A60:A61"/>
    <mergeCell ref="A62:A63"/>
    <mergeCell ref="A64:A65"/>
    <mergeCell ref="A66:A67"/>
    <mergeCell ref="A40:A41"/>
    <mergeCell ref="B40:B41"/>
    <mergeCell ref="A42:A43"/>
    <mergeCell ref="B42:B43"/>
    <mergeCell ref="A44:A45"/>
    <mergeCell ref="B44:B45"/>
    <mergeCell ref="B48:B49"/>
    <mergeCell ref="B50:B51"/>
    <mergeCell ref="A72:C72"/>
    <mergeCell ref="A73:C73"/>
    <mergeCell ref="A74:C74"/>
    <mergeCell ref="B62:B63"/>
    <mergeCell ref="B64:B65"/>
    <mergeCell ref="B66:B67"/>
    <mergeCell ref="B52:B53"/>
    <mergeCell ref="B54:B55"/>
    <mergeCell ref="B56:B57"/>
    <mergeCell ref="B58:B59"/>
    <mergeCell ref="B60:B6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Y24"/>
  <sheetViews>
    <sheetView zoomScaleNormal="100" workbookViewId="0">
      <selection activeCell="Q25" sqref="Q25"/>
    </sheetView>
  </sheetViews>
  <sheetFormatPr defaultRowHeight="15.75"/>
  <cols>
    <col min="1" max="1" width="4.28515625" style="1" customWidth="1"/>
    <col min="2" max="2" width="8.140625" style="5" customWidth="1"/>
    <col min="3" max="3" width="8.28515625" style="1" customWidth="1"/>
    <col min="4" max="4" width="7.5703125" style="1" customWidth="1"/>
    <col min="5" max="5" width="7.7109375" style="1" customWidth="1"/>
    <col min="6" max="6" width="7" style="1" customWidth="1"/>
    <col min="7" max="7" width="7.28515625" style="1" customWidth="1"/>
    <col min="8" max="9" width="7.140625" style="1" customWidth="1"/>
    <col min="10" max="11" width="7" style="1" customWidth="1"/>
    <col min="12" max="12" width="6.7109375" style="1" customWidth="1"/>
    <col min="13" max="13" width="7.140625" style="1" customWidth="1"/>
    <col min="14" max="14" width="4.85546875" style="1" bestFit="1" customWidth="1"/>
    <col min="15" max="15" width="7" style="1" bestFit="1" customWidth="1"/>
    <col min="16" max="16" width="7" style="1" customWidth="1"/>
    <col min="17" max="17" width="6.5703125" style="1" customWidth="1"/>
    <col min="18" max="18" width="7.28515625" style="1" customWidth="1"/>
    <col min="19" max="19" width="6.42578125" style="1" customWidth="1"/>
    <col min="20" max="20" width="5.28515625" style="1" bestFit="1" customWidth="1"/>
    <col min="21" max="21" width="4.85546875" style="1" bestFit="1" customWidth="1"/>
    <col min="22" max="22" width="4.85546875" style="1" customWidth="1"/>
    <col min="23" max="23" width="4.7109375" style="1" customWidth="1"/>
    <col min="24" max="24" width="5.42578125" style="1" customWidth="1"/>
    <col min="25" max="25" width="8.28515625" style="1" customWidth="1"/>
  </cols>
  <sheetData>
    <row r="1" spans="1:25" ht="19.5" customHeight="1">
      <c r="A1" s="536" t="s">
        <v>481</v>
      </c>
      <c r="B1" s="536"/>
      <c r="C1" s="536"/>
      <c r="D1" s="536"/>
      <c r="E1" s="536"/>
      <c r="F1" s="536"/>
      <c r="G1" s="536"/>
      <c r="H1" s="536"/>
      <c r="I1" s="536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</row>
    <row r="2" spans="1:25" ht="31.5">
      <c r="A2" s="33" t="s">
        <v>118</v>
      </c>
      <c r="B2" s="33" t="s">
        <v>307</v>
      </c>
      <c r="C2" s="35" t="s">
        <v>24</v>
      </c>
      <c r="D2" s="34" t="s">
        <v>45</v>
      </c>
      <c r="E2" s="34" t="s">
        <v>173</v>
      </c>
      <c r="F2" s="35" t="s">
        <v>174</v>
      </c>
      <c r="G2" s="35" t="s">
        <v>27</v>
      </c>
      <c r="H2" s="35" t="s">
        <v>175</v>
      </c>
      <c r="I2" s="35" t="s">
        <v>42</v>
      </c>
      <c r="J2" s="35" t="s">
        <v>169</v>
      </c>
      <c r="K2" s="35" t="s">
        <v>32</v>
      </c>
      <c r="L2" s="34" t="s">
        <v>44</v>
      </c>
      <c r="M2" s="35" t="s">
        <v>40</v>
      </c>
      <c r="N2" s="35" t="s">
        <v>43</v>
      </c>
      <c r="O2" s="35" t="s">
        <v>47</v>
      </c>
      <c r="P2" s="35" t="s">
        <v>226</v>
      </c>
      <c r="Q2" s="35" t="s">
        <v>48</v>
      </c>
      <c r="R2" s="35" t="s">
        <v>49</v>
      </c>
      <c r="S2" s="35" t="s">
        <v>478</v>
      </c>
      <c r="T2" s="35" t="s">
        <v>51</v>
      </c>
      <c r="U2" s="35" t="s">
        <v>479</v>
      </c>
      <c r="V2" s="35" t="s">
        <v>480</v>
      </c>
      <c r="W2" s="34" t="s">
        <v>149</v>
      </c>
      <c r="X2" s="34" t="s">
        <v>99</v>
      </c>
      <c r="Y2" s="35" t="s">
        <v>88</v>
      </c>
    </row>
    <row r="3" spans="1:25">
      <c r="A3" s="428">
        <v>1</v>
      </c>
      <c r="B3" s="331" t="s">
        <v>482</v>
      </c>
      <c r="C3" s="57" t="s">
        <v>24</v>
      </c>
      <c r="D3" s="57">
        <v>1755</v>
      </c>
      <c r="E3" s="248">
        <v>1755</v>
      </c>
      <c r="F3" s="248">
        <v>1755</v>
      </c>
      <c r="G3" s="248">
        <v>1755</v>
      </c>
      <c r="H3" s="248">
        <v>1755</v>
      </c>
      <c r="I3" s="248">
        <v>1755</v>
      </c>
      <c r="J3" s="248">
        <v>1755</v>
      </c>
      <c r="K3" s="248">
        <v>1755</v>
      </c>
      <c r="L3" s="248">
        <v>1755</v>
      </c>
      <c r="M3" s="57"/>
      <c r="N3" s="57">
        <v>505</v>
      </c>
      <c r="O3" s="57">
        <v>1010</v>
      </c>
      <c r="P3" s="57">
        <v>240</v>
      </c>
      <c r="Q3" s="57">
        <v>1192</v>
      </c>
      <c r="R3" s="57">
        <v>563</v>
      </c>
      <c r="S3" s="57">
        <v>0</v>
      </c>
      <c r="T3" s="57">
        <v>0</v>
      </c>
      <c r="U3" s="57">
        <v>0</v>
      </c>
      <c r="V3" s="252">
        <v>0</v>
      </c>
      <c r="W3" s="252">
        <v>0</v>
      </c>
      <c r="X3" s="252">
        <v>0</v>
      </c>
      <c r="Y3" s="57">
        <f>SUM(D3:X3)</f>
        <v>19305</v>
      </c>
    </row>
    <row r="4" spans="1:25">
      <c r="A4" s="424"/>
      <c r="B4" s="332"/>
      <c r="C4" s="57" t="s">
        <v>25</v>
      </c>
      <c r="D4" s="57"/>
      <c r="E4" s="248"/>
      <c r="F4" s="248"/>
      <c r="G4" s="248"/>
      <c r="H4" s="248"/>
      <c r="I4" s="248"/>
      <c r="J4" s="248"/>
      <c r="K4" s="248"/>
      <c r="L4" s="248"/>
      <c r="M4" s="57"/>
      <c r="N4" s="57"/>
      <c r="O4" s="57"/>
      <c r="P4" s="57"/>
      <c r="Q4" s="57"/>
      <c r="R4" s="57"/>
      <c r="S4" s="252"/>
      <c r="T4" s="57"/>
      <c r="U4" s="57"/>
      <c r="V4" s="252"/>
      <c r="W4" s="252"/>
      <c r="X4" s="252"/>
      <c r="Y4" s="252">
        <f t="shared" ref="Y4:Y22" si="0">SUM(D4:X4)</f>
        <v>0</v>
      </c>
    </row>
    <row r="5" spans="1:25" s="43" customFormat="1">
      <c r="A5" s="428">
        <v>2</v>
      </c>
      <c r="B5" s="331" t="s">
        <v>483</v>
      </c>
      <c r="C5" s="248" t="s">
        <v>24</v>
      </c>
      <c r="D5" s="248">
        <v>5315</v>
      </c>
      <c r="E5" s="248">
        <v>5315</v>
      </c>
      <c r="F5" s="248">
        <v>5315</v>
      </c>
      <c r="G5" s="248">
        <v>5315</v>
      </c>
      <c r="H5" s="248">
        <v>5315</v>
      </c>
      <c r="I5" s="248">
        <v>5315</v>
      </c>
      <c r="J5" s="248">
        <v>5315</v>
      </c>
      <c r="K5" s="248">
        <v>5315</v>
      </c>
      <c r="L5" s="248">
        <v>5315</v>
      </c>
      <c r="M5" s="248"/>
      <c r="N5" s="248">
        <v>0</v>
      </c>
      <c r="O5" s="248">
        <v>4465</v>
      </c>
      <c r="P5" s="248">
        <v>850</v>
      </c>
      <c r="Q5" s="248">
        <v>3810</v>
      </c>
      <c r="R5" s="248">
        <v>1505</v>
      </c>
      <c r="S5" s="248">
        <v>0</v>
      </c>
      <c r="T5" s="248">
        <v>0</v>
      </c>
      <c r="U5" s="248">
        <v>0</v>
      </c>
      <c r="V5" s="252">
        <v>0</v>
      </c>
      <c r="W5" s="252">
        <v>0</v>
      </c>
      <c r="X5" s="252">
        <v>0</v>
      </c>
      <c r="Y5" s="252">
        <f t="shared" si="0"/>
        <v>58465</v>
      </c>
    </row>
    <row r="6" spans="1:25" s="43" customFormat="1">
      <c r="A6" s="424"/>
      <c r="B6" s="332"/>
      <c r="C6" s="248" t="s">
        <v>25</v>
      </c>
      <c r="D6" s="248"/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52"/>
      <c r="W6" s="252"/>
      <c r="X6" s="252"/>
      <c r="Y6" s="252">
        <f t="shared" si="0"/>
        <v>0</v>
      </c>
    </row>
    <row r="7" spans="1:25" s="43" customFormat="1">
      <c r="A7" s="428">
        <v>3</v>
      </c>
      <c r="B7" s="331" t="s">
        <v>484</v>
      </c>
      <c r="C7" s="248" t="s">
        <v>24</v>
      </c>
      <c r="D7" s="248">
        <v>3100</v>
      </c>
      <c r="E7" s="248">
        <v>3100</v>
      </c>
      <c r="F7" s="248">
        <v>3100</v>
      </c>
      <c r="G7" s="248">
        <v>3100</v>
      </c>
      <c r="H7" s="248">
        <v>3100</v>
      </c>
      <c r="I7" s="248">
        <v>3100</v>
      </c>
      <c r="J7" s="248">
        <v>3100</v>
      </c>
      <c r="K7" s="248">
        <v>3100</v>
      </c>
      <c r="L7" s="248">
        <v>3100</v>
      </c>
      <c r="M7" s="248"/>
      <c r="N7" s="248">
        <v>200</v>
      </c>
      <c r="O7" s="248">
        <v>2900</v>
      </c>
      <c r="P7" s="248">
        <v>0</v>
      </c>
      <c r="Q7" s="248">
        <v>2350</v>
      </c>
      <c r="R7" s="248">
        <v>750</v>
      </c>
      <c r="S7" s="248">
        <v>0</v>
      </c>
      <c r="T7" s="248">
        <v>0</v>
      </c>
      <c r="U7" s="248">
        <v>0</v>
      </c>
      <c r="V7" s="252">
        <v>0</v>
      </c>
      <c r="W7" s="252">
        <v>0</v>
      </c>
      <c r="X7" s="252">
        <v>0</v>
      </c>
      <c r="Y7" s="252">
        <f t="shared" si="0"/>
        <v>34100</v>
      </c>
    </row>
    <row r="8" spans="1:25" s="43" customFormat="1">
      <c r="A8" s="424"/>
      <c r="B8" s="332"/>
      <c r="C8" s="248" t="s">
        <v>25</v>
      </c>
      <c r="D8" s="248"/>
      <c r="E8" s="248"/>
      <c r="F8" s="248"/>
      <c r="G8" s="248"/>
      <c r="H8" s="248"/>
      <c r="I8" s="248"/>
      <c r="J8" s="248"/>
      <c r="K8" s="248"/>
      <c r="L8" s="248"/>
      <c r="M8" s="248"/>
      <c r="N8" s="248"/>
      <c r="O8" s="248"/>
      <c r="P8" s="248"/>
      <c r="Q8" s="248"/>
      <c r="R8" s="248"/>
      <c r="S8" s="248"/>
      <c r="T8" s="248"/>
      <c r="U8" s="248"/>
      <c r="V8" s="252"/>
      <c r="W8" s="252"/>
      <c r="X8" s="252"/>
      <c r="Y8" s="252">
        <f t="shared" si="0"/>
        <v>0</v>
      </c>
    </row>
    <row r="9" spans="1:25" s="43" customFormat="1">
      <c r="A9" s="428">
        <v>4</v>
      </c>
      <c r="B9" s="331" t="s">
        <v>485</v>
      </c>
      <c r="C9" s="248" t="s">
        <v>24</v>
      </c>
      <c r="D9" s="248">
        <v>5425</v>
      </c>
      <c r="E9" s="248">
        <v>5425</v>
      </c>
      <c r="F9" s="248">
        <v>5425</v>
      </c>
      <c r="G9" s="248">
        <v>5425</v>
      </c>
      <c r="H9" s="248">
        <v>5425</v>
      </c>
      <c r="I9" s="248">
        <v>5425</v>
      </c>
      <c r="J9" s="248">
        <v>5425</v>
      </c>
      <c r="K9" s="248">
        <v>5425</v>
      </c>
      <c r="L9" s="248">
        <v>5425</v>
      </c>
      <c r="M9" s="248"/>
      <c r="N9" s="248">
        <v>0</v>
      </c>
      <c r="O9" s="248">
        <v>5400</v>
      </c>
      <c r="P9" s="248">
        <v>25</v>
      </c>
      <c r="Q9" s="248">
        <v>3990</v>
      </c>
      <c r="R9" s="248">
        <v>1430</v>
      </c>
      <c r="S9" s="248">
        <v>5</v>
      </c>
      <c r="T9" s="248">
        <v>0</v>
      </c>
      <c r="U9" s="248">
        <v>0</v>
      </c>
      <c r="V9" s="252">
        <v>0</v>
      </c>
      <c r="W9" s="252">
        <v>0</v>
      </c>
      <c r="X9" s="252">
        <v>0</v>
      </c>
      <c r="Y9" s="252">
        <f t="shared" si="0"/>
        <v>59675</v>
      </c>
    </row>
    <row r="10" spans="1:25" s="43" customFormat="1">
      <c r="A10" s="424"/>
      <c r="B10" s="332"/>
      <c r="C10" s="248" t="s">
        <v>25</v>
      </c>
      <c r="D10" s="248"/>
      <c r="E10" s="248"/>
      <c r="F10" s="248"/>
      <c r="G10" s="248"/>
      <c r="H10" s="248"/>
      <c r="I10" s="248"/>
      <c r="J10" s="248"/>
      <c r="K10" s="248"/>
      <c r="L10" s="248"/>
      <c r="M10" s="248"/>
      <c r="N10" s="248"/>
      <c r="O10" s="248"/>
      <c r="P10" s="248"/>
      <c r="Q10" s="248"/>
      <c r="R10" s="248"/>
      <c r="S10" s="248"/>
      <c r="T10" s="248"/>
      <c r="U10" s="248"/>
      <c r="V10" s="252"/>
      <c r="W10" s="252"/>
      <c r="X10" s="252"/>
      <c r="Y10" s="252">
        <f t="shared" si="0"/>
        <v>0</v>
      </c>
    </row>
    <row r="11" spans="1:25" s="43" customFormat="1">
      <c r="A11" s="428">
        <v>5</v>
      </c>
      <c r="B11" s="331" t="s">
        <v>486</v>
      </c>
      <c r="C11" s="248" t="s">
        <v>24</v>
      </c>
      <c r="D11" s="248">
        <v>6000</v>
      </c>
      <c r="E11" s="248">
        <v>6000</v>
      </c>
      <c r="F11" s="248">
        <v>6000</v>
      </c>
      <c r="G11" s="248">
        <v>6000</v>
      </c>
      <c r="H11" s="248">
        <v>6000</v>
      </c>
      <c r="I11" s="248">
        <v>6000</v>
      </c>
      <c r="J11" s="248">
        <v>6000</v>
      </c>
      <c r="K11" s="248">
        <v>6000</v>
      </c>
      <c r="L11" s="248">
        <v>6000</v>
      </c>
      <c r="M11" s="248"/>
      <c r="N11" s="248">
        <v>0</v>
      </c>
      <c r="O11" s="248">
        <v>5190</v>
      </c>
      <c r="P11" s="248">
        <v>810</v>
      </c>
      <c r="Q11" s="248">
        <v>4850</v>
      </c>
      <c r="R11" s="248">
        <v>1150</v>
      </c>
      <c r="S11" s="248">
        <v>7</v>
      </c>
      <c r="T11" s="248">
        <v>7</v>
      </c>
      <c r="U11" s="248">
        <v>0</v>
      </c>
      <c r="V11" s="252">
        <v>0</v>
      </c>
      <c r="W11" s="252">
        <v>0</v>
      </c>
      <c r="X11" s="252">
        <v>0</v>
      </c>
      <c r="Y11" s="252">
        <f t="shared" si="0"/>
        <v>66014</v>
      </c>
    </row>
    <row r="12" spans="1:25" s="43" customFormat="1">
      <c r="A12" s="424"/>
      <c r="B12" s="332"/>
      <c r="C12" s="248" t="s">
        <v>25</v>
      </c>
      <c r="D12" s="248"/>
      <c r="E12" s="248"/>
      <c r="F12" s="248"/>
      <c r="G12" s="248"/>
      <c r="H12" s="248"/>
      <c r="I12" s="248"/>
      <c r="J12" s="248"/>
      <c r="K12" s="248"/>
      <c r="L12" s="248"/>
      <c r="M12" s="248"/>
      <c r="N12" s="248"/>
      <c r="O12" s="248"/>
      <c r="P12" s="248"/>
      <c r="Q12" s="248"/>
      <c r="R12" s="248"/>
      <c r="S12" s="248"/>
      <c r="T12" s="248"/>
      <c r="U12" s="248"/>
      <c r="V12" s="252"/>
      <c r="W12" s="252"/>
      <c r="X12" s="252"/>
      <c r="Y12" s="252">
        <f t="shared" si="0"/>
        <v>0</v>
      </c>
    </row>
    <row r="13" spans="1:25">
      <c r="A13" s="428">
        <v>6</v>
      </c>
      <c r="B13" s="331" t="s">
        <v>487</v>
      </c>
      <c r="C13" s="57" t="s">
        <v>24</v>
      </c>
      <c r="D13" s="57">
        <v>2020</v>
      </c>
      <c r="E13" s="248">
        <v>2020</v>
      </c>
      <c r="F13" s="248">
        <v>2020</v>
      </c>
      <c r="G13" s="248">
        <v>2020</v>
      </c>
      <c r="H13" s="248">
        <v>2020</v>
      </c>
      <c r="I13" s="248">
        <v>2020</v>
      </c>
      <c r="J13" s="248">
        <v>2020</v>
      </c>
      <c r="K13" s="248">
        <v>2020</v>
      </c>
      <c r="L13" s="248">
        <v>2020</v>
      </c>
      <c r="M13" s="57"/>
      <c r="N13" s="57">
        <v>0</v>
      </c>
      <c r="O13" s="57">
        <v>1900</v>
      </c>
      <c r="P13" s="57">
        <v>120</v>
      </c>
      <c r="Q13" s="57">
        <v>1600</v>
      </c>
      <c r="R13" s="57">
        <v>420</v>
      </c>
      <c r="S13" s="57">
        <v>0</v>
      </c>
      <c r="T13" s="57">
        <v>0</v>
      </c>
      <c r="U13" s="57">
        <v>0</v>
      </c>
      <c r="V13" s="252">
        <v>0</v>
      </c>
      <c r="W13" s="252">
        <v>0</v>
      </c>
      <c r="X13" s="252">
        <v>0</v>
      </c>
      <c r="Y13" s="252">
        <f t="shared" si="0"/>
        <v>22220</v>
      </c>
    </row>
    <row r="14" spans="1:25">
      <c r="A14" s="424"/>
      <c r="B14" s="332"/>
      <c r="C14" s="57" t="s">
        <v>25</v>
      </c>
      <c r="D14" s="57"/>
      <c r="E14" s="248"/>
      <c r="F14" s="248"/>
      <c r="G14" s="248"/>
      <c r="H14" s="248"/>
      <c r="I14" s="248"/>
      <c r="J14" s="248"/>
      <c r="K14" s="248"/>
      <c r="L14" s="248"/>
      <c r="M14" s="57"/>
      <c r="N14" s="57"/>
      <c r="O14" s="57"/>
      <c r="P14" s="57"/>
      <c r="Q14" s="57"/>
      <c r="R14" s="57"/>
      <c r="S14" s="57"/>
      <c r="T14" s="57"/>
      <c r="U14" s="57"/>
      <c r="V14" s="252"/>
      <c r="W14" s="252"/>
      <c r="X14" s="252"/>
      <c r="Y14" s="252">
        <f t="shared" si="0"/>
        <v>0</v>
      </c>
    </row>
    <row r="15" spans="1:25">
      <c r="A15" s="428">
        <v>7</v>
      </c>
      <c r="B15" s="331" t="s">
        <v>488</v>
      </c>
      <c r="C15" s="57" t="s">
        <v>24</v>
      </c>
      <c r="D15" s="57">
        <v>5900</v>
      </c>
      <c r="E15" s="248">
        <v>5900</v>
      </c>
      <c r="F15" s="248">
        <v>5900</v>
      </c>
      <c r="G15" s="248">
        <v>5900</v>
      </c>
      <c r="H15" s="248">
        <v>5900</v>
      </c>
      <c r="I15" s="248">
        <v>5900</v>
      </c>
      <c r="J15" s="248">
        <v>5900</v>
      </c>
      <c r="K15" s="248">
        <v>5900</v>
      </c>
      <c r="L15" s="248">
        <v>5900</v>
      </c>
      <c r="M15" s="57"/>
      <c r="N15" s="57">
        <v>250</v>
      </c>
      <c r="O15" s="57">
        <v>4999</v>
      </c>
      <c r="P15" s="57">
        <v>651</v>
      </c>
      <c r="Q15" s="57">
        <v>4405</v>
      </c>
      <c r="R15" s="57">
        <v>1480</v>
      </c>
      <c r="S15" s="57">
        <v>15</v>
      </c>
      <c r="T15" s="57">
        <v>0</v>
      </c>
      <c r="U15" s="57">
        <v>0</v>
      </c>
      <c r="V15" s="252">
        <v>0</v>
      </c>
      <c r="W15" s="252">
        <v>0</v>
      </c>
      <c r="X15" s="252">
        <v>0</v>
      </c>
      <c r="Y15" s="252">
        <f t="shared" si="0"/>
        <v>64900</v>
      </c>
    </row>
    <row r="16" spans="1:25">
      <c r="A16" s="424"/>
      <c r="B16" s="332"/>
      <c r="C16" s="57" t="s">
        <v>25</v>
      </c>
      <c r="D16" s="57"/>
      <c r="E16" s="248"/>
      <c r="F16" s="248"/>
      <c r="G16" s="248"/>
      <c r="H16" s="248"/>
      <c r="I16" s="248"/>
      <c r="J16" s="248"/>
      <c r="K16" s="248"/>
      <c r="L16" s="248"/>
      <c r="M16" s="57"/>
      <c r="N16" s="57"/>
      <c r="O16" s="57"/>
      <c r="P16" s="57"/>
      <c r="Q16" s="57"/>
      <c r="R16" s="57"/>
      <c r="S16" s="57"/>
      <c r="T16" s="57"/>
      <c r="U16" s="57"/>
      <c r="V16" s="252"/>
      <c r="W16" s="252"/>
      <c r="X16" s="252"/>
      <c r="Y16" s="252">
        <f t="shared" si="0"/>
        <v>0</v>
      </c>
    </row>
    <row r="17" spans="1:25">
      <c r="A17" s="428">
        <v>8</v>
      </c>
      <c r="B17" s="331" t="s">
        <v>489</v>
      </c>
      <c r="C17" s="57" t="s">
        <v>24</v>
      </c>
      <c r="D17" s="57">
        <v>5400</v>
      </c>
      <c r="E17" s="248">
        <v>5400</v>
      </c>
      <c r="F17" s="248">
        <v>5400</v>
      </c>
      <c r="G17" s="248">
        <v>5400</v>
      </c>
      <c r="H17" s="248">
        <v>5400</v>
      </c>
      <c r="I17" s="248">
        <v>5400</v>
      </c>
      <c r="J17" s="248">
        <v>5400</v>
      </c>
      <c r="K17" s="248">
        <v>5400</v>
      </c>
      <c r="L17" s="248">
        <v>5400</v>
      </c>
      <c r="M17" s="57"/>
      <c r="N17" s="57">
        <v>0</v>
      </c>
      <c r="O17" s="57">
        <v>4700</v>
      </c>
      <c r="P17" s="57">
        <v>700</v>
      </c>
      <c r="Q17" s="57">
        <v>4100</v>
      </c>
      <c r="R17" s="57">
        <v>1300</v>
      </c>
      <c r="S17" s="57">
        <v>0</v>
      </c>
      <c r="T17" s="57">
        <v>0</v>
      </c>
      <c r="U17" s="57">
        <v>0</v>
      </c>
      <c r="V17" s="252">
        <v>0</v>
      </c>
      <c r="W17" s="252">
        <v>0</v>
      </c>
      <c r="X17" s="252">
        <v>0</v>
      </c>
      <c r="Y17" s="252">
        <f t="shared" si="0"/>
        <v>59400</v>
      </c>
    </row>
    <row r="18" spans="1:25">
      <c r="A18" s="424"/>
      <c r="B18" s="332"/>
      <c r="C18" s="57" t="s">
        <v>25</v>
      </c>
      <c r="D18" s="57"/>
      <c r="E18" s="248"/>
      <c r="F18" s="248"/>
      <c r="G18" s="248"/>
      <c r="H18" s="248"/>
      <c r="I18" s="248"/>
      <c r="J18" s="248"/>
      <c r="K18" s="248"/>
      <c r="L18" s="248"/>
      <c r="M18" s="57"/>
      <c r="N18" s="57"/>
      <c r="O18" s="57"/>
      <c r="P18" s="57"/>
      <c r="Q18" s="57"/>
      <c r="R18" s="57"/>
      <c r="S18" s="57"/>
      <c r="T18" s="57"/>
      <c r="U18" s="57"/>
      <c r="V18" s="252"/>
      <c r="W18" s="252"/>
      <c r="X18" s="252"/>
      <c r="Y18" s="252">
        <f t="shared" si="0"/>
        <v>0</v>
      </c>
    </row>
    <row r="19" spans="1:25">
      <c r="A19" s="428">
        <v>9</v>
      </c>
      <c r="B19" s="331" t="s">
        <v>490</v>
      </c>
      <c r="C19" s="57" t="s">
        <v>24</v>
      </c>
      <c r="D19" s="57">
        <v>2113</v>
      </c>
      <c r="E19" s="248">
        <v>2113</v>
      </c>
      <c r="F19" s="248">
        <v>2113</v>
      </c>
      <c r="G19" s="248">
        <v>2113</v>
      </c>
      <c r="H19" s="248">
        <v>2113</v>
      </c>
      <c r="I19" s="248">
        <v>2113</v>
      </c>
      <c r="J19" s="248">
        <v>2113</v>
      </c>
      <c r="K19" s="248">
        <v>2113</v>
      </c>
      <c r="L19" s="248">
        <v>2113</v>
      </c>
      <c r="M19" s="57"/>
      <c r="N19" s="57">
        <v>0</v>
      </c>
      <c r="O19" s="57">
        <v>1873</v>
      </c>
      <c r="P19" s="57">
        <v>240</v>
      </c>
      <c r="Q19" s="57">
        <v>1806</v>
      </c>
      <c r="R19" s="57">
        <v>303</v>
      </c>
      <c r="S19" s="57">
        <v>4</v>
      </c>
      <c r="T19" s="57">
        <v>0</v>
      </c>
      <c r="U19" s="57">
        <v>0</v>
      </c>
      <c r="V19" s="252">
        <v>0</v>
      </c>
      <c r="W19" s="252">
        <v>0</v>
      </c>
      <c r="X19" s="252">
        <v>0</v>
      </c>
      <c r="Y19" s="252">
        <f t="shared" si="0"/>
        <v>23243</v>
      </c>
    </row>
    <row r="20" spans="1:25">
      <c r="A20" s="424"/>
      <c r="B20" s="332"/>
      <c r="C20" s="57" t="s">
        <v>25</v>
      </c>
      <c r="D20" s="57"/>
      <c r="E20" s="57"/>
      <c r="F20" s="57"/>
      <c r="G20" s="57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252">
        <f t="shared" si="0"/>
        <v>0</v>
      </c>
    </row>
    <row r="21" spans="1:25">
      <c r="A21" s="450" t="s">
        <v>35</v>
      </c>
      <c r="B21" s="451"/>
      <c r="C21" s="452"/>
      <c r="D21" s="57">
        <f>D3+D5+D7+D9+D11+D13+D15+D17+D19</f>
        <v>37028</v>
      </c>
      <c r="E21" s="248">
        <f t="shared" ref="E21:X21" si="1">E3+E5+E7+E9+E11+E13+E15+E17+E19</f>
        <v>37028</v>
      </c>
      <c r="F21" s="248">
        <f t="shared" si="1"/>
        <v>37028</v>
      </c>
      <c r="G21" s="248">
        <f t="shared" si="1"/>
        <v>37028</v>
      </c>
      <c r="H21" s="248">
        <f t="shared" si="1"/>
        <v>37028</v>
      </c>
      <c r="I21" s="248">
        <f t="shared" si="1"/>
        <v>37028</v>
      </c>
      <c r="J21" s="248">
        <f t="shared" si="1"/>
        <v>37028</v>
      </c>
      <c r="K21" s="248">
        <f t="shared" si="1"/>
        <v>37028</v>
      </c>
      <c r="L21" s="248">
        <f t="shared" si="1"/>
        <v>37028</v>
      </c>
      <c r="M21" s="248">
        <f t="shared" si="1"/>
        <v>0</v>
      </c>
      <c r="N21" s="248">
        <f t="shared" si="1"/>
        <v>955</v>
      </c>
      <c r="O21" s="248">
        <f t="shared" si="1"/>
        <v>32437</v>
      </c>
      <c r="P21" s="248">
        <f t="shared" si="1"/>
        <v>3636</v>
      </c>
      <c r="Q21" s="248">
        <f t="shared" si="1"/>
        <v>28103</v>
      </c>
      <c r="R21" s="248">
        <f t="shared" si="1"/>
        <v>8901</v>
      </c>
      <c r="S21" s="248">
        <f t="shared" si="1"/>
        <v>31</v>
      </c>
      <c r="T21" s="248">
        <f t="shared" si="1"/>
        <v>7</v>
      </c>
      <c r="U21" s="248">
        <f t="shared" si="1"/>
        <v>0</v>
      </c>
      <c r="V21" s="248">
        <f t="shared" si="1"/>
        <v>0</v>
      </c>
      <c r="W21" s="248">
        <f t="shared" si="1"/>
        <v>0</v>
      </c>
      <c r="X21" s="248">
        <f t="shared" si="1"/>
        <v>0</v>
      </c>
      <c r="Y21" s="252">
        <f t="shared" si="0"/>
        <v>407322</v>
      </c>
    </row>
    <row r="22" spans="1:25">
      <c r="A22" s="450" t="s">
        <v>36</v>
      </c>
      <c r="B22" s="451"/>
      <c r="C22" s="452"/>
      <c r="D22" s="57">
        <f t="shared" ref="D22:X22" si="2">D4+D14+D16+D18+D20</f>
        <v>0</v>
      </c>
      <c r="E22" s="57">
        <f t="shared" si="2"/>
        <v>0</v>
      </c>
      <c r="F22" s="57">
        <f t="shared" si="2"/>
        <v>0</v>
      </c>
      <c r="G22" s="57">
        <f t="shared" si="2"/>
        <v>0</v>
      </c>
      <c r="H22" s="57">
        <f t="shared" si="2"/>
        <v>0</v>
      </c>
      <c r="I22" s="57">
        <f t="shared" si="2"/>
        <v>0</v>
      </c>
      <c r="J22" s="57">
        <f t="shared" si="2"/>
        <v>0</v>
      </c>
      <c r="K22" s="57">
        <f t="shared" si="2"/>
        <v>0</v>
      </c>
      <c r="L22" s="57">
        <f t="shared" si="2"/>
        <v>0</v>
      </c>
      <c r="M22" s="57">
        <f t="shared" si="2"/>
        <v>0</v>
      </c>
      <c r="N22" s="57">
        <f t="shared" si="2"/>
        <v>0</v>
      </c>
      <c r="O22" s="57">
        <f t="shared" si="2"/>
        <v>0</v>
      </c>
      <c r="P22" s="57">
        <f t="shared" si="2"/>
        <v>0</v>
      </c>
      <c r="Q22" s="57">
        <f t="shared" si="2"/>
        <v>0</v>
      </c>
      <c r="R22" s="57">
        <f t="shared" si="2"/>
        <v>0</v>
      </c>
      <c r="S22" s="57">
        <f t="shared" si="2"/>
        <v>0</v>
      </c>
      <c r="T22" s="57">
        <f t="shared" si="2"/>
        <v>0</v>
      </c>
      <c r="U22" s="57">
        <f t="shared" si="2"/>
        <v>0</v>
      </c>
      <c r="V22" s="57">
        <f t="shared" si="2"/>
        <v>0</v>
      </c>
      <c r="W22" s="57">
        <f t="shared" si="2"/>
        <v>0</v>
      </c>
      <c r="X22" s="57">
        <f t="shared" si="2"/>
        <v>0</v>
      </c>
      <c r="Y22" s="252">
        <f t="shared" si="0"/>
        <v>0</v>
      </c>
    </row>
    <row r="23" spans="1:25">
      <c r="A23" s="450" t="s">
        <v>308</v>
      </c>
      <c r="B23" s="451"/>
      <c r="C23" s="452"/>
      <c r="D23" s="57">
        <f>D21-D22</f>
        <v>37028</v>
      </c>
      <c r="E23" s="57">
        <f t="shared" ref="E23:X23" si="3">E21-E22</f>
        <v>37028</v>
      </c>
      <c r="F23" s="57">
        <f t="shared" si="3"/>
        <v>37028</v>
      </c>
      <c r="G23" s="57">
        <f t="shared" si="3"/>
        <v>37028</v>
      </c>
      <c r="H23" s="57">
        <f t="shared" si="3"/>
        <v>37028</v>
      </c>
      <c r="I23" s="57">
        <f t="shared" si="3"/>
        <v>37028</v>
      </c>
      <c r="J23" s="57">
        <f t="shared" si="3"/>
        <v>37028</v>
      </c>
      <c r="K23" s="57">
        <f t="shared" si="3"/>
        <v>37028</v>
      </c>
      <c r="L23" s="57">
        <f t="shared" si="3"/>
        <v>37028</v>
      </c>
      <c r="M23" s="57">
        <f t="shared" si="3"/>
        <v>0</v>
      </c>
      <c r="N23" s="57">
        <f t="shared" si="3"/>
        <v>955</v>
      </c>
      <c r="O23" s="57">
        <f t="shared" si="3"/>
        <v>32437</v>
      </c>
      <c r="P23" s="57">
        <f t="shared" si="3"/>
        <v>3636</v>
      </c>
      <c r="Q23" s="57">
        <f t="shared" si="3"/>
        <v>28103</v>
      </c>
      <c r="R23" s="57">
        <f t="shared" si="3"/>
        <v>8901</v>
      </c>
      <c r="S23" s="57">
        <f t="shared" si="3"/>
        <v>31</v>
      </c>
      <c r="T23" s="57">
        <f t="shared" si="3"/>
        <v>7</v>
      </c>
      <c r="U23" s="57">
        <f t="shared" si="3"/>
        <v>0</v>
      </c>
      <c r="V23" s="57">
        <f t="shared" si="3"/>
        <v>0</v>
      </c>
      <c r="W23" s="57">
        <f t="shared" si="3"/>
        <v>0</v>
      </c>
      <c r="X23" s="57">
        <f t="shared" si="3"/>
        <v>0</v>
      </c>
      <c r="Y23" s="57">
        <f>SUM(D23:X23)</f>
        <v>407322</v>
      </c>
    </row>
    <row r="24" spans="1:25">
      <c r="D24" s="233"/>
      <c r="E24" s="233"/>
      <c r="F24" s="233"/>
      <c r="G24" s="233"/>
      <c r="H24" s="233"/>
      <c r="I24" s="233"/>
      <c r="J24" s="233"/>
      <c r="K24" s="233"/>
      <c r="L24" s="233"/>
      <c r="M24" s="233"/>
      <c r="N24" s="233"/>
      <c r="O24" s="233"/>
      <c r="P24" s="233"/>
      <c r="Q24" s="233"/>
      <c r="R24" s="233"/>
      <c r="S24" s="233"/>
      <c r="T24" s="233"/>
      <c r="U24" s="233"/>
      <c r="V24" s="233"/>
      <c r="W24" s="233"/>
      <c r="X24" s="233"/>
    </row>
  </sheetData>
  <mergeCells count="22">
    <mergeCell ref="A23:C23"/>
    <mergeCell ref="A1:I1"/>
    <mergeCell ref="B5:B6"/>
    <mergeCell ref="B7:B8"/>
    <mergeCell ref="A5:A6"/>
    <mergeCell ref="A7:A8"/>
    <mergeCell ref="A3:A4"/>
    <mergeCell ref="B3:B4"/>
    <mergeCell ref="A13:A14"/>
    <mergeCell ref="B13:B14"/>
    <mergeCell ref="A15:A16"/>
    <mergeCell ref="B15:B16"/>
    <mergeCell ref="A22:C22"/>
    <mergeCell ref="B9:B10"/>
    <mergeCell ref="B11:B12"/>
    <mergeCell ref="A9:A10"/>
    <mergeCell ref="A21:C21"/>
    <mergeCell ref="A11:A12"/>
    <mergeCell ref="A19:A20"/>
    <mergeCell ref="A17:A18"/>
    <mergeCell ref="B17:B18"/>
    <mergeCell ref="B19:B20"/>
  </mergeCells>
  <pageMargins left="0.7" right="0.7" top="0.75" bottom="0.75" header="0.3" footer="0.3"/>
  <pageSetup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FF00"/>
  </sheetPr>
  <dimension ref="A1:S94"/>
  <sheetViews>
    <sheetView topLeftCell="A76" zoomScale="115" zoomScaleNormal="115" workbookViewId="0">
      <selection activeCell="R90" sqref="R90"/>
    </sheetView>
  </sheetViews>
  <sheetFormatPr defaultRowHeight="15"/>
  <sheetData>
    <row r="1" spans="1:19" s="43" customFormat="1" ht="19.5" customHeight="1">
      <c r="A1" s="537" t="s">
        <v>491</v>
      </c>
      <c r="B1" s="537"/>
      <c r="C1" s="537"/>
      <c r="D1" s="537"/>
      <c r="E1" s="537"/>
      <c r="F1" s="537"/>
      <c r="G1" s="537"/>
      <c r="H1" s="537"/>
      <c r="I1" s="537"/>
      <c r="J1" s="537"/>
      <c r="K1" s="537"/>
      <c r="L1" s="537"/>
      <c r="M1" s="537"/>
      <c r="N1" s="537"/>
      <c r="O1" s="537"/>
      <c r="P1" s="9"/>
      <c r="Q1" s="9"/>
      <c r="R1" s="9"/>
      <c r="S1" s="9"/>
    </row>
    <row r="2" spans="1:19" s="43" customFormat="1" ht="17.25">
      <c r="A2" s="33" t="s">
        <v>118</v>
      </c>
      <c r="B2" s="33" t="s">
        <v>307</v>
      </c>
      <c r="C2" s="35" t="s">
        <v>24</v>
      </c>
      <c r="D2" s="34" t="s">
        <v>28</v>
      </c>
      <c r="E2" s="34" t="s">
        <v>200</v>
      </c>
      <c r="F2" s="35" t="s">
        <v>492</v>
      </c>
      <c r="G2" s="35" t="s">
        <v>201</v>
      </c>
      <c r="H2" s="35" t="s">
        <v>45</v>
      </c>
      <c r="I2" s="35" t="s">
        <v>56</v>
      </c>
      <c r="J2" s="35" t="s">
        <v>27</v>
      </c>
      <c r="K2" s="35" t="s">
        <v>41</v>
      </c>
      <c r="L2" s="34" t="s">
        <v>31</v>
      </c>
      <c r="M2" s="35" t="s">
        <v>202</v>
      </c>
      <c r="N2" s="35" t="s">
        <v>32</v>
      </c>
      <c r="O2" s="35" t="s">
        <v>73</v>
      </c>
      <c r="P2" s="35" t="s">
        <v>493</v>
      </c>
      <c r="Q2" s="35" t="s">
        <v>494</v>
      </c>
      <c r="R2" s="35" t="s">
        <v>226</v>
      </c>
      <c r="S2" s="35" t="s">
        <v>88</v>
      </c>
    </row>
    <row r="3" spans="1:19" s="43" customFormat="1" ht="15.75">
      <c r="A3" s="428">
        <v>1</v>
      </c>
      <c r="B3" s="331" t="s">
        <v>495</v>
      </c>
      <c r="C3" s="252" t="s">
        <v>24</v>
      </c>
      <c r="D3" s="252">
        <v>1400</v>
      </c>
      <c r="E3" s="252">
        <v>1400</v>
      </c>
      <c r="F3" s="252">
        <v>1400</v>
      </c>
      <c r="G3" s="252">
        <v>1400</v>
      </c>
      <c r="H3" s="252">
        <v>1400</v>
      </c>
      <c r="I3" s="252">
        <v>1400</v>
      </c>
      <c r="J3" s="252">
        <v>1400</v>
      </c>
      <c r="K3" s="252">
        <v>1400</v>
      </c>
      <c r="L3" s="252">
        <v>1400</v>
      </c>
      <c r="M3" s="252">
        <v>1400</v>
      </c>
      <c r="N3" s="252">
        <v>1400</v>
      </c>
      <c r="O3" s="252">
        <v>1400</v>
      </c>
      <c r="P3" s="252">
        <v>0</v>
      </c>
      <c r="Q3" s="252">
        <v>1400</v>
      </c>
      <c r="R3" s="252">
        <v>0</v>
      </c>
      <c r="S3" s="252">
        <f>SUM(D3:R3)</f>
        <v>18200</v>
      </c>
    </row>
    <row r="4" spans="1:19" s="43" customFormat="1" ht="15.75">
      <c r="A4" s="424"/>
      <c r="B4" s="332"/>
      <c r="C4" s="252" t="s">
        <v>25</v>
      </c>
      <c r="D4" s="252"/>
      <c r="E4" s="252"/>
      <c r="F4" s="252"/>
      <c r="G4" s="252"/>
      <c r="H4" s="252"/>
      <c r="I4" s="252"/>
      <c r="J4" s="252"/>
      <c r="K4" s="252"/>
      <c r="L4" s="252"/>
      <c r="M4" s="252"/>
      <c r="N4" s="252"/>
      <c r="O4" s="252"/>
      <c r="P4" s="252"/>
      <c r="Q4" s="252"/>
      <c r="R4" s="252"/>
      <c r="S4" s="252">
        <f t="shared" ref="S4:S67" si="0">SUM(D4:R4)</f>
        <v>0</v>
      </c>
    </row>
    <row r="5" spans="1:19" s="43" customFormat="1" ht="15.75">
      <c r="A5" s="428">
        <v>2</v>
      </c>
      <c r="B5" s="331" t="s">
        <v>496</v>
      </c>
      <c r="C5" s="252" t="s">
        <v>24</v>
      </c>
      <c r="D5" s="252">
        <v>1200</v>
      </c>
      <c r="E5" s="252">
        <v>1200</v>
      </c>
      <c r="F5" s="252">
        <v>1200</v>
      </c>
      <c r="G5" s="252">
        <v>1200</v>
      </c>
      <c r="H5" s="252">
        <v>1200</v>
      </c>
      <c r="I5" s="252">
        <v>1200</v>
      </c>
      <c r="J5" s="252">
        <v>1200</v>
      </c>
      <c r="K5" s="252">
        <v>1200</v>
      </c>
      <c r="L5" s="252">
        <v>1200</v>
      </c>
      <c r="M5" s="252">
        <v>1200</v>
      </c>
      <c r="N5" s="252">
        <v>1200</v>
      </c>
      <c r="O5" s="252">
        <v>1200</v>
      </c>
      <c r="P5" s="252">
        <v>0</v>
      </c>
      <c r="Q5" s="252">
        <v>1200</v>
      </c>
      <c r="R5" s="252">
        <v>0</v>
      </c>
      <c r="S5" s="252">
        <f t="shared" si="0"/>
        <v>15600</v>
      </c>
    </row>
    <row r="6" spans="1:19" s="43" customFormat="1" ht="15.75">
      <c r="A6" s="424"/>
      <c r="B6" s="332"/>
      <c r="C6" s="252" t="s">
        <v>25</v>
      </c>
      <c r="D6" s="252"/>
      <c r="E6" s="252"/>
      <c r="F6" s="252"/>
      <c r="G6" s="252"/>
      <c r="H6" s="252"/>
      <c r="I6" s="252"/>
      <c r="J6" s="252"/>
      <c r="K6" s="252"/>
      <c r="L6" s="252"/>
      <c r="M6" s="252"/>
      <c r="N6" s="252"/>
      <c r="O6" s="252"/>
      <c r="P6" s="252"/>
      <c r="Q6" s="252"/>
      <c r="R6" s="252"/>
      <c r="S6" s="252">
        <f t="shared" si="0"/>
        <v>0</v>
      </c>
    </row>
    <row r="7" spans="1:19" s="43" customFormat="1" ht="15.75">
      <c r="A7" s="428">
        <v>3</v>
      </c>
      <c r="B7" s="331" t="s">
        <v>497</v>
      </c>
      <c r="C7" s="252" t="s">
        <v>24</v>
      </c>
      <c r="D7" s="252">
        <v>2350</v>
      </c>
      <c r="E7" s="252">
        <v>2350</v>
      </c>
      <c r="F7" s="252">
        <v>2350</v>
      </c>
      <c r="G7" s="252">
        <v>2350</v>
      </c>
      <c r="H7" s="252">
        <v>2350</v>
      </c>
      <c r="I7" s="252">
        <v>2350</v>
      </c>
      <c r="J7" s="252">
        <v>2350</v>
      </c>
      <c r="K7" s="252">
        <v>2350</v>
      </c>
      <c r="L7" s="252">
        <v>2350</v>
      </c>
      <c r="M7" s="252">
        <v>2350</v>
      </c>
      <c r="N7" s="252">
        <v>2350</v>
      </c>
      <c r="O7" s="252">
        <v>2350</v>
      </c>
      <c r="P7" s="252">
        <v>0</v>
      </c>
      <c r="Q7" s="252">
        <v>2350</v>
      </c>
      <c r="R7" s="252">
        <v>0</v>
      </c>
      <c r="S7" s="252">
        <f t="shared" si="0"/>
        <v>30550</v>
      </c>
    </row>
    <row r="8" spans="1:19" s="43" customFormat="1" ht="15.75">
      <c r="A8" s="424"/>
      <c r="B8" s="332"/>
      <c r="C8" s="252" t="s">
        <v>25</v>
      </c>
      <c r="D8" s="252"/>
      <c r="E8" s="252"/>
      <c r="F8" s="252"/>
      <c r="G8" s="252"/>
      <c r="H8" s="252"/>
      <c r="I8" s="252"/>
      <c r="J8" s="252"/>
      <c r="K8" s="252"/>
      <c r="L8" s="252"/>
      <c r="M8" s="252"/>
      <c r="N8" s="252"/>
      <c r="O8" s="252"/>
      <c r="P8" s="252"/>
      <c r="Q8" s="252"/>
      <c r="R8" s="252"/>
      <c r="S8" s="252">
        <f t="shared" si="0"/>
        <v>0</v>
      </c>
    </row>
    <row r="9" spans="1:19" s="43" customFormat="1" ht="15.75">
      <c r="A9" s="428">
        <v>4</v>
      </c>
      <c r="B9" s="331" t="s">
        <v>498</v>
      </c>
      <c r="C9" s="252" t="s">
        <v>24</v>
      </c>
      <c r="D9" s="252">
        <v>1200</v>
      </c>
      <c r="E9" s="252">
        <v>1200</v>
      </c>
      <c r="F9" s="252">
        <v>1200</v>
      </c>
      <c r="G9" s="252">
        <v>1200</v>
      </c>
      <c r="H9" s="252">
        <v>1200</v>
      </c>
      <c r="I9" s="252">
        <v>1200</v>
      </c>
      <c r="J9" s="252">
        <v>1200</v>
      </c>
      <c r="K9" s="252">
        <v>1200</v>
      </c>
      <c r="L9" s="252">
        <v>1200</v>
      </c>
      <c r="M9" s="252">
        <v>1200</v>
      </c>
      <c r="N9" s="252">
        <v>1200</v>
      </c>
      <c r="O9" s="252">
        <v>1200</v>
      </c>
      <c r="P9" s="252">
        <v>0</v>
      </c>
      <c r="Q9" s="252">
        <v>1200</v>
      </c>
      <c r="R9" s="252">
        <v>0</v>
      </c>
      <c r="S9" s="252">
        <f t="shared" si="0"/>
        <v>15600</v>
      </c>
    </row>
    <row r="10" spans="1:19" s="43" customFormat="1" ht="15.75">
      <c r="A10" s="424"/>
      <c r="B10" s="332"/>
      <c r="C10" s="252" t="s">
        <v>25</v>
      </c>
      <c r="D10" s="252"/>
      <c r="E10" s="252"/>
      <c r="F10" s="252"/>
      <c r="G10" s="252"/>
      <c r="H10" s="252"/>
      <c r="I10" s="252"/>
      <c r="J10" s="252"/>
      <c r="K10" s="252"/>
      <c r="L10" s="252"/>
      <c r="M10" s="252"/>
      <c r="N10" s="252"/>
      <c r="O10" s="252"/>
      <c r="P10" s="252"/>
      <c r="Q10" s="252"/>
      <c r="R10" s="252"/>
      <c r="S10" s="252">
        <f t="shared" si="0"/>
        <v>0</v>
      </c>
    </row>
    <row r="11" spans="1:19" s="43" customFormat="1" ht="15.75">
      <c r="A11" s="428">
        <v>5</v>
      </c>
      <c r="B11" s="331" t="s">
        <v>499</v>
      </c>
      <c r="C11" s="252" t="s">
        <v>24</v>
      </c>
      <c r="D11" s="252">
        <v>350</v>
      </c>
      <c r="E11" s="252">
        <v>350</v>
      </c>
      <c r="F11" s="252">
        <v>350</v>
      </c>
      <c r="G11" s="252">
        <v>350</v>
      </c>
      <c r="H11" s="252">
        <v>350</v>
      </c>
      <c r="I11" s="252">
        <v>350</v>
      </c>
      <c r="J11" s="252">
        <v>350</v>
      </c>
      <c r="K11" s="252">
        <v>350</v>
      </c>
      <c r="L11" s="252">
        <v>350</v>
      </c>
      <c r="M11" s="252">
        <v>350</v>
      </c>
      <c r="N11" s="252">
        <v>350</v>
      </c>
      <c r="O11" s="252">
        <v>350</v>
      </c>
      <c r="P11" s="252">
        <v>130</v>
      </c>
      <c r="Q11" s="252">
        <v>220</v>
      </c>
      <c r="R11" s="252">
        <v>0</v>
      </c>
      <c r="S11" s="252">
        <f t="shared" si="0"/>
        <v>4550</v>
      </c>
    </row>
    <row r="12" spans="1:19" s="43" customFormat="1" ht="15.75">
      <c r="A12" s="424"/>
      <c r="B12" s="332"/>
      <c r="C12" s="252" t="s">
        <v>25</v>
      </c>
      <c r="D12" s="252"/>
      <c r="E12" s="252"/>
      <c r="F12" s="252"/>
      <c r="G12" s="252"/>
      <c r="H12" s="252"/>
      <c r="I12" s="252"/>
      <c r="J12" s="252"/>
      <c r="K12" s="252"/>
      <c r="L12" s="252"/>
      <c r="M12" s="252"/>
      <c r="N12" s="252"/>
      <c r="O12" s="252"/>
      <c r="P12" s="252"/>
      <c r="Q12" s="252"/>
      <c r="R12" s="252"/>
      <c r="S12" s="252">
        <f t="shared" si="0"/>
        <v>0</v>
      </c>
    </row>
    <row r="13" spans="1:19" s="43" customFormat="1" ht="15.75">
      <c r="A13" s="428">
        <v>6</v>
      </c>
      <c r="B13" s="331" t="s">
        <v>500</v>
      </c>
      <c r="C13" s="252" t="s">
        <v>24</v>
      </c>
      <c r="D13" s="252">
        <v>1000</v>
      </c>
      <c r="E13" s="252">
        <v>1000</v>
      </c>
      <c r="F13" s="252">
        <v>1000</v>
      </c>
      <c r="G13" s="252">
        <v>1000</v>
      </c>
      <c r="H13" s="252">
        <v>1000</v>
      </c>
      <c r="I13" s="252">
        <v>1000</v>
      </c>
      <c r="J13" s="252">
        <v>1000</v>
      </c>
      <c r="K13" s="252">
        <v>1000</v>
      </c>
      <c r="L13" s="252">
        <v>1000</v>
      </c>
      <c r="M13" s="252">
        <v>1000</v>
      </c>
      <c r="N13" s="252">
        <v>1000</v>
      </c>
      <c r="O13" s="252">
        <v>1000</v>
      </c>
      <c r="P13" s="252">
        <v>0</v>
      </c>
      <c r="Q13" s="252">
        <v>1000</v>
      </c>
      <c r="R13" s="252">
        <v>0</v>
      </c>
      <c r="S13" s="252">
        <f t="shared" si="0"/>
        <v>13000</v>
      </c>
    </row>
    <row r="14" spans="1:19" s="43" customFormat="1" ht="15.75">
      <c r="A14" s="424"/>
      <c r="B14" s="332"/>
      <c r="C14" s="252" t="s">
        <v>25</v>
      </c>
      <c r="D14" s="252"/>
      <c r="E14" s="252"/>
      <c r="F14" s="252"/>
      <c r="G14" s="252"/>
      <c r="H14" s="252"/>
      <c r="I14" s="252"/>
      <c r="J14" s="252"/>
      <c r="K14" s="252"/>
      <c r="L14" s="252"/>
      <c r="M14" s="252"/>
      <c r="N14" s="252"/>
      <c r="O14" s="252"/>
      <c r="P14" s="252"/>
      <c r="Q14" s="252"/>
      <c r="R14" s="252"/>
      <c r="S14" s="252">
        <f t="shared" si="0"/>
        <v>0</v>
      </c>
    </row>
    <row r="15" spans="1:19" s="43" customFormat="1" ht="15.75">
      <c r="A15" s="428">
        <v>7</v>
      </c>
      <c r="B15" s="331" t="s">
        <v>501</v>
      </c>
      <c r="C15" s="252" t="s">
        <v>24</v>
      </c>
      <c r="D15" s="252">
        <v>750</v>
      </c>
      <c r="E15" s="252">
        <v>750</v>
      </c>
      <c r="F15" s="252">
        <v>750</v>
      </c>
      <c r="G15" s="252">
        <v>750</v>
      </c>
      <c r="H15" s="252">
        <v>750</v>
      </c>
      <c r="I15" s="252">
        <v>750</v>
      </c>
      <c r="J15" s="252">
        <v>750</v>
      </c>
      <c r="K15" s="252">
        <v>750</v>
      </c>
      <c r="L15" s="252">
        <v>750</v>
      </c>
      <c r="M15" s="252">
        <v>750</v>
      </c>
      <c r="N15" s="252">
        <v>750</v>
      </c>
      <c r="O15" s="252">
        <v>750</v>
      </c>
      <c r="P15" s="252">
        <v>0</v>
      </c>
      <c r="Q15" s="252">
        <v>750</v>
      </c>
      <c r="R15" s="252">
        <v>0</v>
      </c>
      <c r="S15" s="252">
        <f t="shared" si="0"/>
        <v>9750</v>
      </c>
    </row>
    <row r="16" spans="1:19" s="43" customFormat="1" ht="15.75">
      <c r="A16" s="424"/>
      <c r="B16" s="332"/>
      <c r="C16" s="252" t="s">
        <v>25</v>
      </c>
      <c r="D16" s="252"/>
      <c r="E16" s="252"/>
      <c r="F16" s="252"/>
      <c r="G16" s="252"/>
      <c r="H16" s="252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>
        <f t="shared" si="0"/>
        <v>0</v>
      </c>
    </row>
    <row r="17" spans="1:19" s="43" customFormat="1" ht="15.75">
      <c r="A17" s="428">
        <v>8</v>
      </c>
      <c r="B17" s="331" t="s">
        <v>502</v>
      </c>
      <c r="C17" s="252" t="s">
        <v>24</v>
      </c>
      <c r="D17" s="252">
        <v>1600</v>
      </c>
      <c r="E17" s="252">
        <v>1600</v>
      </c>
      <c r="F17" s="252">
        <v>1600</v>
      </c>
      <c r="G17" s="252">
        <v>1600</v>
      </c>
      <c r="H17" s="252">
        <v>1600</v>
      </c>
      <c r="I17" s="252">
        <v>1600</v>
      </c>
      <c r="J17" s="252">
        <v>1600</v>
      </c>
      <c r="K17" s="252">
        <v>1600</v>
      </c>
      <c r="L17" s="252">
        <v>1600</v>
      </c>
      <c r="M17" s="252">
        <v>1600</v>
      </c>
      <c r="N17" s="252">
        <v>1600</v>
      </c>
      <c r="O17" s="252">
        <v>1600</v>
      </c>
      <c r="P17" s="252">
        <v>1300</v>
      </c>
      <c r="Q17" s="252">
        <v>300</v>
      </c>
      <c r="R17" s="252">
        <v>0</v>
      </c>
      <c r="S17" s="252">
        <f t="shared" si="0"/>
        <v>20800</v>
      </c>
    </row>
    <row r="18" spans="1:19" s="43" customFormat="1" ht="15.75">
      <c r="A18" s="424"/>
      <c r="B18" s="332"/>
      <c r="C18" s="252" t="s">
        <v>25</v>
      </c>
      <c r="D18" s="252"/>
      <c r="E18" s="252"/>
      <c r="F18" s="252"/>
      <c r="G18" s="252"/>
      <c r="H18" s="252"/>
      <c r="I18" s="252"/>
      <c r="J18" s="252"/>
      <c r="K18" s="252"/>
      <c r="L18" s="252"/>
      <c r="M18" s="252"/>
      <c r="N18" s="252"/>
      <c r="O18" s="252"/>
      <c r="P18" s="252"/>
      <c r="Q18" s="252"/>
      <c r="R18" s="252"/>
      <c r="S18" s="252">
        <f t="shared" si="0"/>
        <v>0</v>
      </c>
    </row>
    <row r="19" spans="1:19" s="43" customFormat="1" ht="15.75">
      <c r="A19" s="428">
        <v>9</v>
      </c>
      <c r="B19" s="331" t="s">
        <v>503</v>
      </c>
      <c r="C19" s="252" t="s">
        <v>24</v>
      </c>
      <c r="D19" s="252">
        <v>1000</v>
      </c>
      <c r="E19" s="252">
        <v>1000</v>
      </c>
      <c r="F19" s="252">
        <v>1000</v>
      </c>
      <c r="G19" s="252">
        <v>1000</v>
      </c>
      <c r="H19" s="252">
        <v>1000</v>
      </c>
      <c r="I19" s="252">
        <v>1000</v>
      </c>
      <c r="J19" s="252">
        <v>1000</v>
      </c>
      <c r="K19" s="252">
        <v>1000</v>
      </c>
      <c r="L19" s="252">
        <v>1000</v>
      </c>
      <c r="M19" s="252">
        <v>1000</v>
      </c>
      <c r="N19" s="252">
        <v>1000</v>
      </c>
      <c r="O19" s="252">
        <v>1000</v>
      </c>
      <c r="P19" s="252">
        <v>0</v>
      </c>
      <c r="Q19" s="252">
        <v>1000</v>
      </c>
      <c r="R19" s="252">
        <v>0</v>
      </c>
      <c r="S19" s="252">
        <f t="shared" si="0"/>
        <v>13000</v>
      </c>
    </row>
    <row r="20" spans="1:19" s="43" customFormat="1" ht="15.75">
      <c r="A20" s="424"/>
      <c r="B20" s="332"/>
      <c r="C20" s="252" t="s">
        <v>25</v>
      </c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>
        <f t="shared" si="0"/>
        <v>0</v>
      </c>
    </row>
    <row r="21" spans="1:19" s="43" customFormat="1" ht="15.75">
      <c r="A21" s="428">
        <v>10</v>
      </c>
      <c r="B21" s="331" t="s">
        <v>435</v>
      </c>
      <c r="C21" s="252" t="s">
        <v>24</v>
      </c>
      <c r="D21" s="252">
        <v>790</v>
      </c>
      <c r="E21" s="252">
        <v>790</v>
      </c>
      <c r="F21" s="252">
        <v>790</v>
      </c>
      <c r="G21" s="252">
        <v>790</v>
      </c>
      <c r="H21" s="252">
        <v>790</v>
      </c>
      <c r="I21" s="252">
        <v>790</v>
      </c>
      <c r="J21" s="252">
        <v>790</v>
      </c>
      <c r="K21" s="252">
        <v>790</v>
      </c>
      <c r="L21" s="252">
        <v>790</v>
      </c>
      <c r="M21" s="252">
        <v>790</v>
      </c>
      <c r="N21" s="252">
        <v>790</v>
      </c>
      <c r="O21" s="252">
        <v>790</v>
      </c>
      <c r="P21" s="252">
        <v>0</v>
      </c>
      <c r="Q21" s="252">
        <v>790</v>
      </c>
      <c r="R21" s="252">
        <v>0</v>
      </c>
      <c r="S21" s="252">
        <f t="shared" si="0"/>
        <v>10270</v>
      </c>
    </row>
    <row r="22" spans="1:19" s="43" customFormat="1" ht="15.75">
      <c r="A22" s="424"/>
      <c r="B22" s="332"/>
      <c r="C22" s="252" t="s">
        <v>25</v>
      </c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>
        <f t="shared" si="0"/>
        <v>0</v>
      </c>
    </row>
    <row r="23" spans="1:19" s="43" customFormat="1" ht="15.75">
      <c r="A23" s="428">
        <v>11</v>
      </c>
      <c r="B23" s="331" t="s">
        <v>433</v>
      </c>
      <c r="C23" s="252" t="s">
        <v>24</v>
      </c>
      <c r="D23" s="252">
        <v>585</v>
      </c>
      <c r="E23" s="252">
        <v>585</v>
      </c>
      <c r="F23" s="252">
        <v>585</v>
      </c>
      <c r="G23" s="252">
        <v>585</v>
      </c>
      <c r="H23" s="252">
        <v>585</v>
      </c>
      <c r="I23" s="252">
        <v>585</v>
      </c>
      <c r="J23" s="252">
        <v>585</v>
      </c>
      <c r="K23" s="252">
        <v>585</v>
      </c>
      <c r="L23" s="252">
        <v>585</v>
      </c>
      <c r="M23" s="252">
        <v>585</v>
      </c>
      <c r="N23" s="252">
        <v>585</v>
      </c>
      <c r="O23" s="252">
        <v>585</v>
      </c>
      <c r="P23" s="252">
        <v>0</v>
      </c>
      <c r="Q23" s="252">
        <v>585</v>
      </c>
      <c r="R23" s="252">
        <v>0</v>
      </c>
      <c r="S23" s="252">
        <f t="shared" si="0"/>
        <v>7605</v>
      </c>
    </row>
    <row r="24" spans="1:19" s="43" customFormat="1" ht="15.75">
      <c r="A24" s="424"/>
      <c r="B24" s="332"/>
      <c r="C24" s="252" t="s">
        <v>25</v>
      </c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>
        <f t="shared" si="0"/>
        <v>0</v>
      </c>
    </row>
    <row r="25" spans="1:19" s="43" customFormat="1" ht="15.75">
      <c r="A25" s="428">
        <v>12</v>
      </c>
      <c r="B25" s="331" t="s">
        <v>434</v>
      </c>
      <c r="C25" s="252" t="s">
        <v>24</v>
      </c>
      <c r="D25" s="252">
        <v>2100</v>
      </c>
      <c r="E25" s="252">
        <v>2100</v>
      </c>
      <c r="F25" s="252">
        <v>2100</v>
      </c>
      <c r="G25" s="252">
        <v>2100</v>
      </c>
      <c r="H25" s="252">
        <v>2100</v>
      </c>
      <c r="I25" s="252">
        <v>2100</v>
      </c>
      <c r="J25" s="252">
        <v>2100</v>
      </c>
      <c r="K25" s="252">
        <v>2100</v>
      </c>
      <c r="L25" s="252">
        <v>2100</v>
      </c>
      <c r="M25" s="252">
        <v>2100</v>
      </c>
      <c r="N25" s="252">
        <v>2100</v>
      </c>
      <c r="O25" s="252">
        <v>2100</v>
      </c>
      <c r="P25" s="252">
        <v>0</v>
      </c>
      <c r="Q25" s="252">
        <v>2100</v>
      </c>
      <c r="R25" s="252">
        <v>0</v>
      </c>
      <c r="S25" s="252">
        <f t="shared" si="0"/>
        <v>27300</v>
      </c>
    </row>
    <row r="26" spans="1:19" s="43" customFormat="1" ht="15.75">
      <c r="A26" s="424"/>
      <c r="B26" s="332"/>
      <c r="C26" s="252" t="s">
        <v>25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>
        <f t="shared" si="0"/>
        <v>0</v>
      </c>
    </row>
    <row r="27" spans="1:19" s="43" customFormat="1" ht="15.75">
      <c r="A27" s="428">
        <v>13</v>
      </c>
      <c r="B27" s="331" t="s">
        <v>312</v>
      </c>
      <c r="C27" s="252" t="s">
        <v>24</v>
      </c>
      <c r="D27" s="252">
        <v>700</v>
      </c>
      <c r="E27" s="252">
        <v>700</v>
      </c>
      <c r="F27" s="252">
        <v>700</v>
      </c>
      <c r="G27" s="252">
        <v>700</v>
      </c>
      <c r="H27" s="252">
        <v>700</v>
      </c>
      <c r="I27" s="252">
        <v>700</v>
      </c>
      <c r="J27" s="252">
        <v>700</v>
      </c>
      <c r="K27" s="252">
        <v>700</v>
      </c>
      <c r="L27" s="252">
        <v>700</v>
      </c>
      <c r="M27" s="252">
        <v>700</v>
      </c>
      <c r="N27" s="252">
        <v>700</v>
      </c>
      <c r="O27" s="252">
        <v>700</v>
      </c>
      <c r="P27" s="252">
        <v>0</v>
      </c>
      <c r="Q27" s="252">
        <v>700</v>
      </c>
      <c r="R27" s="252">
        <v>0</v>
      </c>
      <c r="S27" s="252">
        <f t="shared" si="0"/>
        <v>9100</v>
      </c>
    </row>
    <row r="28" spans="1:19" s="43" customFormat="1" ht="15.75">
      <c r="A28" s="424"/>
      <c r="B28" s="332"/>
      <c r="C28" s="252" t="s">
        <v>25</v>
      </c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>
        <f t="shared" si="0"/>
        <v>0</v>
      </c>
    </row>
    <row r="29" spans="1:19" s="43" customFormat="1" ht="15.75">
      <c r="A29" s="428">
        <v>14</v>
      </c>
      <c r="B29" s="331" t="s">
        <v>504</v>
      </c>
      <c r="C29" s="252" t="s">
        <v>24</v>
      </c>
      <c r="D29" s="252">
        <v>320</v>
      </c>
      <c r="E29" s="252">
        <v>320</v>
      </c>
      <c r="F29" s="252">
        <v>320</v>
      </c>
      <c r="G29" s="252">
        <v>320</v>
      </c>
      <c r="H29" s="252">
        <v>320</v>
      </c>
      <c r="I29" s="252">
        <v>320</v>
      </c>
      <c r="J29" s="252">
        <v>320</v>
      </c>
      <c r="K29" s="252">
        <v>320</v>
      </c>
      <c r="L29" s="252">
        <v>320</v>
      </c>
      <c r="M29" s="252">
        <v>320</v>
      </c>
      <c r="N29" s="252">
        <v>320</v>
      </c>
      <c r="O29" s="252">
        <v>320</v>
      </c>
      <c r="P29" s="252">
        <v>120</v>
      </c>
      <c r="Q29" s="252">
        <v>200</v>
      </c>
      <c r="R29" s="252">
        <v>0</v>
      </c>
      <c r="S29" s="252">
        <f t="shared" si="0"/>
        <v>4160</v>
      </c>
    </row>
    <row r="30" spans="1:19" s="43" customFormat="1" ht="15.75">
      <c r="A30" s="424"/>
      <c r="B30" s="332"/>
      <c r="C30" s="252" t="s">
        <v>25</v>
      </c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>
        <f t="shared" si="0"/>
        <v>0</v>
      </c>
    </row>
    <row r="31" spans="1:19" s="43" customFormat="1" ht="15.75">
      <c r="A31" s="428">
        <v>15</v>
      </c>
      <c r="B31" s="331" t="s">
        <v>505</v>
      </c>
      <c r="C31" s="252" t="s">
        <v>24</v>
      </c>
      <c r="D31" s="252">
        <v>2250</v>
      </c>
      <c r="E31" s="252">
        <v>2250</v>
      </c>
      <c r="F31" s="252">
        <v>2250</v>
      </c>
      <c r="G31" s="252">
        <v>2250</v>
      </c>
      <c r="H31" s="252">
        <v>2250</v>
      </c>
      <c r="I31" s="252">
        <v>2250</v>
      </c>
      <c r="J31" s="252">
        <v>2250</v>
      </c>
      <c r="K31" s="252">
        <v>2250</v>
      </c>
      <c r="L31" s="252">
        <v>2250</v>
      </c>
      <c r="M31" s="252">
        <v>2250</v>
      </c>
      <c r="N31" s="252">
        <v>2250</v>
      </c>
      <c r="O31" s="252">
        <v>2250</v>
      </c>
      <c r="P31" s="252">
        <v>450</v>
      </c>
      <c r="Q31" s="252">
        <v>1600</v>
      </c>
      <c r="R31" s="252">
        <v>200</v>
      </c>
      <c r="S31" s="252">
        <f t="shared" si="0"/>
        <v>29250</v>
      </c>
    </row>
    <row r="32" spans="1:19" s="43" customFormat="1" ht="15.75">
      <c r="A32" s="424"/>
      <c r="B32" s="332"/>
      <c r="C32" s="252" t="s">
        <v>25</v>
      </c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>
        <f t="shared" si="0"/>
        <v>0</v>
      </c>
    </row>
    <row r="33" spans="1:19" s="43" customFormat="1" ht="15.75">
      <c r="A33" s="428">
        <v>16</v>
      </c>
      <c r="B33" s="331" t="s">
        <v>314</v>
      </c>
      <c r="C33" s="252" t="s">
        <v>24</v>
      </c>
      <c r="D33" s="252">
        <v>1900</v>
      </c>
      <c r="E33" s="252">
        <v>1900</v>
      </c>
      <c r="F33" s="252">
        <v>1900</v>
      </c>
      <c r="G33" s="252">
        <v>1900</v>
      </c>
      <c r="H33" s="252">
        <v>1900</v>
      </c>
      <c r="I33" s="252">
        <v>1900</v>
      </c>
      <c r="J33" s="252">
        <v>1900</v>
      </c>
      <c r="K33" s="252">
        <v>1900</v>
      </c>
      <c r="L33" s="252">
        <v>1900</v>
      </c>
      <c r="M33" s="252">
        <v>1900</v>
      </c>
      <c r="N33" s="252">
        <v>1900</v>
      </c>
      <c r="O33" s="252">
        <v>1900</v>
      </c>
      <c r="P33" s="252">
        <v>0</v>
      </c>
      <c r="Q33" s="252">
        <v>1900</v>
      </c>
      <c r="R33" s="252">
        <v>0</v>
      </c>
      <c r="S33" s="252">
        <f t="shared" si="0"/>
        <v>24700</v>
      </c>
    </row>
    <row r="34" spans="1:19" s="43" customFormat="1" ht="15.75">
      <c r="A34" s="424"/>
      <c r="B34" s="332"/>
      <c r="C34" s="252" t="s">
        <v>25</v>
      </c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>
        <f t="shared" si="0"/>
        <v>0</v>
      </c>
    </row>
    <row r="35" spans="1:19" s="43" customFormat="1" ht="15.75">
      <c r="A35" s="428">
        <v>17</v>
      </c>
      <c r="B35" s="331" t="s">
        <v>313</v>
      </c>
      <c r="C35" s="252" t="s">
        <v>24</v>
      </c>
      <c r="D35" s="252">
        <v>1786</v>
      </c>
      <c r="E35" s="252">
        <v>1786</v>
      </c>
      <c r="F35" s="252">
        <v>1786</v>
      </c>
      <c r="G35" s="252">
        <v>1786</v>
      </c>
      <c r="H35" s="252">
        <v>1786</v>
      </c>
      <c r="I35" s="252">
        <v>1786</v>
      </c>
      <c r="J35" s="252">
        <v>1880</v>
      </c>
      <c r="K35" s="252">
        <v>1786</v>
      </c>
      <c r="L35" s="252">
        <v>1786</v>
      </c>
      <c r="M35" s="252">
        <v>1786</v>
      </c>
      <c r="N35" s="252">
        <v>1786</v>
      </c>
      <c r="O35" s="252">
        <v>1786</v>
      </c>
      <c r="P35" s="252">
        <v>286</v>
      </c>
      <c r="Q35" s="252">
        <v>1500</v>
      </c>
      <c r="R35" s="252">
        <v>0</v>
      </c>
      <c r="S35" s="252">
        <f t="shared" si="0"/>
        <v>23312</v>
      </c>
    </row>
    <row r="36" spans="1:19" s="43" customFormat="1" ht="15.75">
      <c r="A36" s="424"/>
      <c r="B36" s="332"/>
      <c r="C36" s="252" t="s">
        <v>25</v>
      </c>
      <c r="D36" s="252"/>
      <c r="E36" s="252"/>
      <c r="F36" s="252"/>
      <c r="G36" s="252"/>
      <c r="H36" s="252"/>
      <c r="I36" s="252"/>
      <c r="J36" s="252"/>
      <c r="K36" s="252"/>
      <c r="L36" s="252"/>
      <c r="M36" s="252"/>
      <c r="N36" s="252"/>
      <c r="O36" s="252"/>
      <c r="P36" s="252"/>
      <c r="Q36" s="252"/>
      <c r="R36" s="252"/>
      <c r="S36" s="252">
        <f t="shared" si="0"/>
        <v>0</v>
      </c>
    </row>
    <row r="37" spans="1:19" s="43" customFormat="1" ht="15.75">
      <c r="A37" s="428">
        <v>18</v>
      </c>
      <c r="B37" s="331" t="s">
        <v>438</v>
      </c>
      <c r="C37" s="252" t="s">
        <v>24</v>
      </c>
      <c r="D37" s="252">
        <v>1200</v>
      </c>
      <c r="E37" s="252">
        <v>1200</v>
      </c>
      <c r="F37" s="252">
        <v>1200</v>
      </c>
      <c r="G37" s="252">
        <v>1200</v>
      </c>
      <c r="H37" s="252">
        <v>1200</v>
      </c>
      <c r="I37" s="252">
        <v>1200</v>
      </c>
      <c r="J37" s="252">
        <v>1200</v>
      </c>
      <c r="K37" s="252">
        <v>1200</v>
      </c>
      <c r="L37" s="252">
        <v>1200</v>
      </c>
      <c r="M37" s="252">
        <v>1200</v>
      </c>
      <c r="N37" s="252">
        <v>1200</v>
      </c>
      <c r="O37" s="252">
        <v>1200</v>
      </c>
      <c r="P37" s="252">
        <v>0</v>
      </c>
      <c r="Q37" s="252">
        <v>1200</v>
      </c>
      <c r="R37" s="252">
        <v>0</v>
      </c>
      <c r="S37" s="252">
        <f t="shared" si="0"/>
        <v>15600</v>
      </c>
    </row>
    <row r="38" spans="1:19" s="43" customFormat="1" ht="15.75">
      <c r="A38" s="424"/>
      <c r="B38" s="332"/>
      <c r="C38" s="252" t="s">
        <v>25</v>
      </c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  <c r="R38" s="252"/>
      <c r="S38" s="252">
        <f t="shared" si="0"/>
        <v>0</v>
      </c>
    </row>
    <row r="39" spans="1:19" s="43" customFormat="1" ht="15.75">
      <c r="A39" s="428">
        <v>19</v>
      </c>
      <c r="B39" s="331" t="s">
        <v>311</v>
      </c>
      <c r="C39" s="252" t="s">
        <v>24</v>
      </c>
      <c r="D39" s="252">
        <v>750</v>
      </c>
      <c r="E39" s="252">
        <v>750</v>
      </c>
      <c r="F39" s="252">
        <v>750</v>
      </c>
      <c r="G39" s="252">
        <v>750</v>
      </c>
      <c r="H39" s="252">
        <v>750</v>
      </c>
      <c r="I39" s="252">
        <v>750</v>
      </c>
      <c r="J39" s="252">
        <v>750</v>
      </c>
      <c r="K39" s="252">
        <v>750</v>
      </c>
      <c r="L39" s="252">
        <v>750</v>
      </c>
      <c r="M39" s="252">
        <v>750</v>
      </c>
      <c r="N39" s="252">
        <v>750</v>
      </c>
      <c r="O39" s="252">
        <v>750</v>
      </c>
      <c r="P39" s="252">
        <v>75</v>
      </c>
      <c r="Q39" s="252">
        <v>675</v>
      </c>
      <c r="R39" s="252">
        <v>0</v>
      </c>
      <c r="S39" s="252">
        <f t="shared" si="0"/>
        <v>9750</v>
      </c>
    </row>
    <row r="40" spans="1:19" s="43" customFormat="1" ht="15.75">
      <c r="A40" s="424"/>
      <c r="B40" s="332"/>
      <c r="C40" s="252" t="s">
        <v>25</v>
      </c>
      <c r="D40" s="252"/>
      <c r="E40" s="252"/>
      <c r="F40" s="252"/>
      <c r="G40" s="252"/>
      <c r="H40" s="252"/>
      <c r="I40" s="252"/>
      <c r="J40" s="252"/>
      <c r="K40" s="252"/>
      <c r="L40" s="252"/>
      <c r="M40" s="252"/>
      <c r="N40" s="252"/>
      <c r="O40" s="252"/>
      <c r="P40" s="252"/>
      <c r="Q40" s="252"/>
      <c r="R40" s="252"/>
      <c r="S40" s="252">
        <f t="shared" si="0"/>
        <v>0</v>
      </c>
    </row>
    <row r="41" spans="1:19" s="43" customFormat="1" ht="15.75">
      <c r="A41" s="428">
        <v>20</v>
      </c>
      <c r="B41" s="331" t="s">
        <v>310</v>
      </c>
      <c r="C41" s="252" t="s">
        <v>24</v>
      </c>
      <c r="D41" s="252">
        <v>500</v>
      </c>
      <c r="E41" s="252">
        <v>500</v>
      </c>
      <c r="F41" s="252">
        <v>500</v>
      </c>
      <c r="G41" s="252">
        <v>500</v>
      </c>
      <c r="H41" s="252">
        <v>500</v>
      </c>
      <c r="I41" s="252">
        <v>500</v>
      </c>
      <c r="J41" s="252">
        <v>500</v>
      </c>
      <c r="K41" s="252">
        <v>500</v>
      </c>
      <c r="L41" s="252">
        <v>500</v>
      </c>
      <c r="M41" s="252">
        <v>500</v>
      </c>
      <c r="N41" s="252">
        <v>500</v>
      </c>
      <c r="O41" s="252">
        <v>500</v>
      </c>
      <c r="P41" s="252">
        <v>0</v>
      </c>
      <c r="Q41" s="252">
        <v>500</v>
      </c>
      <c r="R41" s="252">
        <v>0</v>
      </c>
      <c r="S41" s="252">
        <f t="shared" si="0"/>
        <v>6500</v>
      </c>
    </row>
    <row r="42" spans="1:19" s="43" customFormat="1" ht="15.75">
      <c r="A42" s="424"/>
      <c r="B42" s="332"/>
      <c r="C42" s="252" t="s">
        <v>25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>
        <f t="shared" si="0"/>
        <v>0</v>
      </c>
    </row>
    <row r="43" spans="1:19" s="43" customFormat="1" ht="15.75">
      <c r="A43" s="428">
        <v>21</v>
      </c>
      <c r="B43" s="331" t="s">
        <v>309</v>
      </c>
      <c r="C43" s="252" t="s">
        <v>24</v>
      </c>
      <c r="D43" s="252">
        <v>600</v>
      </c>
      <c r="E43" s="252">
        <v>600</v>
      </c>
      <c r="F43" s="252">
        <v>600</v>
      </c>
      <c r="G43" s="252">
        <v>600</v>
      </c>
      <c r="H43" s="252">
        <v>600</v>
      </c>
      <c r="I43" s="252">
        <v>600</v>
      </c>
      <c r="J43" s="252">
        <v>600</v>
      </c>
      <c r="K43" s="252">
        <v>600</v>
      </c>
      <c r="L43" s="252">
        <v>600</v>
      </c>
      <c r="M43" s="252">
        <v>600</v>
      </c>
      <c r="N43" s="252">
        <v>600</v>
      </c>
      <c r="O43" s="252">
        <v>600</v>
      </c>
      <c r="P43" s="252">
        <v>0</v>
      </c>
      <c r="Q43" s="252">
        <v>600</v>
      </c>
      <c r="R43" s="252">
        <v>0</v>
      </c>
      <c r="S43" s="252">
        <f t="shared" si="0"/>
        <v>7800</v>
      </c>
    </row>
    <row r="44" spans="1:19" s="43" customFormat="1" ht="15.75">
      <c r="A44" s="424"/>
      <c r="B44" s="332"/>
      <c r="C44" s="252" t="s">
        <v>25</v>
      </c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>
        <f t="shared" si="0"/>
        <v>0</v>
      </c>
    </row>
    <row r="45" spans="1:19" s="43" customFormat="1" ht="15.75">
      <c r="A45" s="428">
        <v>22</v>
      </c>
      <c r="B45" s="331" t="s">
        <v>439</v>
      </c>
      <c r="C45" s="252" t="s">
        <v>24</v>
      </c>
      <c r="D45" s="252">
        <v>830</v>
      </c>
      <c r="E45" s="252">
        <v>830</v>
      </c>
      <c r="F45" s="252">
        <v>830</v>
      </c>
      <c r="G45" s="252">
        <v>830</v>
      </c>
      <c r="H45" s="252">
        <v>830</v>
      </c>
      <c r="I45" s="252">
        <v>830</v>
      </c>
      <c r="J45" s="252">
        <v>830</v>
      </c>
      <c r="K45" s="252">
        <v>830</v>
      </c>
      <c r="L45" s="252">
        <v>830</v>
      </c>
      <c r="M45" s="252">
        <v>830</v>
      </c>
      <c r="N45" s="252">
        <v>830</v>
      </c>
      <c r="O45" s="252">
        <v>830</v>
      </c>
      <c r="P45" s="252">
        <v>0</v>
      </c>
      <c r="Q45" s="252">
        <v>830</v>
      </c>
      <c r="R45" s="252">
        <v>0</v>
      </c>
      <c r="S45" s="252">
        <f t="shared" si="0"/>
        <v>10790</v>
      </c>
    </row>
    <row r="46" spans="1:19" s="43" customFormat="1" ht="15.75">
      <c r="A46" s="424"/>
      <c r="B46" s="332"/>
      <c r="C46" s="252" t="s">
        <v>25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>
        <f t="shared" si="0"/>
        <v>0</v>
      </c>
    </row>
    <row r="47" spans="1:19" s="43" customFormat="1" ht="15.75">
      <c r="A47" s="428">
        <v>23</v>
      </c>
      <c r="B47" s="331" t="s">
        <v>506</v>
      </c>
      <c r="C47" s="252" t="s">
        <v>24</v>
      </c>
      <c r="D47" s="252">
        <v>710</v>
      </c>
      <c r="E47" s="252">
        <v>710</v>
      </c>
      <c r="F47" s="252">
        <v>710</v>
      </c>
      <c r="G47" s="252">
        <v>710</v>
      </c>
      <c r="H47" s="252">
        <v>710</v>
      </c>
      <c r="I47" s="252">
        <v>710</v>
      </c>
      <c r="J47" s="252">
        <v>710</v>
      </c>
      <c r="K47" s="252">
        <v>710</v>
      </c>
      <c r="L47" s="252">
        <v>710</v>
      </c>
      <c r="M47" s="252">
        <v>710</v>
      </c>
      <c r="N47" s="252">
        <v>710</v>
      </c>
      <c r="O47" s="252">
        <v>710</v>
      </c>
      <c r="P47" s="252">
        <v>0</v>
      </c>
      <c r="Q47" s="252">
        <v>710</v>
      </c>
      <c r="R47" s="252">
        <v>0</v>
      </c>
      <c r="S47" s="252">
        <f t="shared" si="0"/>
        <v>9230</v>
      </c>
    </row>
    <row r="48" spans="1:19" s="43" customFormat="1" ht="15.75">
      <c r="A48" s="424"/>
      <c r="B48" s="332"/>
      <c r="C48" s="252" t="s">
        <v>25</v>
      </c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>
        <f t="shared" si="0"/>
        <v>0</v>
      </c>
    </row>
    <row r="49" spans="1:19" s="43" customFormat="1" ht="15.75">
      <c r="A49" s="428">
        <v>24</v>
      </c>
      <c r="B49" s="331" t="s">
        <v>507</v>
      </c>
      <c r="C49" s="252" t="s">
        <v>24</v>
      </c>
      <c r="D49" s="252">
        <v>1394</v>
      </c>
      <c r="E49" s="252">
        <v>1394</v>
      </c>
      <c r="F49" s="252">
        <v>1394</v>
      </c>
      <c r="G49" s="252">
        <v>1394</v>
      </c>
      <c r="H49" s="252">
        <v>1394</v>
      </c>
      <c r="I49" s="252">
        <v>1394</v>
      </c>
      <c r="J49" s="252">
        <v>1394</v>
      </c>
      <c r="K49" s="252">
        <v>1394</v>
      </c>
      <c r="L49" s="252">
        <v>1394</v>
      </c>
      <c r="M49" s="252">
        <v>1394</v>
      </c>
      <c r="N49" s="252">
        <v>1394</v>
      </c>
      <c r="O49" s="252">
        <v>1394</v>
      </c>
      <c r="P49" s="252">
        <v>0</v>
      </c>
      <c r="Q49" s="252">
        <v>1394</v>
      </c>
      <c r="R49" s="252">
        <v>0</v>
      </c>
      <c r="S49" s="252">
        <f t="shared" si="0"/>
        <v>18122</v>
      </c>
    </row>
    <row r="50" spans="1:19" s="43" customFormat="1" ht="15.75">
      <c r="A50" s="424"/>
      <c r="B50" s="332"/>
      <c r="C50" s="252" t="s">
        <v>25</v>
      </c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>
        <f t="shared" si="0"/>
        <v>0</v>
      </c>
    </row>
    <row r="51" spans="1:19" s="43" customFormat="1" ht="15.75">
      <c r="A51" s="428">
        <v>25</v>
      </c>
      <c r="B51" s="331" t="s">
        <v>290</v>
      </c>
      <c r="C51" s="252" t="s">
        <v>24</v>
      </c>
      <c r="D51" s="252">
        <v>1950</v>
      </c>
      <c r="E51" s="252">
        <v>1950</v>
      </c>
      <c r="F51" s="252">
        <v>1950</v>
      </c>
      <c r="G51" s="252">
        <v>1950</v>
      </c>
      <c r="H51" s="252">
        <v>1950</v>
      </c>
      <c r="I51" s="252">
        <v>1950</v>
      </c>
      <c r="J51" s="252">
        <v>1950</v>
      </c>
      <c r="K51" s="252">
        <v>1950</v>
      </c>
      <c r="L51" s="252">
        <v>1950</v>
      </c>
      <c r="M51" s="252">
        <v>1950</v>
      </c>
      <c r="N51" s="252">
        <v>1950</v>
      </c>
      <c r="O51" s="252">
        <v>1950</v>
      </c>
      <c r="P51" s="252">
        <v>0</v>
      </c>
      <c r="Q51" s="252">
        <v>1950</v>
      </c>
      <c r="R51" s="252">
        <v>0</v>
      </c>
      <c r="S51" s="252">
        <f t="shared" si="0"/>
        <v>25350</v>
      </c>
    </row>
    <row r="52" spans="1:19" s="43" customFormat="1" ht="15.75">
      <c r="A52" s="424"/>
      <c r="B52" s="332"/>
      <c r="C52" s="252" t="s">
        <v>25</v>
      </c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>
        <f t="shared" si="0"/>
        <v>0</v>
      </c>
    </row>
    <row r="53" spans="1:19" s="43" customFormat="1" ht="15.75">
      <c r="A53" s="428">
        <v>26</v>
      </c>
      <c r="B53" s="331" t="s">
        <v>288</v>
      </c>
      <c r="C53" s="252" t="s">
        <v>24</v>
      </c>
      <c r="D53" s="252">
        <v>1520</v>
      </c>
      <c r="E53" s="252">
        <v>1520</v>
      </c>
      <c r="F53" s="252">
        <v>1520</v>
      </c>
      <c r="G53" s="252">
        <v>1520</v>
      </c>
      <c r="H53" s="252">
        <v>1520</v>
      </c>
      <c r="I53" s="252">
        <v>1520</v>
      </c>
      <c r="J53" s="252">
        <v>1520</v>
      </c>
      <c r="K53" s="252">
        <v>1520</v>
      </c>
      <c r="L53" s="252">
        <v>1520</v>
      </c>
      <c r="M53" s="252">
        <v>1520</v>
      </c>
      <c r="N53" s="252">
        <v>1520</v>
      </c>
      <c r="O53" s="252">
        <v>1520</v>
      </c>
      <c r="P53" s="252">
        <v>0</v>
      </c>
      <c r="Q53" s="252">
        <v>1520</v>
      </c>
      <c r="R53" s="252">
        <v>0</v>
      </c>
      <c r="S53" s="252">
        <f t="shared" si="0"/>
        <v>19760</v>
      </c>
    </row>
    <row r="54" spans="1:19" s="43" customFormat="1" ht="15.75">
      <c r="A54" s="424"/>
      <c r="B54" s="332"/>
      <c r="C54" s="252" t="s">
        <v>25</v>
      </c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>
        <f t="shared" si="0"/>
        <v>0</v>
      </c>
    </row>
    <row r="55" spans="1:19" s="43" customFormat="1" ht="15.75">
      <c r="A55" s="428">
        <v>27</v>
      </c>
      <c r="B55" s="331" t="s">
        <v>287</v>
      </c>
      <c r="C55" s="252" t="s">
        <v>24</v>
      </c>
      <c r="D55" s="252">
        <v>1900</v>
      </c>
      <c r="E55" s="252">
        <v>1900</v>
      </c>
      <c r="F55" s="252">
        <v>1900</v>
      </c>
      <c r="G55" s="252">
        <v>1900</v>
      </c>
      <c r="H55" s="252">
        <v>1900</v>
      </c>
      <c r="I55" s="252">
        <v>1900</v>
      </c>
      <c r="J55" s="252">
        <v>1900</v>
      </c>
      <c r="K55" s="252">
        <v>1900</v>
      </c>
      <c r="L55" s="252">
        <v>1900</v>
      </c>
      <c r="M55" s="252">
        <v>1900</v>
      </c>
      <c r="N55" s="252">
        <v>1900</v>
      </c>
      <c r="O55" s="252">
        <v>1900</v>
      </c>
      <c r="P55" s="252">
        <v>0</v>
      </c>
      <c r="Q55" s="252">
        <v>1900</v>
      </c>
      <c r="R55" s="252">
        <v>0</v>
      </c>
      <c r="S55" s="252">
        <f t="shared" si="0"/>
        <v>24700</v>
      </c>
    </row>
    <row r="56" spans="1:19" s="43" customFormat="1" ht="15.75">
      <c r="A56" s="424"/>
      <c r="B56" s="332"/>
      <c r="C56" s="252" t="s">
        <v>25</v>
      </c>
      <c r="D56" s="252"/>
      <c r="E56" s="252"/>
      <c r="F56" s="252"/>
      <c r="G56" s="252"/>
      <c r="H56" s="252"/>
      <c r="I56" s="252"/>
      <c r="J56" s="252"/>
      <c r="K56" s="252"/>
      <c r="L56" s="252"/>
      <c r="M56" s="252"/>
      <c r="N56" s="252"/>
      <c r="O56" s="252"/>
      <c r="P56" s="252"/>
      <c r="Q56" s="252"/>
      <c r="R56" s="252"/>
      <c r="S56" s="252">
        <f t="shared" si="0"/>
        <v>0</v>
      </c>
    </row>
    <row r="57" spans="1:19" s="43" customFormat="1" ht="15.75">
      <c r="A57" s="428">
        <v>28</v>
      </c>
      <c r="B57" s="331" t="s">
        <v>508</v>
      </c>
      <c r="C57" s="252" t="s">
        <v>24</v>
      </c>
      <c r="D57" s="252">
        <v>1771</v>
      </c>
      <c r="E57" s="252">
        <v>1771</v>
      </c>
      <c r="F57" s="252">
        <v>1771</v>
      </c>
      <c r="G57" s="252">
        <v>1771</v>
      </c>
      <c r="H57" s="252">
        <v>1771</v>
      </c>
      <c r="I57" s="252">
        <v>1771</v>
      </c>
      <c r="J57" s="252">
        <v>1771</v>
      </c>
      <c r="K57" s="252">
        <v>1771</v>
      </c>
      <c r="L57" s="252">
        <v>1771</v>
      </c>
      <c r="M57" s="252">
        <v>1771</v>
      </c>
      <c r="N57" s="252">
        <v>1771</v>
      </c>
      <c r="O57" s="252">
        <v>1771</v>
      </c>
      <c r="P57" s="252">
        <v>0</v>
      </c>
      <c r="Q57" s="252">
        <v>1771</v>
      </c>
      <c r="R57" s="252">
        <v>0</v>
      </c>
      <c r="S57" s="252">
        <f t="shared" si="0"/>
        <v>23023</v>
      </c>
    </row>
    <row r="58" spans="1:19" s="43" customFormat="1" ht="15.75">
      <c r="A58" s="424"/>
      <c r="B58" s="332"/>
      <c r="C58" s="252" t="s">
        <v>25</v>
      </c>
      <c r="D58" s="252"/>
      <c r="E58" s="252"/>
      <c r="F58" s="252"/>
      <c r="G58" s="252"/>
      <c r="H58" s="252"/>
      <c r="I58" s="252"/>
      <c r="J58" s="252"/>
      <c r="K58" s="252"/>
      <c r="L58" s="252"/>
      <c r="M58" s="252"/>
      <c r="N58" s="252"/>
      <c r="O58" s="252"/>
      <c r="P58" s="252"/>
      <c r="Q58" s="252"/>
      <c r="R58" s="252"/>
      <c r="S58" s="252">
        <f t="shared" si="0"/>
        <v>0</v>
      </c>
    </row>
    <row r="59" spans="1:19" s="43" customFormat="1" ht="15.75">
      <c r="A59" s="428">
        <v>29</v>
      </c>
      <c r="B59" s="331" t="s">
        <v>509</v>
      </c>
      <c r="C59" s="252" t="s">
        <v>24</v>
      </c>
      <c r="D59" s="252">
        <v>2035</v>
      </c>
      <c r="E59" s="252">
        <v>2035</v>
      </c>
      <c r="F59" s="252">
        <v>2035</v>
      </c>
      <c r="G59" s="252">
        <v>2035</v>
      </c>
      <c r="H59" s="252">
        <v>2035</v>
      </c>
      <c r="I59" s="252">
        <v>2035</v>
      </c>
      <c r="J59" s="252">
        <v>2035</v>
      </c>
      <c r="K59" s="252">
        <v>2035</v>
      </c>
      <c r="L59" s="252">
        <v>2035</v>
      </c>
      <c r="M59" s="252">
        <v>2035</v>
      </c>
      <c r="N59" s="252">
        <v>2035</v>
      </c>
      <c r="O59" s="252">
        <v>2035</v>
      </c>
      <c r="P59" s="252">
        <v>0</v>
      </c>
      <c r="Q59" s="252">
        <v>2035</v>
      </c>
      <c r="R59" s="252">
        <v>0</v>
      </c>
      <c r="S59" s="252">
        <f t="shared" si="0"/>
        <v>26455</v>
      </c>
    </row>
    <row r="60" spans="1:19" s="43" customFormat="1" ht="15.75">
      <c r="A60" s="424"/>
      <c r="B60" s="332"/>
      <c r="C60" s="252" t="s">
        <v>25</v>
      </c>
      <c r="D60" s="252"/>
      <c r="E60" s="252"/>
      <c r="F60" s="252"/>
      <c r="G60" s="252"/>
      <c r="H60" s="252"/>
      <c r="I60" s="252"/>
      <c r="J60" s="252"/>
      <c r="K60" s="252"/>
      <c r="L60" s="252"/>
      <c r="M60" s="252"/>
      <c r="N60" s="252"/>
      <c r="O60" s="252"/>
      <c r="P60" s="252"/>
      <c r="Q60" s="252"/>
      <c r="R60" s="252"/>
      <c r="S60" s="252">
        <f t="shared" si="0"/>
        <v>0</v>
      </c>
    </row>
    <row r="61" spans="1:19" s="43" customFormat="1" ht="15.75">
      <c r="A61" s="428">
        <v>30</v>
      </c>
      <c r="B61" s="331" t="s">
        <v>510</v>
      </c>
      <c r="C61" s="252" t="s">
        <v>24</v>
      </c>
      <c r="D61" s="252">
        <v>2600</v>
      </c>
      <c r="E61" s="252">
        <v>2600</v>
      </c>
      <c r="F61" s="252">
        <v>2600</v>
      </c>
      <c r="G61" s="252">
        <v>2600</v>
      </c>
      <c r="H61" s="252">
        <v>2600</v>
      </c>
      <c r="I61" s="252">
        <v>2600</v>
      </c>
      <c r="J61" s="252">
        <v>2600</v>
      </c>
      <c r="K61" s="252">
        <v>2600</v>
      </c>
      <c r="L61" s="252">
        <v>2600</v>
      </c>
      <c r="M61" s="252">
        <v>2600</v>
      </c>
      <c r="N61" s="252">
        <v>2600</v>
      </c>
      <c r="O61" s="252">
        <v>2600</v>
      </c>
      <c r="P61" s="252">
        <v>0</v>
      </c>
      <c r="Q61" s="252">
        <v>2400</v>
      </c>
      <c r="R61" s="252">
        <v>200</v>
      </c>
      <c r="S61" s="252">
        <f t="shared" si="0"/>
        <v>33800</v>
      </c>
    </row>
    <row r="62" spans="1:19" s="43" customFormat="1" ht="15.75">
      <c r="A62" s="424"/>
      <c r="B62" s="332"/>
      <c r="C62" s="252" t="s">
        <v>25</v>
      </c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>
        <f t="shared" si="0"/>
        <v>0</v>
      </c>
    </row>
    <row r="63" spans="1:19" s="43" customFormat="1" ht="15.75">
      <c r="A63" s="428">
        <v>31</v>
      </c>
      <c r="B63" s="331" t="s">
        <v>511</v>
      </c>
      <c r="C63" s="252" t="s">
        <v>24</v>
      </c>
      <c r="D63" s="252">
        <v>2498</v>
      </c>
      <c r="E63" s="252">
        <v>2498</v>
      </c>
      <c r="F63" s="252">
        <v>2498</v>
      </c>
      <c r="G63" s="252">
        <v>2498</v>
      </c>
      <c r="H63" s="252">
        <v>2498</v>
      </c>
      <c r="I63" s="252">
        <v>2498</v>
      </c>
      <c r="J63" s="252">
        <v>2498</v>
      </c>
      <c r="K63" s="252">
        <v>2498</v>
      </c>
      <c r="L63" s="252">
        <v>2498</v>
      </c>
      <c r="M63" s="252">
        <v>2498</v>
      </c>
      <c r="N63" s="252">
        <v>2498</v>
      </c>
      <c r="O63" s="252">
        <v>2498</v>
      </c>
      <c r="P63" s="252">
        <v>327</v>
      </c>
      <c r="Q63" s="252">
        <v>2171</v>
      </c>
      <c r="R63" s="252">
        <v>0</v>
      </c>
      <c r="S63" s="252">
        <f t="shared" si="0"/>
        <v>32474</v>
      </c>
    </row>
    <row r="64" spans="1:19" s="43" customFormat="1" ht="15.75">
      <c r="A64" s="424"/>
      <c r="B64" s="332"/>
      <c r="C64" s="252" t="s">
        <v>25</v>
      </c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>
        <f t="shared" si="0"/>
        <v>0</v>
      </c>
    </row>
    <row r="65" spans="1:19" s="43" customFormat="1" ht="15.75">
      <c r="A65" s="428">
        <v>32</v>
      </c>
      <c r="B65" s="331" t="s">
        <v>512</v>
      </c>
      <c r="C65" s="252" t="s">
        <v>24</v>
      </c>
      <c r="D65" s="252">
        <v>1521</v>
      </c>
      <c r="E65" s="252">
        <v>1521</v>
      </c>
      <c r="F65" s="252">
        <v>1521</v>
      </c>
      <c r="G65" s="252">
        <v>1521</v>
      </c>
      <c r="H65" s="252">
        <v>1521</v>
      </c>
      <c r="I65" s="252">
        <v>1521</v>
      </c>
      <c r="J65" s="252">
        <v>1521</v>
      </c>
      <c r="K65" s="252">
        <v>1521</v>
      </c>
      <c r="L65" s="252">
        <v>1521</v>
      </c>
      <c r="M65" s="252">
        <v>1521</v>
      </c>
      <c r="N65" s="252">
        <v>1521</v>
      </c>
      <c r="O65" s="252">
        <v>1521</v>
      </c>
      <c r="P65" s="252">
        <v>106</v>
      </c>
      <c r="Q65" s="252">
        <v>1415</v>
      </c>
      <c r="R65" s="252">
        <v>0</v>
      </c>
      <c r="S65" s="252">
        <f t="shared" si="0"/>
        <v>19773</v>
      </c>
    </row>
    <row r="66" spans="1:19" s="43" customFormat="1" ht="15.75">
      <c r="A66" s="424"/>
      <c r="B66" s="332"/>
      <c r="C66" s="252" t="s">
        <v>25</v>
      </c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>
        <f t="shared" si="0"/>
        <v>0</v>
      </c>
    </row>
    <row r="67" spans="1:19" s="43" customFormat="1" ht="15.75">
      <c r="A67" s="428">
        <v>33</v>
      </c>
      <c r="B67" s="331" t="s">
        <v>513</v>
      </c>
      <c r="C67" s="252" t="s">
        <v>24</v>
      </c>
      <c r="D67" s="252">
        <v>1725</v>
      </c>
      <c r="E67" s="252">
        <v>1725</v>
      </c>
      <c r="F67" s="252">
        <v>1725</v>
      </c>
      <c r="G67" s="252">
        <v>1725</v>
      </c>
      <c r="H67" s="252">
        <v>1725</v>
      </c>
      <c r="I67" s="252">
        <v>1725</v>
      </c>
      <c r="J67" s="252">
        <v>1725</v>
      </c>
      <c r="K67" s="252">
        <v>1725</v>
      </c>
      <c r="L67" s="252">
        <v>1725</v>
      </c>
      <c r="M67" s="252">
        <v>1725</v>
      </c>
      <c r="N67" s="252">
        <v>1725</v>
      </c>
      <c r="O67" s="252">
        <v>1725</v>
      </c>
      <c r="P67" s="252">
        <v>0</v>
      </c>
      <c r="Q67" s="252">
        <v>1725</v>
      </c>
      <c r="R67" s="252">
        <v>0</v>
      </c>
      <c r="S67" s="252">
        <f t="shared" si="0"/>
        <v>22425</v>
      </c>
    </row>
    <row r="68" spans="1:19" s="43" customFormat="1" ht="15.75">
      <c r="A68" s="424"/>
      <c r="B68" s="332"/>
      <c r="C68" s="252" t="s">
        <v>25</v>
      </c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>
        <f t="shared" ref="S68:S90" si="1">SUM(D68:R68)</f>
        <v>0</v>
      </c>
    </row>
    <row r="69" spans="1:19" s="43" customFormat="1" ht="15.75">
      <c r="A69" s="428">
        <v>34</v>
      </c>
      <c r="B69" s="331" t="s">
        <v>514</v>
      </c>
      <c r="C69" s="252" t="s">
        <v>24</v>
      </c>
      <c r="D69" s="252">
        <v>1235</v>
      </c>
      <c r="E69" s="252">
        <v>1235</v>
      </c>
      <c r="F69" s="252">
        <v>1235</v>
      </c>
      <c r="G69" s="252">
        <v>1235</v>
      </c>
      <c r="H69" s="252">
        <v>1235</v>
      </c>
      <c r="I69" s="252">
        <v>1235</v>
      </c>
      <c r="J69" s="252">
        <v>1235</v>
      </c>
      <c r="K69" s="252">
        <v>1235</v>
      </c>
      <c r="L69" s="252">
        <v>1235</v>
      </c>
      <c r="M69" s="252">
        <v>1235</v>
      </c>
      <c r="N69" s="252">
        <v>1235</v>
      </c>
      <c r="O69" s="252">
        <v>1235</v>
      </c>
      <c r="P69" s="252">
        <v>0</v>
      </c>
      <c r="Q69" s="252">
        <v>1235</v>
      </c>
      <c r="R69" s="252">
        <v>0</v>
      </c>
      <c r="S69" s="252">
        <f t="shared" si="1"/>
        <v>16055</v>
      </c>
    </row>
    <row r="70" spans="1:19" s="43" customFormat="1" ht="15.75">
      <c r="A70" s="424"/>
      <c r="B70" s="332"/>
      <c r="C70" s="252" t="s">
        <v>25</v>
      </c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>
        <f t="shared" si="1"/>
        <v>0</v>
      </c>
    </row>
    <row r="71" spans="1:19" s="43" customFormat="1" ht="15.75">
      <c r="A71" s="428">
        <v>35</v>
      </c>
      <c r="B71" s="331" t="s">
        <v>296</v>
      </c>
      <c r="C71" s="252" t="s">
        <v>24</v>
      </c>
      <c r="D71" s="252">
        <v>750</v>
      </c>
      <c r="E71" s="252">
        <v>750</v>
      </c>
      <c r="F71" s="252">
        <v>750</v>
      </c>
      <c r="G71" s="252">
        <v>750</v>
      </c>
      <c r="H71" s="252">
        <v>750</v>
      </c>
      <c r="I71" s="252">
        <v>750</v>
      </c>
      <c r="J71" s="252">
        <v>750</v>
      </c>
      <c r="K71" s="252">
        <v>750</v>
      </c>
      <c r="L71" s="252">
        <v>750</v>
      </c>
      <c r="M71" s="252">
        <v>750</v>
      </c>
      <c r="N71" s="252">
        <v>750</v>
      </c>
      <c r="O71" s="252">
        <v>750</v>
      </c>
      <c r="P71" s="252">
        <v>0</v>
      </c>
      <c r="Q71" s="252">
        <v>750</v>
      </c>
      <c r="R71" s="252">
        <v>0</v>
      </c>
      <c r="S71" s="252">
        <f t="shared" si="1"/>
        <v>9750</v>
      </c>
    </row>
    <row r="72" spans="1:19" s="43" customFormat="1" ht="15.75">
      <c r="A72" s="424"/>
      <c r="B72" s="332"/>
      <c r="C72" s="252" t="s">
        <v>25</v>
      </c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>
        <f t="shared" si="1"/>
        <v>0</v>
      </c>
    </row>
    <row r="73" spans="1:19" s="43" customFormat="1" ht="15.75">
      <c r="A73" s="428">
        <v>36</v>
      </c>
      <c r="B73" s="331" t="s">
        <v>443</v>
      </c>
      <c r="C73" s="252" t="s">
        <v>24</v>
      </c>
      <c r="D73" s="252">
        <v>200</v>
      </c>
      <c r="E73" s="252">
        <v>200</v>
      </c>
      <c r="F73" s="252">
        <v>200</v>
      </c>
      <c r="G73" s="252">
        <v>200</v>
      </c>
      <c r="H73" s="252">
        <v>200</v>
      </c>
      <c r="I73" s="252">
        <v>200</v>
      </c>
      <c r="J73" s="252">
        <v>200</v>
      </c>
      <c r="K73" s="252">
        <v>200</v>
      </c>
      <c r="L73" s="252">
        <v>200</v>
      </c>
      <c r="M73" s="252">
        <v>200</v>
      </c>
      <c r="N73" s="252">
        <v>200</v>
      </c>
      <c r="O73" s="252">
        <v>200</v>
      </c>
      <c r="P73" s="252">
        <v>0</v>
      </c>
      <c r="Q73" s="252">
        <v>200</v>
      </c>
      <c r="R73" s="252">
        <v>0</v>
      </c>
      <c r="S73" s="252">
        <f t="shared" si="1"/>
        <v>2600</v>
      </c>
    </row>
    <row r="74" spans="1:19" s="43" customFormat="1" ht="15.75">
      <c r="A74" s="424"/>
      <c r="B74" s="332"/>
      <c r="C74" s="252" t="s">
        <v>25</v>
      </c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>
        <f t="shared" si="1"/>
        <v>0</v>
      </c>
    </row>
    <row r="75" spans="1:19" s="43" customFormat="1" ht="15.75">
      <c r="A75" s="428">
        <v>37</v>
      </c>
      <c r="B75" s="331" t="s">
        <v>294</v>
      </c>
      <c r="C75" s="252" t="s">
        <v>24</v>
      </c>
      <c r="D75" s="252">
        <v>300</v>
      </c>
      <c r="E75" s="252">
        <v>300</v>
      </c>
      <c r="F75" s="252">
        <v>300</v>
      </c>
      <c r="G75" s="252">
        <v>300</v>
      </c>
      <c r="H75" s="252">
        <v>300</v>
      </c>
      <c r="I75" s="252">
        <v>300</v>
      </c>
      <c r="J75" s="252">
        <v>300</v>
      </c>
      <c r="K75" s="252">
        <v>300</v>
      </c>
      <c r="L75" s="252">
        <v>300</v>
      </c>
      <c r="M75" s="252">
        <v>300</v>
      </c>
      <c r="N75" s="252">
        <v>300</v>
      </c>
      <c r="O75" s="252">
        <v>300</v>
      </c>
      <c r="P75" s="252">
        <v>60</v>
      </c>
      <c r="Q75" s="252">
        <v>200</v>
      </c>
      <c r="R75" s="252">
        <v>40</v>
      </c>
      <c r="S75" s="252">
        <f t="shared" si="1"/>
        <v>3900</v>
      </c>
    </row>
    <row r="76" spans="1:19" s="43" customFormat="1" ht="15.75">
      <c r="A76" s="424"/>
      <c r="B76" s="332"/>
      <c r="C76" s="252" t="s">
        <v>25</v>
      </c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>
        <f t="shared" si="1"/>
        <v>0</v>
      </c>
    </row>
    <row r="77" spans="1:19" s="43" customFormat="1" ht="15.75">
      <c r="A77" s="428">
        <v>38</v>
      </c>
      <c r="B77" s="331" t="s">
        <v>441</v>
      </c>
      <c r="C77" s="252" t="s">
        <v>24</v>
      </c>
      <c r="D77" s="252">
        <v>400</v>
      </c>
      <c r="E77" s="252">
        <v>400</v>
      </c>
      <c r="F77" s="252">
        <v>400</v>
      </c>
      <c r="G77" s="252">
        <v>400</v>
      </c>
      <c r="H77" s="252">
        <v>400</v>
      </c>
      <c r="I77" s="252">
        <v>400</v>
      </c>
      <c r="J77" s="252">
        <v>400</v>
      </c>
      <c r="K77" s="252">
        <v>400</v>
      </c>
      <c r="L77" s="252">
        <v>400</v>
      </c>
      <c r="M77" s="252">
        <v>400</v>
      </c>
      <c r="N77" s="252">
        <v>400</v>
      </c>
      <c r="O77" s="252">
        <v>400</v>
      </c>
      <c r="P77" s="252">
        <v>0</v>
      </c>
      <c r="Q77" s="252">
        <v>400</v>
      </c>
      <c r="R77" s="252">
        <v>0</v>
      </c>
      <c r="S77" s="252">
        <f t="shared" si="1"/>
        <v>5200</v>
      </c>
    </row>
    <row r="78" spans="1:19" s="43" customFormat="1" ht="15.75">
      <c r="A78" s="424"/>
      <c r="B78" s="332"/>
      <c r="C78" s="252" t="s">
        <v>25</v>
      </c>
      <c r="D78" s="252"/>
      <c r="E78" s="252"/>
      <c r="F78" s="252"/>
      <c r="G78" s="252"/>
      <c r="H78" s="252"/>
      <c r="I78" s="252"/>
      <c r="J78" s="252"/>
      <c r="K78" s="252"/>
      <c r="L78" s="252"/>
      <c r="M78" s="252"/>
      <c r="N78" s="252"/>
      <c r="O78" s="252"/>
      <c r="P78" s="252"/>
      <c r="Q78" s="252"/>
      <c r="R78" s="252"/>
      <c r="S78" s="252">
        <f t="shared" si="1"/>
        <v>0</v>
      </c>
    </row>
    <row r="79" spans="1:19" s="43" customFormat="1" ht="15.75">
      <c r="A79" s="428">
        <v>39</v>
      </c>
      <c r="B79" s="331" t="s">
        <v>297</v>
      </c>
      <c r="C79" s="252" t="s">
        <v>24</v>
      </c>
      <c r="D79" s="252">
        <v>750</v>
      </c>
      <c r="E79" s="252">
        <v>750</v>
      </c>
      <c r="F79" s="252">
        <v>750</v>
      </c>
      <c r="G79" s="252">
        <v>750</v>
      </c>
      <c r="H79" s="252">
        <v>750</v>
      </c>
      <c r="I79" s="252">
        <v>750</v>
      </c>
      <c r="J79" s="252">
        <v>750</v>
      </c>
      <c r="K79" s="252">
        <v>750</v>
      </c>
      <c r="L79" s="252">
        <v>750</v>
      </c>
      <c r="M79" s="252">
        <v>750</v>
      </c>
      <c r="N79" s="252">
        <v>750</v>
      </c>
      <c r="O79" s="252">
        <v>750</v>
      </c>
      <c r="P79" s="252">
        <v>0</v>
      </c>
      <c r="Q79" s="252">
        <v>750</v>
      </c>
      <c r="R79" s="252">
        <v>0</v>
      </c>
      <c r="S79" s="252">
        <f t="shared" si="1"/>
        <v>9750</v>
      </c>
    </row>
    <row r="80" spans="1:19" s="43" customFormat="1" ht="15.75">
      <c r="A80" s="424"/>
      <c r="B80" s="332"/>
      <c r="C80" s="252" t="s">
        <v>25</v>
      </c>
      <c r="D80" s="252"/>
      <c r="E80" s="252"/>
      <c r="F80" s="252"/>
      <c r="G80" s="252"/>
      <c r="H80" s="252"/>
      <c r="I80" s="252"/>
      <c r="J80" s="252"/>
      <c r="K80" s="252"/>
      <c r="L80" s="252"/>
      <c r="M80" s="252"/>
      <c r="N80" s="252"/>
      <c r="O80" s="252"/>
      <c r="P80" s="252"/>
      <c r="Q80" s="252"/>
      <c r="R80" s="252"/>
      <c r="S80" s="252">
        <f t="shared" si="1"/>
        <v>0</v>
      </c>
    </row>
    <row r="81" spans="1:19" s="43" customFormat="1" ht="15.75">
      <c r="A81" s="428">
        <v>40</v>
      </c>
      <c r="B81" s="331" t="s">
        <v>292</v>
      </c>
      <c r="C81" s="252" t="s">
        <v>24</v>
      </c>
      <c r="D81" s="252">
        <v>700</v>
      </c>
      <c r="E81" s="252">
        <v>700</v>
      </c>
      <c r="F81" s="252">
        <v>700</v>
      </c>
      <c r="G81" s="252">
        <v>700</v>
      </c>
      <c r="H81" s="252">
        <v>700</v>
      </c>
      <c r="I81" s="252">
        <v>700</v>
      </c>
      <c r="J81" s="252">
        <v>700</v>
      </c>
      <c r="K81" s="252">
        <v>700</v>
      </c>
      <c r="L81" s="252">
        <v>700</v>
      </c>
      <c r="M81" s="252">
        <v>700</v>
      </c>
      <c r="N81" s="252">
        <v>700</v>
      </c>
      <c r="O81" s="252">
        <v>700</v>
      </c>
      <c r="P81" s="252">
        <v>0</v>
      </c>
      <c r="Q81" s="252">
        <v>700</v>
      </c>
      <c r="R81" s="252">
        <v>0</v>
      </c>
      <c r="S81" s="252">
        <f t="shared" si="1"/>
        <v>9100</v>
      </c>
    </row>
    <row r="82" spans="1:19" s="43" customFormat="1" ht="15.75">
      <c r="A82" s="424"/>
      <c r="B82" s="332"/>
      <c r="C82" s="252" t="s">
        <v>25</v>
      </c>
      <c r="D82" s="252"/>
      <c r="E82" s="252"/>
      <c r="F82" s="252"/>
      <c r="G82" s="252"/>
      <c r="H82" s="252"/>
      <c r="I82" s="252"/>
      <c r="J82" s="252"/>
      <c r="K82" s="252"/>
      <c r="L82" s="252"/>
      <c r="M82" s="252"/>
      <c r="N82" s="252"/>
      <c r="O82" s="252"/>
      <c r="P82" s="252"/>
      <c r="Q82" s="252"/>
      <c r="R82" s="252"/>
      <c r="S82" s="252">
        <f t="shared" si="1"/>
        <v>0</v>
      </c>
    </row>
    <row r="83" spans="1:19" s="43" customFormat="1" ht="15.75">
      <c r="A83" s="428">
        <v>41</v>
      </c>
      <c r="B83" s="331" t="s">
        <v>291</v>
      </c>
      <c r="C83" s="252" t="s">
        <v>24</v>
      </c>
      <c r="D83" s="252">
        <v>250</v>
      </c>
      <c r="E83" s="252">
        <v>250</v>
      </c>
      <c r="F83" s="252">
        <v>250</v>
      </c>
      <c r="G83" s="252">
        <v>250</v>
      </c>
      <c r="H83" s="252">
        <v>250</v>
      </c>
      <c r="I83" s="252">
        <v>250</v>
      </c>
      <c r="J83" s="252">
        <v>250</v>
      </c>
      <c r="K83" s="252">
        <v>250</v>
      </c>
      <c r="L83" s="252">
        <v>250</v>
      </c>
      <c r="M83" s="252">
        <v>250</v>
      </c>
      <c r="N83" s="252">
        <v>250</v>
      </c>
      <c r="O83" s="252">
        <v>250</v>
      </c>
      <c r="P83" s="252">
        <v>0</v>
      </c>
      <c r="Q83" s="252">
        <v>250</v>
      </c>
      <c r="R83" s="252">
        <v>0</v>
      </c>
      <c r="S83" s="252">
        <f t="shared" si="1"/>
        <v>3250</v>
      </c>
    </row>
    <row r="84" spans="1:19" s="43" customFormat="1" ht="15.75">
      <c r="A84" s="424"/>
      <c r="B84" s="332"/>
      <c r="C84" s="252" t="s">
        <v>25</v>
      </c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>
        <f t="shared" si="1"/>
        <v>0</v>
      </c>
    </row>
    <row r="85" spans="1:19" s="43" customFormat="1" ht="15.75">
      <c r="A85" s="428">
        <v>42</v>
      </c>
      <c r="B85" s="331" t="s">
        <v>295</v>
      </c>
      <c r="C85" s="252" t="s">
        <v>24</v>
      </c>
      <c r="D85" s="252">
        <v>1000</v>
      </c>
      <c r="E85" s="252">
        <v>1000</v>
      </c>
      <c r="F85" s="252">
        <v>1000</v>
      </c>
      <c r="G85" s="252">
        <v>1000</v>
      </c>
      <c r="H85" s="252">
        <v>1000</v>
      </c>
      <c r="I85" s="252">
        <v>1000</v>
      </c>
      <c r="J85" s="252">
        <v>1000</v>
      </c>
      <c r="K85" s="252">
        <v>1000</v>
      </c>
      <c r="L85" s="252">
        <v>1000</v>
      </c>
      <c r="M85" s="252">
        <v>1000</v>
      </c>
      <c r="N85" s="252">
        <v>1000</v>
      </c>
      <c r="O85" s="252">
        <v>1000</v>
      </c>
      <c r="P85" s="252">
        <v>0</v>
      </c>
      <c r="Q85" s="252">
        <v>1000</v>
      </c>
      <c r="R85" s="252">
        <v>0</v>
      </c>
      <c r="S85" s="252">
        <f t="shared" si="1"/>
        <v>13000</v>
      </c>
    </row>
    <row r="86" spans="1:19" s="43" customFormat="1" ht="15.75">
      <c r="A86" s="424"/>
      <c r="B86" s="332"/>
      <c r="C86" s="252" t="s">
        <v>25</v>
      </c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>
        <f t="shared" si="1"/>
        <v>0</v>
      </c>
    </row>
    <row r="87" spans="1:19" s="43" customFormat="1" ht="15.75">
      <c r="A87" s="428">
        <v>43</v>
      </c>
      <c r="B87" s="331" t="s">
        <v>293</v>
      </c>
      <c r="C87" s="252" t="s">
        <v>24</v>
      </c>
      <c r="D87" s="252">
        <v>1450</v>
      </c>
      <c r="E87" s="252">
        <v>1450</v>
      </c>
      <c r="F87" s="252">
        <v>1450</v>
      </c>
      <c r="G87" s="252">
        <v>1450</v>
      </c>
      <c r="H87" s="252">
        <v>1450</v>
      </c>
      <c r="I87" s="252">
        <v>1450</v>
      </c>
      <c r="J87" s="252">
        <v>1450</v>
      </c>
      <c r="K87" s="252">
        <v>1450</v>
      </c>
      <c r="L87" s="252">
        <v>1450</v>
      </c>
      <c r="M87" s="252">
        <v>1450</v>
      </c>
      <c r="N87" s="252">
        <v>1450</v>
      </c>
      <c r="O87" s="252">
        <v>1450</v>
      </c>
      <c r="P87" s="252">
        <v>0</v>
      </c>
      <c r="Q87" s="252">
        <v>1450</v>
      </c>
      <c r="R87" s="252">
        <v>0</v>
      </c>
      <c r="S87" s="252">
        <f t="shared" si="1"/>
        <v>18850</v>
      </c>
    </row>
    <row r="88" spans="1:19" s="43" customFormat="1" ht="15.75">
      <c r="A88" s="424"/>
      <c r="B88" s="332"/>
      <c r="C88" s="252" t="s">
        <v>25</v>
      </c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>
        <f t="shared" si="1"/>
        <v>0</v>
      </c>
    </row>
    <row r="89" spans="1:19" s="43" customFormat="1" ht="15.75">
      <c r="A89" s="428">
        <v>44</v>
      </c>
      <c r="B89" s="331" t="s">
        <v>515</v>
      </c>
      <c r="C89" s="252" t="s">
        <v>24</v>
      </c>
      <c r="D89" s="252">
        <v>1500</v>
      </c>
      <c r="E89" s="252">
        <v>1500</v>
      </c>
      <c r="F89" s="252">
        <v>1500</v>
      </c>
      <c r="G89" s="252">
        <v>1500</v>
      </c>
      <c r="H89" s="252">
        <v>1500</v>
      </c>
      <c r="I89" s="252">
        <v>1500</v>
      </c>
      <c r="J89" s="252">
        <v>1500</v>
      </c>
      <c r="K89" s="252">
        <v>1500</v>
      </c>
      <c r="L89" s="252">
        <v>1500</v>
      </c>
      <c r="M89" s="252">
        <v>1500</v>
      </c>
      <c r="N89" s="252">
        <v>1500</v>
      </c>
      <c r="O89" s="252">
        <v>1500</v>
      </c>
      <c r="P89" s="252">
        <v>0</v>
      </c>
      <c r="Q89" s="252">
        <v>1500</v>
      </c>
      <c r="R89" s="252">
        <v>0</v>
      </c>
      <c r="S89" s="252">
        <f t="shared" si="1"/>
        <v>19500</v>
      </c>
    </row>
    <row r="90" spans="1:19" s="43" customFormat="1" ht="15.75">
      <c r="A90" s="424"/>
      <c r="B90" s="332"/>
      <c r="C90" s="252" t="s">
        <v>25</v>
      </c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>
        <f t="shared" si="1"/>
        <v>0</v>
      </c>
    </row>
    <row r="91" spans="1:19" s="43" customFormat="1" ht="15.75">
      <c r="A91" s="450" t="s">
        <v>35</v>
      </c>
      <c r="B91" s="451"/>
      <c r="C91" s="452"/>
      <c r="D91" s="252">
        <f>D3+D5+D7+D9+D11+D13+D15+D17+D19+D21+D23+D25+D27+D29+D31+D33+D35+D37+D39+D41+D43+D45+D47+D49+D51+D53+D55+D57+D59+D61+D63+D65+D67+D69+D71+D73+D75+D77+D79+D81+D83+D85+D87+D89</f>
        <v>53320</v>
      </c>
      <c r="E91" s="252">
        <f t="shared" ref="E91:S91" si="2">E3+E5+E7+E9+E11+E13+E15+E17+E19+E21+E23+E25+E27+E29+E31+E33+E35+E37+E39+E41+E43+E45+E47+E49+E51+E53+E55+E57+E59+E61+E63+E65+E67+E69+E71+E73+E75+E77+E79+E81+E83+E85+E87+E89</f>
        <v>53320</v>
      </c>
      <c r="F91" s="252">
        <f t="shared" si="2"/>
        <v>53320</v>
      </c>
      <c r="G91" s="252">
        <f t="shared" si="2"/>
        <v>53320</v>
      </c>
      <c r="H91" s="252">
        <f t="shared" si="2"/>
        <v>53320</v>
      </c>
      <c r="I91" s="252">
        <f t="shared" si="2"/>
        <v>53320</v>
      </c>
      <c r="J91" s="252">
        <f t="shared" si="2"/>
        <v>53414</v>
      </c>
      <c r="K91" s="252">
        <f t="shared" si="2"/>
        <v>53320</v>
      </c>
      <c r="L91" s="252">
        <f t="shared" si="2"/>
        <v>53320</v>
      </c>
      <c r="M91" s="252">
        <f t="shared" si="2"/>
        <v>53320</v>
      </c>
      <c r="N91" s="252">
        <f t="shared" si="2"/>
        <v>53320</v>
      </c>
      <c r="O91" s="252">
        <f t="shared" si="2"/>
        <v>53320</v>
      </c>
      <c r="P91" s="252">
        <f t="shared" si="2"/>
        <v>2854</v>
      </c>
      <c r="Q91" s="252">
        <f t="shared" si="2"/>
        <v>50026</v>
      </c>
      <c r="R91" s="252">
        <f t="shared" si="2"/>
        <v>440</v>
      </c>
      <c r="S91" s="252">
        <f t="shared" si="2"/>
        <v>693254</v>
      </c>
    </row>
    <row r="92" spans="1:19" s="43" customFormat="1" ht="15.75">
      <c r="A92" s="450" t="s">
        <v>36</v>
      </c>
      <c r="B92" s="451"/>
      <c r="C92" s="452"/>
      <c r="D92" s="252">
        <f>D4+D6+D8+D10+D12+D14+D16+D18+D20+D22+D24+D26+D28+D30+D32+D34+D36+D38+D40+D42+D44+D46+D48+D50+D52+D54+D56+D58+D60+D62+D64+D66+D68+D70+D72+D74+D76+D78+D80+D82+D84+D86+D88+D90</f>
        <v>0</v>
      </c>
      <c r="E92" s="252">
        <f t="shared" ref="E92:S92" si="3">E4+E6+E8+E10+E12+E14+E16+E18+E20+E22+E24+E26+E28+E30+E32+E34+E36+E38+E40+E42+E44+E46+E48+E50+E52+E54+E56+E58+E60+E62+E64+E66+E68+E70+E72+E74+E76+E78+E80+E82+E84+E86+E88+E90</f>
        <v>0</v>
      </c>
      <c r="F92" s="252">
        <f t="shared" si="3"/>
        <v>0</v>
      </c>
      <c r="G92" s="252">
        <f t="shared" si="3"/>
        <v>0</v>
      </c>
      <c r="H92" s="252">
        <f t="shared" si="3"/>
        <v>0</v>
      </c>
      <c r="I92" s="252">
        <f t="shared" si="3"/>
        <v>0</v>
      </c>
      <c r="J92" s="252">
        <f t="shared" si="3"/>
        <v>0</v>
      </c>
      <c r="K92" s="252">
        <f t="shared" si="3"/>
        <v>0</v>
      </c>
      <c r="L92" s="252">
        <f t="shared" si="3"/>
        <v>0</v>
      </c>
      <c r="M92" s="252">
        <f t="shared" si="3"/>
        <v>0</v>
      </c>
      <c r="N92" s="252">
        <f t="shared" si="3"/>
        <v>0</v>
      </c>
      <c r="O92" s="252">
        <f t="shared" si="3"/>
        <v>0</v>
      </c>
      <c r="P92" s="252">
        <f t="shared" si="3"/>
        <v>0</v>
      </c>
      <c r="Q92" s="252">
        <f t="shared" si="3"/>
        <v>0</v>
      </c>
      <c r="R92" s="252">
        <f t="shared" si="3"/>
        <v>0</v>
      </c>
      <c r="S92" s="252">
        <f t="shared" si="3"/>
        <v>0</v>
      </c>
    </row>
    <row r="93" spans="1:19" s="43" customFormat="1" ht="15.75">
      <c r="A93" s="450" t="s">
        <v>308</v>
      </c>
      <c r="B93" s="451"/>
      <c r="C93" s="452"/>
      <c r="D93" s="252">
        <f>D91-D92</f>
        <v>53320</v>
      </c>
      <c r="E93" s="252">
        <f t="shared" ref="E93:R93" si="4">E91-E92</f>
        <v>53320</v>
      </c>
      <c r="F93" s="252">
        <f t="shared" si="4"/>
        <v>53320</v>
      </c>
      <c r="G93" s="252">
        <f t="shared" si="4"/>
        <v>53320</v>
      </c>
      <c r="H93" s="252">
        <f t="shared" si="4"/>
        <v>53320</v>
      </c>
      <c r="I93" s="252">
        <f t="shared" si="4"/>
        <v>53320</v>
      </c>
      <c r="J93" s="252">
        <f t="shared" si="4"/>
        <v>53414</v>
      </c>
      <c r="K93" s="252">
        <f t="shared" si="4"/>
        <v>53320</v>
      </c>
      <c r="L93" s="252">
        <f t="shared" si="4"/>
        <v>53320</v>
      </c>
      <c r="M93" s="252">
        <f t="shared" si="4"/>
        <v>53320</v>
      </c>
      <c r="N93" s="252">
        <f t="shared" si="4"/>
        <v>53320</v>
      </c>
      <c r="O93" s="252">
        <f t="shared" si="4"/>
        <v>53320</v>
      </c>
      <c r="P93" s="252">
        <f t="shared" si="4"/>
        <v>2854</v>
      </c>
      <c r="Q93" s="252">
        <f t="shared" si="4"/>
        <v>50026</v>
      </c>
      <c r="R93" s="252">
        <f t="shared" si="4"/>
        <v>440</v>
      </c>
      <c r="S93" s="252">
        <f>SUM(D93:R93)</f>
        <v>693254</v>
      </c>
    </row>
    <row r="94" spans="1:19"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</row>
  </sheetData>
  <mergeCells count="92">
    <mergeCell ref="B79:B80"/>
    <mergeCell ref="B81:B82"/>
    <mergeCell ref="B83:B84"/>
    <mergeCell ref="B85:B86"/>
    <mergeCell ref="B87:B88"/>
    <mergeCell ref="B77:B78"/>
    <mergeCell ref="B55:B56"/>
    <mergeCell ref="B57:B58"/>
    <mergeCell ref="B59:B60"/>
    <mergeCell ref="B61:B62"/>
    <mergeCell ref="B63:B64"/>
    <mergeCell ref="B65:B66"/>
    <mergeCell ref="B67:B68"/>
    <mergeCell ref="B69:B70"/>
    <mergeCell ref="B71:B72"/>
    <mergeCell ref="B73:B74"/>
    <mergeCell ref="B75:B76"/>
    <mergeCell ref="B53:B54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19:B20"/>
    <mergeCell ref="B21:B22"/>
    <mergeCell ref="B23:B24"/>
    <mergeCell ref="B25:B26"/>
    <mergeCell ref="B27:B28"/>
    <mergeCell ref="B29:B30"/>
    <mergeCell ref="A83:A84"/>
    <mergeCell ref="A85:A86"/>
    <mergeCell ref="A87:A88"/>
    <mergeCell ref="B5:B6"/>
    <mergeCell ref="B7:B8"/>
    <mergeCell ref="B9:B10"/>
    <mergeCell ref="B11:B12"/>
    <mergeCell ref="B13:B14"/>
    <mergeCell ref="B15:B16"/>
    <mergeCell ref="B17:B18"/>
    <mergeCell ref="A71:A72"/>
    <mergeCell ref="A73:A74"/>
    <mergeCell ref="A75:A76"/>
    <mergeCell ref="A77:A78"/>
    <mergeCell ref="A79:A80"/>
    <mergeCell ref="A51:A52"/>
    <mergeCell ref="A53:A54"/>
    <mergeCell ref="A55:A56"/>
    <mergeCell ref="A81:A82"/>
    <mergeCell ref="A59:A60"/>
    <mergeCell ref="A61:A62"/>
    <mergeCell ref="A63:A64"/>
    <mergeCell ref="A65:A66"/>
    <mergeCell ref="A67:A68"/>
    <mergeCell ref="A69:A70"/>
    <mergeCell ref="A93:C93"/>
    <mergeCell ref="A1:O1"/>
    <mergeCell ref="A5:A6"/>
    <mergeCell ref="A7:A8"/>
    <mergeCell ref="A9:A10"/>
    <mergeCell ref="A11:A12"/>
    <mergeCell ref="A13:A14"/>
    <mergeCell ref="A15:A16"/>
    <mergeCell ref="A3:A4"/>
    <mergeCell ref="B3:B4"/>
    <mergeCell ref="A89:A90"/>
    <mergeCell ref="B89:B90"/>
    <mergeCell ref="A17:A18"/>
    <mergeCell ref="A23:A24"/>
    <mergeCell ref="A25:A26"/>
    <mergeCell ref="A27:A28"/>
    <mergeCell ref="A19:A20"/>
    <mergeCell ref="A21:A22"/>
    <mergeCell ref="A33:A34"/>
    <mergeCell ref="A91:C91"/>
    <mergeCell ref="A92:C92"/>
    <mergeCell ref="A29:A30"/>
    <mergeCell ref="A31:A32"/>
    <mergeCell ref="A57:A58"/>
    <mergeCell ref="A35:A36"/>
    <mergeCell ref="A37:A38"/>
    <mergeCell ref="A39:A40"/>
    <mergeCell ref="A41:A42"/>
    <mergeCell ref="A43:A44"/>
    <mergeCell ref="A45:A46"/>
    <mergeCell ref="A47:A48"/>
    <mergeCell ref="A49:A5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FFFF00"/>
  </sheetPr>
  <dimension ref="A1:Z124"/>
  <sheetViews>
    <sheetView topLeftCell="A109" zoomScale="115" zoomScaleNormal="115" workbookViewId="0">
      <selection activeCell="P124" sqref="P124"/>
    </sheetView>
  </sheetViews>
  <sheetFormatPr defaultRowHeight="15.75"/>
  <cols>
    <col min="1" max="1" width="4.28515625" style="1" customWidth="1"/>
    <col min="2" max="2" width="8.28515625" style="5" customWidth="1"/>
    <col min="3" max="3" width="8.28515625" style="1" customWidth="1"/>
    <col min="4" max="4" width="7.5703125" style="1" customWidth="1"/>
    <col min="5" max="5" width="7.7109375" style="1" customWidth="1"/>
    <col min="6" max="6" width="7" style="1" customWidth="1"/>
    <col min="7" max="7" width="7.28515625" style="1" customWidth="1"/>
    <col min="8" max="9" width="7.140625" style="1" customWidth="1"/>
    <col min="10" max="10" width="7.7109375" style="1" customWidth="1"/>
    <col min="11" max="11" width="7" style="1" customWidth="1"/>
    <col min="12" max="12" width="6.7109375" style="1" customWidth="1"/>
    <col min="13" max="13" width="7.140625" style="1" customWidth="1"/>
    <col min="14" max="14" width="6.85546875" style="1" customWidth="1"/>
    <col min="15" max="15" width="5.85546875" style="1" customWidth="1"/>
    <col min="16" max="16" width="7" style="1" customWidth="1"/>
    <col min="17" max="17" width="6.5703125" style="1" customWidth="1"/>
    <col min="18" max="18" width="7.28515625" style="1" customWidth="1"/>
    <col min="19" max="19" width="6.42578125" style="1" customWidth="1"/>
    <col min="20" max="20" width="6.7109375" style="1" customWidth="1"/>
    <col min="21" max="21" width="5.85546875" style="1" bestFit="1" customWidth="1"/>
    <col min="22" max="22" width="4.85546875" style="1" customWidth="1"/>
    <col min="23" max="24" width="4.7109375" style="1" customWidth="1"/>
    <col min="25" max="25" width="5" style="1" customWidth="1"/>
    <col min="26" max="26" width="8.28515625" style="1" customWidth="1"/>
  </cols>
  <sheetData>
    <row r="1" spans="1:26" ht="19.5">
      <c r="A1" s="532" t="s">
        <v>516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33" customHeight="1">
      <c r="A2" s="255" t="s">
        <v>118</v>
      </c>
      <c r="B2" s="255" t="s">
        <v>307</v>
      </c>
      <c r="C2" s="34" t="s">
        <v>24</v>
      </c>
      <c r="D2" s="34" t="s">
        <v>225</v>
      </c>
      <c r="E2" s="34" t="s">
        <v>365</v>
      </c>
      <c r="F2" s="34" t="s">
        <v>56</v>
      </c>
      <c r="G2" s="34" t="s">
        <v>27</v>
      </c>
      <c r="H2" s="34" t="s">
        <v>175</v>
      </c>
      <c r="I2" s="34" t="s">
        <v>31</v>
      </c>
      <c r="J2" s="34" t="s">
        <v>202</v>
      </c>
      <c r="K2" s="34" t="s">
        <v>32</v>
      </c>
      <c r="L2" s="34" t="s">
        <v>493</v>
      </c>
      <c r="M2" s="34" t="s">
        <v>73</v>
      </c>
      <c r="N2" s="34" t="s">
        <v>517</v>
      </c>
      <c r="O2" s="34" t="s">
        <v>192</v>
      </c>
      <c r="P2" s="34" t="s">
        <v>494</v>
      </c>
      <c r="Q2" s="34" t="s">
        <v>151</v>
      </c>
      <c r="R2" s="34" t="s">
        <v>48</v>
      </c>
      <c r="S2" s="34" t="s">
        <v>49</v>
      </c>
      <c r="T2" s="34" t="s">
        <v>76</v>
      </c>
      <c r="U2" s="34" t="s">
        <v>51</v>
      </c>
      <c r="V2" s="34" t="s">
        <v>112</v>
      </c>
      <c r="W2" s="34" t="s">
        <v>137</v>
      </c>
      <c r="X2" s="34" t="s">
        <v>149</v>
      </c>
      <c r="Y2" s="34" t="s">
        <v>99</v>
      </c>
      <c r="Z2" s="34" t="s">
        <v>88</v>
      </c>
    </row>
    <row r="3" spans="1:26">
      <c r="A3" s="428">
        <v>1</v>
      </c>
      <c r="B3" s="331" t="s">
        <v>518</v>
      </c>
      <c r="C3" s="82" t="s">
        <v>24</v>
      </c>
      <c r="D3" s="82">
        <v>6600</v>
      </c>
      <c r="E3" s="252">
        <v>6600</v>
      </c>
      <c r="F3" s="252">
        <v>6600</v>
      </c>
      <c r="G3" s="252">
        <v>6600</v>
      </c>
      <c r="H3" s="252">
        <v>6600</v>
      </c>
      <c r="I3" s="252">
        <v>6600</v>
      </c>
      <c r="J3" s="252">
        <v>6600</v>
      </c>
      <c r="K3" s="252">
        <v>6600</v>
      </c>
      <c r="L3" s="252">
        <v>0</v>
      </c>
      <c r="M3" s="252">
        <v>6600</v>
      </c>
      <c r="N3" s="82">
        <v>0</v>
      </c>
      <c r="O3" s="82">
        <v>0</v>
      </c>
      <c r="P3" s="82">
        <v>5800</v>
      </c>
      <c r="Q3" s="82">
        <v>800</v>
      </c>
      <c r="R3" s="82">
        <v>5500</v>
      </c>
      <c r="S3" s="82">
        <v>1100</v>
      </c>
      <c r="T3" s="82">
        <v>50</v>
      </c>
      <c r="U3" s="82">
        <v>100</v>
      </c>
      <c r="V3" s="82">
        <v>0</v>
      </c>
      <c r="W3" s="82">
        <v>0</v>
      </c>
      <c r="X3" s="82">
        <v>0</v>
      </c>
      <c r="Y3" s="82">
        <v>0</v>
      </c>
      <c r="Z3" s="82">
        <f>SUM(D3:Y3)</f>
        <v>72750</v>
      </c>
    </row>
    <row r="4" spans="1:26">
      <c r="A4" s="424"/>
      <c r="B4" s="332"/>
      <c r="C4" s="82" t="s">
        <v>25</v>
      </c>
      <c r="D4" s="82"/>
      <c r="E4" s="252"/>
      <c r="F4" s="252"/>
      <c r="G4" s="252"/>
      <c r="H4" s="252"/>
      <c r="I4" s="252"/>
      <c r="J4" s="252"/>
      <c r="K4" s="252"/>
      <c r="L4" s="252"/>
      <c r="M4" s="252"/>
      <c r="N4" s="82"/>
      <c r="O4" s="82"/>
      <c r="P4" s="82"/>
      <c r="Q4" s="82"/>
      <c r="R4" s="82"/>
      <c r="S4" s="82"/>
      <c r="T4" s="82"/>
      <c r="U4" s="82"/>
      <c r="V4" s="82"/>
      <c r="W4" s="82"/>
      <c r="X4" s="82"/>
      <c r="Y4" s="82"/>
      <c r="Z4" s="82">
        <f t="shared" ref="Z4:Z15" si="0">SUM(D4:Y4)</f>
        <v>0</v>
      </c>
    </row>
    <row r="5" spans="1:26">
      <c r="A5" s="428">
        <v>2</v>
      </c>
      <c r="B5" s="331" t="s">
        <v>519</v>
      </c>
      <c r="C5" s="82" t="s">
        <v>24</v>
      </c>
      <c r="D5" s="82">
        <v>4572</v>
      </c>
      <c r="E5" s="252">
        <v>4572</v>
      </c>
      <c r="F5" s="252">
        <v>4572</v>
      </c>
      <c r="G5" s="252">
        <v>4572</v>
      </c>
      <c r="H5" s="252">
        <v>4572</v>
      </c>
      <c r="I5" s="252">
        <v>4572</v>
      </c>
      <c r="J5" s="252">
        <v>4572</v>
      </c>
      <c r="K5" s="252">
        <v>4572</v>
      </c>
      <c r="L5" s="252">
        <v>0</v>
      </c>
      <c r="M5" s="252">
        <v>4572</v>
      </c>
      <c r="N5" s="82">
        <v>0</v>
      </c>
      <c r="O5" s="82">
        <v>0</v>
      </c>
      <c r="P5" s="82">
        <v>3981</v>
      </c>
      <c r="Q5" s="82">
        <v>591</v>
      </c>
      <c r="R5" s="82">
        <v>4058</v>
      </c>
      <c r="S5" s="82">
        <v>514</v>
      </c>
      <c r="T5" s="82">
        <v>0</v>
      </c>
      <c r="U5" s="82">
        <v>0</v>
      </c>
      <c r="V5" s="82">
        <v>0</v>
      </c>
      <c r="W5" s="82">
        <v>0</v>
      </c>
      <c r="X5" s="82">
        <v>0</v>
      </c>
      <c r="Y5" s="82">
        <v>0</v>
      </c>
      <c r="Z5" s="82">
        <f t="shared" si="0"/>
        <v>50292</v>
      </c>
    </row>
    <row r="6" spans="1:26">
      <c r="A6" s="424"/>
      <c r="B6" s="332"/>
      <c r="C6" s="82" t="s">
        <v>25</v>
      </c>
      <c r="D6" s="82"/>
      <c r="E6" s="252"/>
      <c r="F6" s="252"/>
      <c r="G6" s="252"/>
      <c r="H6" s="252"/>
      <c r="I6" s="252"/>
      <c r="J6" s="252"/>
      <c r="K6" s="252"/>
      <c r="L6" s="252"/>
      <c r="M6" s="252"/>
      <c r="N6" s="82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>
        <f t="shared" si="0"/>
        <v>0</v>
      </c>
    </row>
    <row r="7" spans="1:26">
      <c r="A7" s="428">
        <v>3</v>
      </c>
      <c r="B7" s="331" t="s">
        <v>520</v>
      </c>
      <c r="C7" s="82" t="s">
        <v>24</v>
      </c>
      <c r="D7" s="82">
        <v>7400</v>
      </c>
      <c r="E7" s="252">
        <v>7400</v>
      </c>
      <c r="F7" s="252">
        <v>7400</v>
      </c>
      <c r="G7" s="252">
        <v>7400</v>
      </c>
      <c r="H7" s="252">
        <v>7400</v>
      </c>
      <c r="I7" s="252">
        <v>7400</v>
      </c>
      <c r="J7" s="252">
        <v>7400</v>
      </c>
      <c r="K7" s="252">
        <v>7400</v>
      </c>
      <c r="L7" s="252">
        <v>100</v>
      </c>
      <c r="M7" s="252">
        <v>7400</v>
      </c>
      <c r="N7" s="82">
        <v>50</v>
      </c>
      <c r="O7" s="82">
        <v>50</v>
      </c>
      <c r="P7" s="82">
        <v>6000</v>
      </c>
      <c r="Q7" s="82">
        <v>1200</v>
      </c>
      <c r="R7" s="82">
        <v>6230</v>
      </c>
      <c r="S7" s="82">
        <v>1200</v>
      </c>
      <c r="T7" s="82">
        <v>10</v>
      </c>
      <c r="U7" s="82">
        <v>60</v>
      </c>
      <c r="V7" s="82">
        <v>0</v>
      </c>
      <c r="W7" s="82">
        <v>20</v>
      </c>
      <c r="X7" s="82">
        <v>0</v>
      </c>
      <c r="Y7" s="82">
        <v>30</v>
      </c>
      <c r="Z7" s="82">
        <f t="shared" si="0"/>
        <v>81550</v>
      </c>
    </row>
    <row r="8" spans="1:26">
      <c r="A8" s="424"/>
      <c r="B8" s="332"/>
      <c r="C8" s="82" t="s">
        <v>25</v>
      </c>
      <c r="D8" s="82"/>
      <c r="E8" s="252"/>
      <c r="F8" s="252"/>
      <c r="G8" s="252"/>
      <c r="H8" s="252"/>
      <c r="I8" s="252"/>
      <c r="J8" s="252"/>
      <c r="K8" s="252"/>
      <c r="L8" s="252"/>
      <c r="M8" s="252"/>
      <c r="N8" s="82"/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>
        <f t="shared" si="0"/>
        <v>0</v>
      </c>
    </row>
    <row r="9" spans="1:26">
      <c r="A9" s="428">
        <v>4</v>
      </c>
      <c r="B9" s="331" t="s">
        <v>21</v>
      </c>
      <c r="C9" s="82" t="s">
        <v>24</v>
      </c>
      <c r="D9" s="82">
        <v>12400</v>
      </c>
      <c r="E9" s="252">
        <v>12400</v>
      </c>
      <c r="F9" s="252">
        <v>12400</v>
      </c>
      <c r="G9" s="252">
        <v>12400</v>
      </c>
      <c r="H9" s="252">
        <v>12400</v>
      </c>
      <c r="I9" s="252">
        <v>12400</v>
      </c>
      <c r="J9" s="252">
        <v>12400</v>
      </c>
      <c r="K9" s="252">
        <v>12400</v>
      </c>
      <c r="L9" s="252">
        <v>1900</v>
      </c>
      <c r="M9" s="252">
        <v>12400</v>
      </c>
      <c r="N9" s="82">
        <v>1200</v>
      </c>
      <c r="O9" s="82">
        <v>200</v>
      </c>
      <c r="P9" s="82">
        <v>6350</v>
      </c>
      <c r="Q9" s="82">
        <v>2750</v>
      </c>
      <c r="R9" s="82">
        <v>9050</v>
      </c>
      <c r="S9" s="82">
        <v>2650</v>
      </c>
      <c r="T9" s="82">
        <v>250</v>
      </c>
      <c r="U9" s="82">
        <v>450</v>
      </c>
      <c r="V9" s="82">
        <v>0</v>
      </c>
      <c r="W9" s="82">
        <v>0</v>
      </c>
      <c r="X9" s="82">
        <v>0</v>
      </c>
      <c r="Y9" s="82">
        <v>0</v>
      </c>
      <c r="Z9" s="82">
        <f t="shared" si="0"/>
        <v>136400</v>
      </c>
    </row>
    <row r="10" spans="1:26">
      <c r="A10" s="424"/>
      <c r="B10" s="332"/>
      <c r="C10" s="82" t="s">
        <v>25</v>
      </c>
      <c r="D10" s="82"/>
      <c r="E10" s="252"/>
      <c r="F10" s="252"/>
      <c r="G10" s="252"/>
      <c r="H10" s="252"/>
      <c r="I10" s="252"/>
      <c r="J10" s="252"/>
      <c r="K10" s="252"/>
      <c r="L10" s="252"/>
      <c r="M10" s="25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>
        <f t="shared" si="0"/>
        <v>0</v>
      </c>
    </row>
    <row r="11" spans="1:26">
      <c r="A11" s="428">
        <v>5</v>
      </c>
      <c r="B11" s="331" t="s">
        <v>521</v>
      </c>
      <c r="C11" s="82" t="s">
        <v>24</v>
      </c>
      <c r="D11" s="82">
        <v>11995</v>
      </c>
      <c r="E11" s="252">
        <v>11995</v>
      </c>
      <c r="F11" s="252">
        <v>11995</v>
      </c>
      <c r="G11" s="252">
        <v>11995</v>
      </c>
      <c r="H11" s="252">
        <v>11995</v>
      </c>
      <c r="I11" s="252">
        <v>11995</v>
      </c>
      <c r="J11" s="252">
        <v>11995</v>
      </c>
      <c r="K11" s="252">
        <v>11995</v>
      </c>
      <c r="L11" s="252">
        <v>2000</v>
      </c>
      <c r="M11" s="252">
        <v>11995</v>
      </c>
      <c r="N11" s="82">
        <v>1000</v>
      </c>
      <c r="O11" s="82">
        <v>800</v>
      </c>
      <c r="P11" s="82">
        <v>5195</v>
      </c>
      <c r="Q11" s="82">
        <v>3000</v>
      </c>
      <c r="R11" s="82">
        <v>7100</v>
      </c>
      <c r="S11" s="82">
        <v>3000</v>
      </c>
      <c r="T11" s="82">
        <v>895</v>
      </c>
      <c r="U11" s="82">
        <v>1000</v>
      </c>
      <c r="V11" s="82">
        <v>0</v>
      </c>
      <c r="W11" s="82">
        <v>0</v>
      </c>
      <c r="X11" s="82">
        <v>0</v>
      </c>
      <c r="Y11" s="82">
        <v>0</v>
      </c>
      <c r="Z11" s="82">
        <f t="shared" si="0"/>
        <v>131945</v>
      </c>
    </row>
    <row r="12" spans="1:26">
      <c r="A12" s="424"/>
      <c r="B12" s="332"/>
      <c r="C12" s="82" t="s">
        <v>25</v>
      </c>
      <c r="D12" s="82"/>
      <c r="E12" s="82"/>
      <c r="F12" s="82"/>
      <c r="G12" s="82"/>
      <c r="H12" s="82"/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>
        <f t="shared" si="0"/>
        <v>0</v>
      </c>
    </row>
    <row r="13" spans="1:26">
      <c r="A13" s="450" t="s">
        <v>35</v>
      </c>
      <c r="B13" s="451"/>
      <c r="C13" s="452"/>
      <c r="D13" s="82">
        <f>D3+D5+D7+D9+D11</f>
        <v>42967</v>
      </c>
      <c r="E13" s="82">
        <f t="shared" ref="E13:Y14" si="1">E3+E5+E7+E9+E11</f>
        <v>42967</v>
      </c>
      <c r="F13" s="82">
        <f t="shared" si="1"/>
        <v>42967</v>
      </c>
      <c r="G13" s="82">
        <f t="shared" si="1"/>
        <v>42967</v>
      </c>
      <c r="H13" s="82">
        <f t="shared" si="1"/>
        <v>42967</v>
      </c>
      <c r="I13" s="82">
        <f t="shared" si="1"/>
        <v>42967</v>
      </c>
      <c r="J13" s="82">
        <f t="shared" si="1"/>
        <v>42967</v>
      </c>
      <c r="K13" s="82">
        <f t="shared" si="1"/>
        <v>42967</v>
      </c>
      <c r="L13" s="82">
        <f t="shared" si="1"/>
        <v>4000</v>
      </c>
      <c r="M13" s="82">
        <f t="shared" si="1"/>
        <v>42967</v>
      </c>
      <c r="N13" s="82">
        <f t="shared" si="1"/>
        <v>2250</v>
      </c>
      <c r="O13" s="82">
        <f t="shared" si="1"/>
        <v>1050</v>
      </c>
      <c r="P13" s="82">
        <f t="shared" si="1"/>
        <v>27326</v>
      </c>
      <c r="Q13" s="82">
        <f t="shared" si="1"/>
        <v>8341</v>
      </c>
      <c r="R13" s="82">
        <f t="shared" si="1"/>
        <v>31938</v>
      </c>
      <c r="S13" s="82">
        <f t="shared" si="1"/>
        <v>8464</v>
      </c>
      <c r="T13" s="82">
        <f t="shared" si="1"/>
        <v>1205</v>
      </c>
      <c r="U13" s="82">
        <f t="shared" si="1"/>
        <v>1610</v>
      </c>
      <c r="V13" s="82">
        <f t="shared" si="1"/>
        <v>0</v>
      </c>
      <c r="W13" s="82">
        <f t="shared" si="1"/>
        <v>20</v>
      </c>
      <c r="X13" s="82">
        <f t="shared" si="1"/>
        <v>0</v>
      </c>
      <c r="Y13" s="82">
        <f t="shared" si="1"/>
        <v>30</v>
      </c>
      <c r="Z13" s="82">
        <f t="shared" si="0"/>
        <v>472937</v>
      </c>
    </row>
    <row r="14" spans="1:26">
      <c r="A14" s="450" t="s">
        <v>36</v>
      </c>
      <c r="B14" s="451"/>
      <c r="C14" s="452"/>
      <c r="D14" s="82">
        <f>D4+D6+D8+D10+D12</f>
        <v>0</v>
      </c>
      <c r="E14" s="82">
        <f t="shared" si="1"/>
        <v>0</v>
      </c>
      <c r="F14" s="82">
        <f t="shared" si="1"/>
        <v>0</v>
      </c>
      <c r="G14" s="82">
        <f t="shared" si="1"/>
        <v>0</v>
      </c>
      <c r="H14" s="82">
        <f t="shared" si="1"/>
        <v>0</v>
      </c>
      <c r="I14" s="82">
        <f t="shared" si="1"/>
        <v>0</v>
      </c>
      <c r="J14" s="82">
        <f t="shared" si="1"/>
        <v>0</v>
      </c>
      <c r="K14" s="82">
        <f t="shared" si="1"/>
        <v>0</v>
      </c>
      <c r="L14" s="82">
        <f t="shared" si="1"/>
        <v>0</v>
      </c>
      <c r="M14" s="82">
        <f t="shared" si="1"/>
        <v>0</v>
      </c>
      <c r="N14" s="82">
        <f t="shared" si="1"/>
        <v>0</v>
      </c>
      <c r="O14" s="82">
        <f t="shared" si="1"/>
        <v>0</v>
      </c>
      <c r="P14" s="82">
        <f t="shared" si="1"/>
        <v>0</v>
      </c>
      <c r="Q14" s="82">
        <f t="shared" si="1"/>
        <v>0</v>
      </c>
      <c r="R14" s="82">
        <f t="shared" si="1"/>
        <v>0</v>
      </c>
      <c r="S14" s="82">
        <f t="shared" si="1"/>
        <v>0</v>
      </c>
      <c r="T14" s="82">
        <f t="shared" si="1"/>
        <v>0</v>
      </c>
      <c r="U14" s="82">
        <f t="shared" si="1"/>
        <v>0</v>
      </c>
      <c r="V14" s="82">
        <f t="shared" si="1"/>
        <v>0</v>
      </c>
      <c r="W14" s="82">
        <f t="shared" si="1"/>
        <v>0</v>
      </c>
      <c r="X14" s="82">
        <f t="shared" si="1"/>
        <v>0</v>
      </c>
      <c r="Y14" s="82">
        <f t="shared" si="1"/>
        <v>0</v>
      </c>
      <c r="Z14" s="82">
        <f t="shared" si="0"/>
        <v>0</v>
      </c>
    </row>
    <row r="15" spans="1:26">
      <c r="A15" s="450" t="s">
        <v>308</v>
      </c>
      <c r="B15" s="451"/>
      <c r="C15" s="452"/>
      <c r="D15" s="82">
        <f>D13-D14</f>
        <v>42967</v>
      </c>
      <c r="E15" s="82">
        <f t="shared" ref="E15:Y15" si="2">E13-E14</f>
        <v>42967</v>
      </c>
      <c r="F15" s="82">
        <f t="shared" si="2"/>
        <v>42967</v>
      </c>
      <c r="G15" s="82">
        <f t="shared" si="2"/>
        <v>42967</v>
      </c>
      <c r="H15" s="82">
        <f t="shared" si="2"/>
        <v>42967</v>
      </c>
      <c r="I15" s="82">
        <f t="shared" si="2"/>
        <v>42967</v>
      </c>
      <c r="J15" s="82">
        <f t="shared" si="2"/>
        <v>42967</v>
      </c>
      <c r="K15" s="82">
        <f t="shared" si="2"/>
        <v>42967</v>
      </c>
      <c r="L15" s="82">
        <f t="shared" si="2"/>
        <v>4000</v>
      </c>
      <c r="M15" s="82">
        <f t="shared" si="2"/>
        <v>42967</v>
      </c>
      <c r="N15" s="82">
        <f t="shared" si="2"/>
        <v>2250</v>
      </c>
      <c r="O15" s="82">
        <f t="shared" si="2"/>
        <v>1050</v>
      </c>
      <c r="P15" s="82">
        <f t="shared" si="2"/>
        <v>27326</v>
      </c>
      <c r="Q15" s="82">
        <f t="shared" si="2"/>
        <v>8341</v>
      </c>
      <c r="R15" s="82">
        <f t="shared" si="2"/>
        <v>31938</v>
      </c>
      <c r="S15" s="82">
        <f t="shared" si="2"/>
        <v>8464</v>
      </c>
      <c r="T15" s="82">
        <f t="shared" si="2"/>
        <v>1205</v>
      </c>
      <c r="U15" s="82">
        <f t="shared" si="2"/>
        <v>1610</v>
      </c>
      <c r="V15" s="82">
        <f t="shared" si="2"/>
        <v>0</v>
      </c>
      <c r="W15" s="82">
        <f t="shared" si="2"/>
        <v>20</v>
      </c>
      <c r="X15" s="82">
        <f t="shared" si="2"/>
        <v>0</v>
      </c>
      <c r="Y15" s="82">
        <f t="shared" si="2"/>
        <v>30</v>
      </c>
      <c r="Z15" s="82">
        <f t="shared" si="0"/>
        <v>472937</v>
      </c>
    </row>
    <row r="17" spans="1:26" s="43" customFormat="1" ht="19.5">
      <c r="A17" s="532" t="s">
        <v>528</v>
      </c>
      <c r="B17" s="532"/>
      <c r="C17" s="532"/>
      <c r="D17" s="532"/>
      <c r="E17" s="532"/>
      <c r="F17" s="532"/>
      <c r="G17" s="532"/>
      <c r="H17" s="532"/>
      <c r="I17" s="532"/>
      <c r="J17" s="532"/>
      <c r="K17" s="532"/>
      <c r="L17" s="53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s="43" customFormat="1" ht="33" customHeight="1">
      <c r="A18" s="255" t="s">
        <v>118</v>
      </c>
      <c r="B18" s="255" t="s">
        <v>307</v>
      </c>
      <c r="C18" s="34" t="s">
        <v>24</v>
      </c>
      <c r="D18" s="34" t="s">
        <v>225</v>
      </c>
      <c r="E18" s="34" t="s">
        <v>365</v>
      </c>
      <c r="F18" s="34" t="s">
        <v>56</v>
      </c>
      <c r="G18" s="34" t="s">
        <v>27</v>
      </c>
      <c r="H18" s="34" t="s">
        <v>175</v>
      </c>
      <c r="I18" s="34" t="s">
        <v>31</v>
      </c>
      <c r="J18" s="34" t="s">
        <v>202</v>
      </c>
      <c r="K18" s="34" t="s">
        <v>32</v>
      </c>
      <c r="L18" s="34" t="s">
        <v>493</v>
      </c>
      <c r="M18" s="34" t="s">
        <v>73</v>
      </c>
      <c r="N18" s="34" t="s">
        <v>517</v>
      </c>
      <c r="O18" s="34" t="s">
        <v>192</v>
      </c>
      <c r="P18" s="34" t="s">
        <v>494</v>
      </c>
      <c r="Q18" s="34" t="s">
        <v>151</v>
      </c>
      <c r="R18" s="34" t="s">
        <v>48</v>
      </c>
      <c r="S18" s="34" t="s">
        <v>49</v>
      </c>
      <c r="T18" s="34" t="s">
        <v>76</v>
      </c>
      <c r="U18" s="34" t="s">
        <v>51</v>
      </c>
      <c r="V18" s="34" t="s">
        <v>112</v>
      </c>
      <c r="W18" s="34" t="s">
        <v>137</v>
      </c>
      <c r="X18" s="34" t="s">
        <v>149</v>
      </c>
      <c r="Y18" s="34" t="s">
        <v>99</v>
      </c>
      <c r="Z18" s="34" t="s">
        <v>88</v>
      </c>
    </row>
    <row r="19" spans="1:26" s="43" customFormat="1">
      <c r="A19" s="428">
        <v>1</v>
      </c>
      <c r="B19" s="331" t="s">
        <v>103</v>
      </c>
      <c r="C19" s="252" t="s">
        <v>24</v>
      </c>
      <c r="D19" s="252">
        <v>11000</v>
      </c>
      <c r="E19" s="252">
        <v>11000</v>
      </c>
      <c r="F19" s="252">
        <v>11000</v>
      </c>
      <c r="G19" s="252">
        <v>11000</v>
      </c>
      <c r="H19" s="252">
        <v>11000</v>
      </c>
      <c r="I19" s="252">
        <v>11000</v>
      </c>
      <c r="J19" s="252">
        <v>11000</v>
      </c>
      <c r="K19" s="252">
        <v>11000</v>
      </c>
      <c r="L19" s="252">
        <v>0</v>
      </c>
      <c r="M19" s="252">
        <v>11000</v>
      </c>
      <c r="N19" s="252">
        <v>0</v>
      </c>
      <c r="O19" s="252">
        <v>0</v>
      </c>
      <c r="P19" s="252">
        <v>9000</v>
      </c>
      <c r="Q19" s="252">
        <v>2000</v>
      </c>
      <c r="R19" s="252">
        <v>9500</v>
      </c>
      <c r="S19" s="252">
        <v>1500</v>
      </c>
      <c r="T19" s="252">
        <v>10</v>
      </c>
      <c r="U19" s="252">
        <v>10</v>
      </c>
      <c r="V19" s="252">
        <v>0</v>
      </c>
      <c r="W19" s="252">
        <v>0</v>
      </c>
      <c r="X19" s="252">
        <v>0</v>
      </c>
      <c r="Y19" s="252">
        <v>0</v>
      </c>
      <c r="Z19" s="252">
        <f>SUM(D19:Y19)</f>
        <v>121020</v>
      </c>
    </row>
    <row r="20" spans="1:26" s="43" customFormat="1">
      <c r="A20" s="424"/>
      <c r="B20" s="332"/>
      <c r="C20" s="252" t="s">
        <v>25</v>
      </c>
      <c r="D20" s="252"/>
      <c r="E20" s="252"/>
      <c r="F20" s="252"/>
      <c r="G20" s="252"/>
      <c r="H20" s="252"/>
      <c r="I20" s="252"/>
      <c r="J20" s="252"/>
      <c r="K20" s="252"/>
      <c r="L20" s="252"/>
      <c r="M20" s="252"/>
      <c r="N20" s="252"/>
      <c r="O20" s="252"/>
      <c r="P20" s="252"/>
      <c r="Q20" s="252"/>
      <c r="R20" s="252"/>
      <c r="S20" s="252"/>
      <c r="T20" s="252"/>
      <c r="U20" s="252"/>
      <c r="V20" s="252"/>
      <c r="W20" s="252"/>
      <c r="X20" s="252"/>
      <c r="Y20" s="252"/>
      <c r="Z20" s="252">
        <f t="shared" ref="Z20:Z37" si="3">SUM(D20:Y20)</f>
        <v>0</v>
      </c>
    </row>
    <row r="21" spans="1:26" s="43" customFormat="1">
      <c r="A21" s="428">
        <v>2</v>
      </c>
      <c r="B21" s="331" t="s">
        <v>104</v>
      </c>
      <c r="C21" s="252" t="s">
        <v>24</v>
      </c>
      <c r="D21" s="252">
        <v>3000</v>
      </c>
      <c r="E21" s="252">
        <v>3000</v>
      </c>
      <c r="F21" s="252">
        <v>3000</v>
      </c>
      <c r="G21" s="252">
        <v>3000</v>
      </c>
      <c r="H21" s="252">
        <v>3000</v>
      </c>
      <c r="I21" s="252">
        <v>3000</v>
      </c>
      <c r="J21" s="252">
        <v>3000</v>
      </c>
      <c r="K21" s="252">
        <v>3000</v>
      </c>
      <c r="L21" s="252">
        <v>0</v>
      </c>
      <c r="M21" s="252">
        <v>3000</v>
      </c>
      <c r="N21" s="252">
        <v>0</v>
      </c>
      <c r="O21" s="252">
        <v>0</v>
      </c>
      <c r="P21" s="252">
        <v>2550</v>
      </c>
      <c r="Q21" s="252">
        <v>450</v>
      </c>
      <c r="R21" s="252">
        <v>2800</v>
      </c>
      <c r="S21" s="252">
        <v>200</v>
      </c>
      <c r="T21" s="252">
        <v>5</v>
      </c>
      <c r="U21" s="252">
        <v>5</v>
      </c>
      <c r="V21" s="252">
        <v>0</v>
      </c>
      <c r="W21" s="252">
        <v>0</v>
      </c>
      <c r="X21" s="252">
        <v>0</v>
      </c>
      <c r="Y21" s="252">
        <v>0</v>
      </c>
      <c r="Z21" s="252">
        <f t="shared" si="3"/>
        <v>33010</v>
      </c>
    </row>
    <row r="22" spans="1:26" s="43" customFormat="1">
      <c r="A22" s="424"/>
      <c r="B22" s="332"/>
      <c r="C22" s="252" t="s">
        <v>25</v>
      </c>
      <c r="D22" s="252"/>
      <c r="E22" s="252"/>
      <c r="F22" s="252"/>
      <c r="G22" s="252"/>
      <c r="H22" s="252"/>
      <c r="I22" s="252"/>
      <c r="J22" s="252"/>
      <c r="K22" s="252"/>
      <c r="L22" s="252"/>
      <c r="M22" s="252"/>
      <c r="N22" s="252"/>
      <c r="O22" s="252"/>
      <c r="P22" s="252"/>
      <c r="Q22" s="252"/>
      <c r="R22" s="252"/>
      <c r="S22" s="252"/>
      <c r="T22" s="252"/>
      <c r="U22" s="252"/>
      <c r="V22" s="252"/>
      <c r="W22" s="252"/>
      <c r="X22" s="252"/>
      <c r="Y22" s="252"/>
      <c r="Z22" s="252">
        <f t="shared" si="3"/>
        <v>0</v>
      </c>
    </row>
    <row r="23" spans="1:26" s="43" customFormat="1">
      <c r="A23" s="428">
        <v>3</v>
      </c>
      <c r="B23" s="331" t="s">
        <v>522</v>
      </c>
      <c r="C23" s="252" t="s">
        <v>24</v>
      </c>
      <c r="D23" s="252">
        <v>6800</v>
      </c>
      <c r="E23" s="252">
        <v>6800</v>
      </c>
      <c r="F23" s="252">
        <v>6800</v>
      </c>
      <c r="G23" s="252">
        <v>6800</v>
      </c>
      <c r="H23" s="252">
        <v>6800</v>
      </c>
      <c r="I23" s="252">
        <v>6800</v>
      </c>
      <c r="J23" s="252">
        <v>6800</v>
      </c>
      <c r="K23" s="252">
        <v>6800</v>
      </c>
      <c r="L23" s="252">
        <v>2000</v>
      </c>
      <c r="M23" s="252">
        <v>6800</v>
      </c>
      <c r="N23" s="252">
        <v>0</v>
      </c>
      <c r="O23" s="252">
        <v>0</v>
      </c>
      <c r="P23" s="252">
        <v>4800</v>
      </c>
      <c r="Q23" s="252">
        <v>0</v>
      </c>
      <c r="R23" s="252">
        <v>6000</v>
      </c>
      <c r="S23" s="252">
        <v>800</v>
      </c>
      <c r="T23" s="252">
        <v>0</v>
      </c>
      <c r="U23" s="252">
        <v>0</v>
      </c>
      <c r="V23" s="252">
        <v>0</v>
      </c>
      <c r="W23" s="252">
        <v>0</v>
      </c>
      <c r="X23" s="252">
        <v>0</v>
      </c>
      <c r="Y23" s="252">
        <v>0</v>
      </c>
      <c r="Z23" s="252">
        <f t="shared" si="3"/>
        <v>74800</v>
      </c>
    </row>
    <row r="24" spans="1:26" s="43" customFormat="1">
      <c r="A24" s="424"/>
      <c r="B24" s="332"/>
      <c r="C24" s="252" t="s">
        <v>25</v>
      </c>
      <c r="D24" s="252"/>
      <c r="E24" s="252"/>
      <c r="F24" s="252"/>
      <c r="G24" s="252"/>
      <c r="H24" s="252"/>
      <c r="I24" s="252"/>
      <c r="J24" s="252"/>
      <c r="K24" s="252"/>
      <c r="L24" s="252"/>
      <c r="M24" s="252"/>
      <c r="N24" s="252"/>
      <c r="O24" s="252"/>
      <c r="P24" s="252"/>
      <c r="Q24" s="252"/>
      <c r="R24" s="252"/>
      <c r="S24" s="252"/>
      <c r="T24" s="252"/>
      <c r="U24" s="252"/>
      <c r="V24" s="252"/>
      <c r="W24" s="252"/>
      <c r="X24" s="252"/>
      <c r="Y24" s="252"/>
      <c r="Z24" s="252">
        <f t="shared" si="3"/>
        <v>0</v>
      </c>
    </row>
    <row r="25" spans="1:26" s="43" customFormat="1">
      <c r="A25" s="428">
        <v>4</v>
      </c>
      <c r="B25" s="331" t="s">
        <v>523</v>
      </c>
      <c r="C25" s="252" t="s">
        <v>24</v>
      </c>
      <c r="D25" s="252">
        <v>5000</v>
      </c>
      <c r="E25" s="252">
        <v>5000</v>
      </c>
      <c r="F25" s="252">
        <v>5000</v>
      </c>
      <c r="G25" s="252">
        <v>5000</v>
      </c>
      <c r="H25" s="252">
        <v>5000</v>
      </c>
      <c r="I25" s="252">
        <v>5000</v>
      </c>
      <c r="J25" s="252">
        <v>5000</v>
      </c>
      <c r="K25" s="252">
        <v>5000</v>
      </c>
      <c r="L25" s="252">
        <v>0</v>
      </c>
      <c r="M25" s="252">
        <v>5000</v>
      </c>
      <c r="N25" s="252">
        <v>0</v>
      </c>
      <c r="O25" s="252">
        <v>0</v>
      </c>
      <c r="P25" s="252">
        <v>4790</v>
      </c>
      <c r="Q25" s="252">
        <v>210</v>
      </c>
      <c r="R25" s="252">
        <v>4350</v>
      </c>
      <c r="S25" s="252">
        <v>650</v>
      </c>
      <c r="T25" s="252">
        <v>0</v>
      </c>
      <c r="U25" s="252">
        <v>0</v>
      </c>
      <c r="V25" s="252">
        <v>0</v>
      </c>
      <c r="W25" s="252">
        <v>0</v>
      </c>
      <c r="X25" s="252">
        <v>0</v>
      </c>
      <c r="Y25" s="252">
        <v>0</v>
      </c>
      <c r="Z25" s="252">
        <f t="shared" si="3"/>
        <v>55000</v>
      </c>
    </row>
    <row r="26" spans="1:26" s="43" customFormat="1">
      <c r="A26" s="424"/>
      <c r="B26" s="332"/>
      <c r="C26" s="252" t="s">
        <v>25</v>
      </c>
      <c r="D26" s="252"/>
      <c r="E26" s="252"/>
      <c r="F26" s="252"/>
      <c r="G26" s="252"/>
      <c r="H26" s="252"/>
      <c r="I26" s="252"/>
      <c r="J26" s="252"/>
      <c r="K26" s="252"/>
      <c r="L26" s="252"/>
      <c r="M26" s="252"/>
      <c r="N26" s="252"/>
      <c r="O26" s="252"/>
      <c r="P26" s="252"/>
      <c r="Q26" s="252"/>
      <c r="R26" s="252"/>
      <c r="S26" s="252"/>
      <c r="T26" s="252"/>
      <c r="U26" s="252"/>
      <c r="V26" s="252"/>
      <c r="W26" s="252"/>
      <c r="X26" s="252"/>
      <c r="Y26" s="252"/>
      <c r="Z26" s="252">
        <f t="shared" si="3"/>
        <v>0</v>
      </c>
    </row>
    <row r="27" spans="1:26" s="43" customFormat="1">
      <c r="A27" s="428">
        <v>5</v>
      </c>
      <c r="B27" s="331" t="s">
        <v>524</v>
      </c>
      <c r="C27" s="252" t="s">
        <v>24</v>
      </c>
      <c r="D27" s="252">
        <v>3600</v>
      </c>
      <c r="E27" s="252">
        <v>3600</v>
      </c>
      <c r="F27" s="252">
        <v>3600</v>
      </c>
      <c r="G27" s="252">
        <v>3600</v>
      </c>
      <c r="H27" s="252">
        <v>3600</v>
      </c>
      <c r="I27" s="252">
        <v>3600</v>
      </c>
      <c r="J27" s="252">
        <v>3600</v>
      </c>
      <c r="K27" s="252">
        <v>3600</v>
      </c>
      <c r="L27" s="252">
        <v>0</v>
      </c>
      <c r="M27" s="252">
        <v>3600</v>
      </c>
      <c r="N27" s="252">
        <v>0</v>
      </c>
      <c r="O27" s="252">
        <v>0</v>
      </c>
      <c r="P27" s="252">
        <v>3400</v>
      </c>
      <c r="Q27" s="252">
        <v>200</v>
      </c>
      <c r="R27" s="252">
        <v>3300</v>
      </c>
      <c r="S27" s="252">
        <v>300</v>
      </c>
      <c r="T27" s="252">
        <v>0</v>
      </c>
      <c r="U27" s="252">
        <v>0</v>
      </c>
      <c r="V27" s="252">
        <v>0</v>
      </c>
      <c r="W27" s="252">
        <v>0</v>
      </c>
      <c r="X27" s="252">
        <v>0</v>
      </c>
      <c r="Y27" s="252">
        <v>0</v>
      </c>
      <c r="Z27" s="252">
        <f t="shared" si="3"/>
        <v>39600</v>
      </c>
    </row>
    <row r="28" spans="1:26" s="43" customFormat="1">
      <c r="A28" s="424"/>
      <c r="B28" s="332"/>
      <c r="C28" s="252" t="s">
        <v>25</v>
      </c>
      <c r="D28" s="252"/>
      <c r="E28" s="252"/>
      <c r="F28" s="252"/>
      <c r="G28" s="252"/>
      <c r="H28" s="252"/>
      <c r="I28" s="252"/>
      <c r="J28" s="252"/>
      <c r="K28" s="252"/>
      <c r="L28" s="252"/>
      <c r="M28" s="252"/>
      <c r="N28" s="252"/>
      <c r="O28" s="252"/>
      <c r="P28" s="252"/>
      <c r="Q28" s="252"/>
      <c r="R28" s="252"/>
      <c r="S28" s="252"/>
      <c r="T28" s="252"/>
      <c r="U28" s="252"/>
      <c r="V28" s="252"/>
      <c r="W28" s="252"/>
      <c r="X28" s="252"/>
      <c r="Y28" s="252"/>
      <c r="Z28" s="252">
        <f t="shared" si="3"/>
        <v>0</v>
      </c>
    </row>
    <row r="29" spans="1:26" s="43" customFormat="1">
      <c r="A29" s="428">
        <v>6</v>
      </c>
      <c r="B29" s="331" t="s">
        <v>525</v>
      </c>
      <c r="C29" s="252" t="s">
        <v>24</v>
      </c>
      <c r="D29" s="252">
        <v>4500</v>
      </c>
      <c r="E29" s="252">
        <v>4500</v>
      </c>
      <c r="F29" s="252">
        <v>4500</v>
      </c>
      <c r="G29" s="252">
        <v>4500</v>
      </c>
      <c r="H29" s="252">
        <v>4500</v>
      </c>
      <c r="I29" s="252">
        <v>4500</v>
      </c>
      <c r="J29" s="252">
        <v>4500</v>
      </c>
      <c r="K29" s="252">
        <v>4500</v>
      </c>
      <c r="L29" s="252">
        <v>0</v>
      </c>
      <c r="M29" s="252">
        <v>4500</v>
      </c>
      <c r="N29" s="252">
        <v>0</v>
      </c>
      <c r="O29" s="252">
        <v>0</v>
      </c>
      <c r="P29" s="252">
        <v>4150</v>
      </c>
      <c r="Q29" s="252">
        <v>350</v>
      </c>
      <c r="R29" s="252">
        <v>4100</v>
      </c>
      <c r="S29" s="252">
        <v>400</v>
      </c>
      <c r="T29" s="252">
        <v>0</v>
      </c>
      <c r="U29" s="252">
        <v>10</v>
      </c>
      <c r="V29" s="252">
        <v>0</v>
      </c>
      <c r="W29" s="252">
        <v>0</v>
      </c>
      <c r="X29" s="252">
        <v>0</v>
      </c>
      <c r="Y29" s="252">
        <v>0</v>
      </c>
      <c r="Z29" s="252">
        <f t="shared" si="3"/>
        <v>49510</v>
      </c>
    </row>
    <row r="30" spans="1:26" s="43" customFormat="1">
      <c r="A30" s="424"/>
      <c r="B30" s="332"/>
      <c r="C30" s="252" t="s">
        <v>25</v>
      </c>
      <c r="D30" s="252"/>
      <c r="E30" s="252"/>
      <c r="F30" s="252"/>
      <c r="G30" s="252"/>
      <c r="H30" s="252"/>
      <c r="I30" s="252"/>
      <c r="J30" s="252"/>
      <c r="K30" s="252"/>
      <c r="L30" s="252"/>
      <c r="M30" s="252"/>
      <c r="N30" s="252"/>
      <c r="O30" s="252"/>
      <c r="P30" s="252"/>
      <c r="Q30" s="252"/>
      <c r="R30" s="252"/>
      <c r="S30" s="252"/>
      <c r="T30" s="252"/>
      <c r="U30" s="252"/>
      <c r="V30" s="252"/>
      <c r="W30" s="252"/>
      <c r="X30" s="252"/>
      <c r="Y30" s="252"/>
      <c r="Z30" s="252">
        <f t="shared" si="3"/>
        <v>0</v>
      </c>
    </row>
    <row r="31" spans="1:26" s="43" customFormat="1">
      <c r="A31" s="428">
        <v>7</v>
      </c>
      <c r="B31" s="331" t="s">
        <v>526</v>
      </c>
      <c r="C31" s="252" t="s">
        <v>24</v>
      </c>
      <c r="D31" s="252">
        <v>3300</v>
      </c>
      <c r="E31" s="252">
        <v>3300</v>
      </c>
      <c r="F31" s="252">
        <v>3300</v>
      </c>
      <c r="G31" s="252">
        <v>3300</v>
      </c>
      <c r="H31" s="252">
        <v>3300</v>
      </c>
      <c r="I31" s="252">
        <v>3300</v>
      </c>
      <c r="J31" s="252">
        <v>3300</v>
      </c>
      <c r="K31" s="252">
        <v>3300</v>
      </c>
      <c r="L31" s="252">
        <v>0</v>
      </c>
      <c r="M31" s="252">
        <v>3300</v>
      </c>
      <c r="N31" s="252">
        <v>0</v>
      </c>
      <c r="O31" s="252">
        <v>0</v>
      </c>
      <c r="P31" s="252">
        <v>2700</v>
      </c>
      <c r="Q31" s="252">
        <v>600</v>
      </c>
      <c r="R31" s="252">
        <v>3060</v>
      </c>
      <c r="S31" s="252">
        <v>240</v>
      </c>
      <c r="T31" s="252">
        <v>0</v>
      </c>
      <c r="U31" s="252">
        <v>0</v>
      </c>
      <c r="V31" s="252">
        <v>0</v>
      </c>
      <c r="W31" s="252">
        <v>0</v>
      </c>
      <c r="X31" s="252">
        <v>0</v>
      </c>
      <c r="Y31" s="252">
        <v>0</v>
      </c>
      <c r="Z31" s="252">
        <f t="shared" si="3"/>
        <v>36300</v>
      </c>
    </row>
    <row r="32" spans="1:26" s="43" customFormat="1">
      <c r="A32" s="424"/>
      <c r="B32" s="332"/>
      <c r="C32" s="252" t="s">
        <v>25</v>
      </c>
      <c r="D32" s="252"/>
      <c r="E32" s="252"/>
      <c r="F32" s="252"/>
      <c r="G32" s="252"/>
      <c r="H32" s="252"/>
      <c r="I32" s="252"/>
      <c r="J32" s="252"/>
      <c r="K32" s="252"/>
      <c r="L32" s="252"/>
      <c r="M32" s="252"/>
      <c r="N32" s="252"/>
      <c r="O32" s="252"/>
      <c r="P32" s="252"/>
      <c r="Q32" s="252"/>
      <c r="R32" s="252"/>
      <c r="S32" s="252"/>
      <c r="T32" s="252"/>
      <c r="U32" s="252"/>
      <c r="V32" s="252"/>
      <c r="W32" s="252"/>
      <c r="X32" s="252"/>
      <c r="Y32" s="252"/>
      <c r="Z32" s="252">
        <f t="shared" si="3"/>
        <v>0</v>
      </c>
    </row>
    <row r="33" spans="1:26" s="43" customFormat="1">
      <c r="A33" s="428">
        <v>8</v>
      </c>
      <c r="B33" s="331" t="s">
        <v>527</v>
      </c>
      <c r="C33" s="252" t="s">
        <v>24</v>
      </c>
      <c r="D33" s="252">
        <v>5000</v>
      </c>
      <c r="E33" s="252">
        <v>5000</v>
      </c>
      <c r="F33" s="252">
        <v>5000</v>
      </c>
      <c r="G33" s="252">
        <v>5000</v>
      </c>
      <c r="H33" s="252">
        <v>5000</v>
      </c>
      <c r="I33" s="252">
        <v>5000</v>
      </c>
      <c r="J33" s="252">
        <v>5000</v>
      </c>
      <c r="K33" s="252">
        <v>5000</v>
      </c>
      <c r="L33" s="252">
        <v>0</v>
      </c>
      <c r="M33" s="252">
        <v>5000</v>
      </c>
      <c r="N33" s="252">
        <v>0</v>
      </c>
      <c r="O33" s="252">
        <v>0</v>
      </c>
      <c r="P33" s="252">
        <v>4750</v>
      </c>
      <c r="Q33" s="252">
        <v>250</v>
      </c>
      <c r="R33" s="252">
        <v>4700</v>
      </c>
      <c r="S33" s="252">
        <v>290</v>
      </c>
      <c r="T33" s="252">
        <v>0</v>
      </c>
      <c r="U33" s="252">
        <v>10</v>
      </c>
      <c r="V33" s="252">
        <v>0</v>
      </c>
      <c r="W33" s="252">
        <v>0</v>
      </c>
      <c r="X33" s="252">
        <v>0</v>
      </c>
      <c r="Y33" s="252">
        <v>0</v>
      </c>
      <c r="Z33" s="252">
        <f t="shared" si="3"/>
        <v>55000</v>
      </c>
    </row>
    <row r="34" spans="1:26" s="43" customFormat="1">
      <c r="A34" s="424"/>
      <c r="B34" s="332"/>
      <c r="C34" s="252" t="s">
        <v>25</v>
      </c>
      <c r="D34" s="252"/>
      <c r="E34" s="252"/>
      <c r="F34" s="252"/>
      <c r="G34" s="252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2"/>
      <c r="Y34" s="252"/>
      <c r="Z34" s="252">
        <f t="shared" si="3"/>
        <v>0</v>
      </c>
    </row>
    <row r="35" spans="1:26" s="43" customFormat="1">
      <c r="A35" s="450" t="s">
        <v>35</v>
      </c>
      <c r="B35" s="451"/>
      <c r="C35" s="452"/>
      <c r="D35" s="252">
        <f>D19+D21+D23+D25+D27+D29+D31+D33</f>
        <v>42200</v>
      </c>
      <c r="E35" s="252">
        <f t="shared" ref="E35:Z35" si="4">E19+E21+E23+E25+E27+E29+E31+E33</f>
        <v>42200</v>
      </c>
      <c r="F35" s="252">
        <f t="shared" si="4"/>
        <v>42200</v>
      </c>
      <c r="G35" s="252">
        <f t="shared" si="4"/>
        <v>42200</v>
      </c>
      <c r="H35" s="252">
        <f t="shared" si="4"/>
        <v>42200</v>
      </c>
      <c r="I35" s="252">
        <f t="shared" si="4"/>
        <v>42200</v>
      </c>
      <c r="J35" s="252">
        <f t="shared" si="4"/>
        <v>42200</v>
      </c>
      <c r="K35" s="252">
        <f t="shared" si="4"/>
        <v>42200</v>
      </c>
      <c r="L35" s="252">
        <f t="shared" si="4"/>
        <v>2000</v>
      </c>
      <c r="M35" s="252">
        <f t="shared" si="4"/>
        <v>42200</v>
      </c>
      <c r="N35" s="252">
        <f t="shared" si="4"/>
        <v>0</v>
      </c>
      <c r="O35" s="252">
        <f t="shared" si="4"/>
        <v>0</v>
      </c>
      <c r="P35" s="252">
        <f t="shared" si="4"/>
        <v>36140</v>
      </c>
      <c r="Q35" s="252">
        <f t="shared" si="4"/>
        <v>4060</v>
      </c>
      <c r="R35" s="252">
        <f t="shared" si="4"/>
        <v>37810</v>
      </c>
      <c r="S35" s="252">
        <f t="shared" si="4"/>
        <v>4380</v>
      </c>
      <c r="T35" s="252">
        <f t="shared" si="4"/>
        <v>15</v>
      </c>
      <c r="U35" s="252">
        <f t="shared" si="4"/>
        <v>35</v>
      </c>
      <c r="V35" s="252">
        <f t="shared" si="4"/>
        <v>0</v>
      </c>
      <c r="W35" s="252">
        <f t="shared" si="4"/>
        <v>0</v>
      </c>
      <c r="X35" s="252">
        <f t="shared" si="4"/>
        <v>0</v>
      </c>
      <c r="Y35" s="252">
        <f t="shared" si="4"/>
        <v>0</v>
      </c>
      <c r="Z35" s="252">
        <f t="shared" si="4"/>
        <v>464240</v>
      </c>
    </row>
    <row r="36" spans="1:26" s="43" customFormat="1">
      <c r="A36" s="450" t="s">
        <v>36</v>
      </c>
      <c r="B36" s="451"/>
      <c r="C36" s="452"/>
      <c r="D36" s="252">
        <f>D20+D22+D24+D26+D28+D30+D32+D34</f>
        <v>0</v>
      </c>
      <c r="E36" s="252">
        <f t="shared" ref="E36:Z36" si="5">E20+E22+E24+E26+E28+E30+E32+E34</f>
        <v>0</v>
      </c>
      <c r="F36" s="252">
        <f t="shared" si="5"/>
        <v>0</v>
      </c>
      <c r="G36" s="252">
        <f t="shared" si="5"/>
        <v>0</v>
      </c>
      <c r="H36" s="252">
        <f t="shared" si="5"/>
        <v>0</v>
      </c>
      <c r="I36" s="252">
        <f t="shared" si="5"/>
        <v>0</v>
      </c>
      <c r="J36" s="252">
        <f t="shared" si="5"/>
        <v>0</v>
      </c>
      <c r="K36" s="252">
        <f t="shared" si="5"/>
        <v>0</v>
      </c>
      <c r="L36" s="252">
        <f t="shared" si="5"/>
        <v>0</v>
      </c>
      <c r="M36" s="252">
        <f t="shared" si="5"/>
        <v>0</v>
      </c>
      <c r="N36" s="252">
        <f t="shared" si="5"/>
        <v>0</v>
      </c>
      <c r="O36" s="252">
        <f t="shared" si="5"/>
        <v>0</v>
      </c>
      <c r="P36" s="252">
        <f t="shared" si="5"/>
        <v>0</v>
      </c>
      <c r="Q36" s="252">
        <f t="shared" si="5"/>
        <v>0</v>
      </c>
      <c r="R36" s="252">
        <f t="shared" si="5"/>
        <v>0</v>
      </c>
      <c r="S36" s="252">
        <f t="shared" si="5"/>
        <v>0</v>
      </c>
      <c r="T36" s="252">
        <f t="shared" si="5"/>
        <v>0</v>
      </c>
      <c r="U36" s="252">
        <f t="shared" si="5"/>
        <v>0</v>
      </c>
      <c r="V36" s="252">
        <f t="shared" si="5"/>
        <v>0</v>
      </c>
      <c r="W36" s="252">
        <f t="shared" si="5"/>
        <v>0</v>
      </c>
      <c r="X36" s="252">
        <f t="shared" si="5"/>
        <v>0</v>
      </c>
      <c r="Y36" s="252">
        <f t="shared" si="5"/>
        <v>0</v>
      </c>
      <c r="Z36" s="252">
        <f t="shared" si="5"/>
        <v>0</v>
      </c>
    </row>
    <row r="37" spans="1:26" s="43" customFormat="1">
      <c r="A37" s="450" t="s">
        <v>308</v>
      </c>
      <c r="B37" s="451"/>
      <c r="C37" s="452"/>
      <c r="D37" s="252">
        <f>D35-D36</f>
        <v>42200</v>
      </c>
      <c r="E37" s="252">
        <f t="shared" ref="E37:Y37" si="6">E35-E36</f>
        <v>42200</v>
      </c>
      <c r="F37" s="252">
        <f t="shared" si="6"/>
        <v>42200</v>
      </c>
      <c r="G37" s="252">
        <f t="shared" si="6"/>
        <v>42200</v>
      </c>
      <c r="H37" s="252">
        <f t="shared" si="6"/>
        <v>42200</v>
      </c>
      <c r="I37" s="252">
        <f t="shared" si="6"/>
        <v>42200</v>
      </c>
      <c r="J37" s="252">
        <f t="shared" si="6"/>
        <v>42200</v>
      </c>
      <c r="K37" s="252">
        <f t="shared" si="6"/>
        <v>42200</v>
      </c>
      <c r="L37" s="252">
        <f t="shared" si="6"/>
        <v>2000</v>
      </c>
      <c r="M37" s="252">
        <f t="shared" si="6"/>
        <v>42200</v>
      </c>
      <c r="N37" s="252">
        <f t="shared" si="6"/>
        <v>0</v>
      </c>
      <c r="O37" s="252">
        <f t="shared" si="6"/>
        <v>0</v>
      </c>
      <c r="P37" s="252">
        <f t="shared" si="6"/>
        <v>36140</v>
      </c>
      <c r="Q37" s="252">
        <f t="shared" si="6"/>
        <v>4060</v>
      </c>
      <c r="R37" s="252">
        <f t="shared" si="6"/>
        <v>37810</v>
      </c>
      <c r="S37" s="252">
        <f t="shared" si="6"/>
        <v>4380</v>
      </c>
      <c r="T37" s="252">
        <f t="shared" si="6"/>
        <v>15</v>
      </c>
      <c r="U37" s="252">
        <f t="shared" si="6"/>
        <v>35</v>
      </c>
      <c r="V37" s="252">
        <f t="shared" si="6"/>
        <v>0</v>
      </c>
      <c r="W37" s="252">
        <f t="shared" si="6"/>
        <v>0</v>
      </c>
      <c r="X37" s="252">
        <f t="shared" si="6"/>
        <v>0</v>
      </c>
      <c r="Y37" s="252">
        <f t="shared" si="6"/>
        <v>0</v>
      </c>
      <c r="Z37" s="252">
        <f t="shared" si="3"/>
        <v>464240</v>
      </c>
    </row>
    <row r="39" spans="1:26" s="43" customFormat="1" ht="19.5">
      <c r="A39" s="538" t="s">
        <v>529</v>
      </c>
      <c r="B39" s="538"/>
      <c r="C39" s="538"/>
      <c r="D39" s="538"/>
      <c r="E39" s="538"/>
      <c r="F39" s="538"/>
      <c r="G39" s="538"/>
      <c r="H39" s="538"/>
      <c r="I39" s="538"/>
      <c r="J39" s="538"/>
      <c r="K39" s="538"/>
      <c r="L39" s="538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s="43" customFormat="1" ht="33" customHeight="1">
      <c r="A40" s="255" t="s">
        <v>118</v>
      </c>
      <c r="B40" s="255" t="s">
        <v>307</v>
      </c>
      <c r="C40" s="34" t="s">
        <v>24</v>
      </c>
      <c r="D40" s="34" t="s">
        <v>225</v>
      </c>
      <c r="E40" s="34" t="s">
        <v>365</v>
      </c>
      <c r="F40" s="34" t="s">
        <v>56</v>
      </c>
      <c r="G40" s="34" t="s">
        <v>27</v>
      </c>
      <c r="H40" s="34" t="s">
        <v>175</v>
      </c>
      <c r="I40" s="34" t="s">
        <v>31</v>
      </c>
      <c r="J40" s="34" t="s">
        <v>202</v>
      </c>
      <c r="K40" s="34" t="s">
        <v>32</v>
      </c>
      <c r="L40" s="34" t="s">
        <v>493</v>
      </c>
      <c r="M40" s="34" t="s">
        <v>73</v>
      </c>
      <c r="N40" s="34" t="s">
        <v>517</v>
      </c>
      <c r="O40" s="34" t="s">
        <v>192</v>
      </c>
      <c r="P40" s="34" t="s">
        <v>494</v>
      </c>
      <c r="Q40" s="34" t="s">
        <v>151</v>
      </c>
      <c r="R40" s="34" t="s">
        <v>48</v>
      </c>
      <c r="S40" s="34" t="s">
        <v>49</v>
      </c>
      <c r="T40" s="34" t="s">
        <v>76</v>
      </c>
      <c r="U40" s="34" t="s">
        <v>51</v>
      </c>
      <c r="V40" s="34" t="s">
        <v>112</v>
      </c>
      <c r="W40" s="34" t="s">
        <v>137</v>
      </c>
      <c r="X40" s="34" t="s">
        <v>149</v>
      </c>
      <c r="Y40" s="34" t="s">
        <v>99</v>
      </c>
      <c r="Z40" s="34" t="s">
        <v>88</v>
      </c>
    </row>
    <row r="41" spans="1:26" s="43" customFormat="1">
      <c r="A41" s="428">
        <v>1</v>
      </c>
      <c r="B41" s="331" t="s">
        <v>213</v>
      </c>
      <c r="C41" s="252" t="s">
        <v>24</v>
      </c>
      <c r="D41" s="252">
        <v>5500</v>
      </c>
      <c r="E41" s="252">
        <v>5500</v>
      </c>
      <c r="F41" s="252">
        <v>5500</v>
      </c>
      <c r="G41" s="252">
        <v>5500</v>
      </c>
      <c r="H41" s="252">
        <v>5500</v>
      </c>
      <c r="I41" s="252">
        <v>5500</v>
      </c>
      <c r="J41" s="252">
        <v>5500</v>
      </c>
      <c r="K41" s="252">
        <v>5500</v>
      </c>
      <c r="L41" s="252">
        <v>0</v>
      </c>
      <c r="M41" s="252">
        <v>5500</v>
      </c>
      <c r="N41" s="252">
        <v>0</v>
      </c>
      <c r="O41" s="252">
        <v>0</v>
      </c>
      <c r="P41" s="252">
        <v>4100</v>
      </c>
      <c r="Q41" s="252">
        <v>1400</v>
      </c>
      <c r="R41" s="252">
        <v>4200</v>
      </c>
      <c r="S41" s="252">
        <v>1200</v>
      </c>
      <c r="T41" s="252">
        <v>100</v>
      </c>
      <c r="U41" s="252">
        <v>0</v>
      </c>
      <c r="V41" s="252">
        <v>0</v>
      </c>
      <c r="W41" s="252">
        <v>0</v>
      </c>
      <c r="X41" s="252">
        <v>0</v>
      </c>
      <c r="Y41" s="252">
        <v>0</v>
      </c>
      <c r="Z41" s="252">
        <f>SUM(D41:Y41)</f>
        <v>60500</v>
      </c>
    </row>
    <row r="42" spans="1:26" s="43" customFormat="1">
      <c r="A42" s="424"/>
      <c r="B42" s="332"/>
      <c r="C42" s="252" t="s">
        <v>25</v>
      </c>
      <c r="D42" s="252"/>
      <c r="E42" s="252"/>
      <c r="F42" s="252"/>
      <c r="G42" s="252"/>
      <c r="H42" s="252"/>
      <c r="I42" s="252"/>
      <c r="J42" s="252"/>
      <c r="K42" s="252"/>
      <c r="L42" s="252"/>
      <c r="M42" s="252"/>
      <c r="N42" s="252"/>
      <c r="O42" s="252"/>
      <c r="P42" s="252"/>
      <c r="Q42" s="252"/>
      <c r="R42" s="252"/>
      <c r="S42" s="252"/>
      <c r="T42" s="252"/>
      <c r="U42" s="252"/>
      <c r="V42" s="252"/>
      <c r="W42" s="252"/>
      <c r="X42" s="252"/>
      <c r="Y42" s="252"/>
      <c r="Z42" s="252">
        <f t="shared" ref="Z42:Z54" si="7">SUM(D42:Y42)</f>
        <v>0</v>
      </c>
    </row>
    <row r="43" spans="1:26" s="43" customFormat="1">
      <c r="A43" s="428">
        <v>2</v>
      </c>
      <c r="B43" s="331" t="s">
        <v>530</v>
      </c>
      <c r="C43" s="252" t="s">
        <v>24</v>
      </c>
      <c r="D43" s="252">
        <v>3800</v>
      </c>
      <c r="E43" s="252">
        <v>3800</v>
      </c>
      <c r="F43" s="252">
        <v>3800</v>
      </c>
      <c r="G43" s="252">
        <v>3800</v>
      </c>
      <c r="H43" s="252">
        <v>3800</v>
      </c>
      <c r="I43" s="252">
        <v>3800</v>
      </c>
      <c r="J43" s="252">
        <v>3800</v>
      </c>
      <c r="K43" s="252">
        <v>3800</v>
      </c>
      <c r="L43" s="252">
        <v>0</v>
      </c>
      <c r="M43" s="252">
        <v>3800</v>
      </c>
      <c r="N43" s="252">
        <v>0</v>
      </c>
      <c r="O43" s="252">
        <v>0</v>
      </c>
      <c r="P43" s="252">
        <v>3300</v>
      </c>
      <c r="Q43" s="252">
        <v>500</v>
      </c>
      <c r="R43" s="252">
        <v>2200</v>
      </c>
      <c r="S43" s="252">
        <v>1550</v>
      </c>
      <c r="T43" s="252">
        <v>50</v>
      </c>
      <c r="U43" s="252">
        <v>0</v>
      </c>
      <c r="V43" s="252">
        <v>0</v>
      </c>
      <c r="W43" s="252">
        <v>0</v>
      </c>
      <c r="X43" s="252">
        <v>0</v>
      </c>
      <c r="Y43" s="252">
        <v>0</v>
      </c>
      <c r="Z43" s="252">
        <f t="shared" si="7"/>
        <v>41800</v>
      </c>
    </row>
    <row r="44" spans="1:26" s="43" customFormat="1">
      <c r="A44" s="424"/>
      <c r="B44" s="332"/>
      <c r="C44" s="252" t="s">
        <v>25</v>
      </c>
      <c r="D44" s="252"/>
      <c r="E44" s="252"/>
      <c r="F44" s="252"/>
      <c r="G44" s="252"/>
      <c r="H44" s="252"/>
      <c r="I44" s="252"/>
      <c r="J44" s="252"/>
      <c r="K44" s="252"/>
      <c r="L44" s="252"/>
      <c r="M44" s="252"/>
      <c r="N44" s="252"/>
      <c r="O44" s="252"/>
      <c r="P44" s="252"/>
      <c r="Q44" s="252"/>
      <c r="R44" s="252"/>
      <c r="S44" s="252"/>
      <c r="T44" s="252"/>
      <c r="U44" s="252"/>
      <c r="V44" s="252"/>
      <c r="W44" s="252"/>
      <c r="X44" s="252"/>
      <c r="Y44" s="252"/>
      <c r="Z44" s="252">
        <f t="shared" si="7"/>
        <v>0</v>
      </c>
    </row>
    <row r="45" spans="1:26" s="43" customFormat="1">
      <c r="A45" s="428">
        <v>3</v>
      </c>
      <c r="B45" s="331" t="s">
        <v>209</v>
      </c>
      <c r="C45" s="252" t="s">
        <v>24</v>
      </c>
      <c r="D45" s="252">
        <v>4225</v>
      </c>
      <c r="E45" s="252">
        <v>4225</v>
      </c>
      <c r="F45" s="252">
        <v>4225</v>
      </c>
      <c r="G45" s="252">
        <v>4225</v>
      </c>
      <c r="H45" s="252">
        <v>4225</v>
      </c>
      <c r="I45" s="252">
        <v>4225</v>
      </c>
      <c r="J45" s="252">
        <v>4225</v>
      </c>
      <c r="K45" s="252">
        <v>4225</v>
      </c>
      <c r="L45" s="252">
        <v>0</v>
      </c>
      <c r="M45" s="252">
        <v>4225</v>
      </c>
      <c r="N45" s="252">
        <v>0</v>
      </c>
      <c r="O45" s="252">
        <v>0</v>
      </c>
      <c r="P45" s="252">
        <v>3400</v>
      </c>
      <c r="Q45" s="252">
        <v>825</v>
      </c>
      <c r="R45" s="252">
        <v>2900</v>
      </c>
      <c r="S45" s="252">
        <v>1300</v>
      </c>
      <c r="T45" s="252">
        <v>20</v>
      </c>
      <c r="U45" s="252">
        <v>5</v>
      </c>
      <c r="V45" s="252">
        <v>0</v>
      </c>
      <c r="W45" s="252">
        <v>0</v>
      </c>
      <c r="X45" s="252">
        <v>0</v>
      </c>
      <c r="Y45" s="252">
        <v>0</v>
      </c>
      <c r="Z45" s="252">
        <f t="shared" si="7"/>
        <v>46475</v>
      </c>
    </row>
    <row r="46" spans="1:26" s="43" customFormat="1">
      <c r="A46" s="424"/>
      <c r="B46" s="332"/>
      <c r="C46" s="252" t="s">
        <v>25</v>
      </c>
      <c r="D46" s="252"/>
      <c r="E46" s="252"/>
      <c r="F46" s="252"/>
      <c r="G46" s="252"/>
      <c r="H46" s="252"/>
      <c r="I46" s="252"/>
      <c r="J46" s="252"/>
      <c r="K46" s="252"/>
      <c r="L46" s="252"/>
      <c r="M46" s="252"/>
      <c r="N46" s="252"/>
      <c r="O46" s="252"/>
      <c r="P46" s="252"/>
      <c r="Q46" s="252"/>
      <c r="R46" s="252"/>
      <c r="S46" s="252"/>
      <c r="T46" s="252"/>
      <c r="U46" s="252"/>
      <c r="V46" s="252"/>
      <c r="W46" s="252"/>
      <c r="X46" s="252"/>
      <c r="Y46" s="252"/>
      <c r="Z46" s="252">
        <f t="shared" si="7"/>
        <v>0</v>
      </c>
    </row>
    <row r="47" spans="1:26" s="43" customFormat="1">
      <c r="A47" s="428">
        <v>4</v>
      </c>
      <c r="B47" s="331" t="s">
        <v>208</v>
      </c>
      <c r="C47" s="252" t="s">
        <v>24</v>
      </c>
      <c r="D47" s="252">
        <v>9800</v>
      </c>
      <c r="E47" s="252">
        <v>9800</v>
      </c>
      <c r="F47" s="252">
        <v>9800</v>
      </c>
      <c r="G47" s="252">
        <v>9800</v>
      </c>
      <c r="H47" s="252">
        <v>9800</v>
      </c>
      <c r="I47" s="252">
        <v>9800</v>
      </c>
      <c r="J47" s="252">
        <v>9800</v>
      </c>
      <c r="K47" s="252">
        <v>9800</v>
      </c>
      <c r="L47" s="252">
        <v>0</v>
      </c>
      <c r="M47" s="252">
        <v>9800</v>
      </c>
      <c r="N47" s="252">
        <v>0</v>
      </c>
      <c r="O47" s="252">
        <v>0</v>
      </c>
      <c r="P47" s="252">
        <v>6600</v>
      </c>
      <c r="Q47" s="252">
        <v>3200</v>
      </c>
      <c r="R47" s="252">
        <v>7100</v>
      </c>
      <c r="S47" s="252">
        <v>2400</v>
      </c>
      <c r="T47" s="252">
        <v>300</v>
      </c>
      <c r="U47" s="252">
        <v>0</v>
      </c>
      <c r="V47" s="252">
        <v>0</v>
      </c>
      <c r="W47" s="252">
        <v>0</v>
      </c>
      <c r="X47" s="252">
        <v>0</v>
      </c>
      <c r="Y47" s="252">
        <v>0</v>
      </c>
      <c r="Z47" s="252">
        <f t="shared" si="7"/>
        <v>107800</v>
      </c>
    </row>
    <row r="48" spans="1:26" s="43" customFormat="1">
      <c r="A48" s="424"/>
      <c r="B48" s="332"/>
      <c r="C48" s="252" t="s">
        <v>25</v>
      </c>
      <c r="D48" s="252"/>
      <c r="E48" s="252"/>
      <c r="F48" s="252"/>
      <c r="G48" s="252"/>
      <c r="H48" s="252"/>
      <c r="I48" s="252"/>
      <c r="J48" s="252"/>
      <c r="K48" s="252"/>
      <c r="L48" s="252"/>
      <c r="M48" s="252"/>
      <c r="N48" s="252"/>
      <c r="O48" s="252"/>
      <c r="P48" s="252"/>
      <c r="Q48" s="252"/>
      <c r="R48" s="252"/>
      <c r="S48" s="252"/>
      <c r="T48" s="252"/>
      <c r="U48" s="252"/>
      <c r="V48" s="252"/>
      <c r="W48" s="252"/>
      <c r="X48" s="252"/>
      <c r="Y48" s="252"/>
      <c r="Z48" s="252">
        <f t="shared" si="7"/>
        <v>0</v>
      </c>
    </row>
    <row r="49" spans="1:26" s="43" customFormat="1">
      <c r="A49" s="428">
        <v>5</v>
      </c>
      <c r="B49" s="331" t="s">
        <v>212</v>
      </c>
      <c r="C49" s="252" t="s">
        <v>24</v>
      </c>
      <c r="D49" s="252">
        <v>7000</v>
      </c>
      <c r="E49" s="252">
        <v>7000</v>
      </c>
      <c r="F49" s="252">
        <v>7000</v>
      </c>
      <c r="G49" s="252">
        <v>7000</v>
      </c>
      <c r="H49" s="252">
        <v>7000</v>
      </c>
      <c r="I49" s="252">
        <v>7000</v>
      </c>
      <c r="J49" s="252">
        <v>7000</v>
      </c>
      <c r="K49" s="252">
        <v>7000</v>
      </c>
      <c r="L49" s="252">
        <v>0</v>
      </c>
      <c r="M49" s="252">
        <v>7000</v>
      </c>
      <c r="N49" s="252">
        <v>0</v>
      </c>
      <c r="O49" s="252">
        <v>0</v>
      </c>
      <c r="P49" s="252">
        <v>5200</v>
      </c>
      <c r="Q49" s="252">
        <v>1800</v>
      </c>
      <c r="R49" s="252">
        <v>5200</v>
      </c>
      <c r="S49" s="252">
        <v>1700</v>
      </c>
      <c r="T49" s="252">
        <v>90</v>
      </c>
      <c r="U49" s="252">
        <v>10</v>
      </c>
      <c r="V49" s="252">
        <v>0</v>
      </c>
      <c r="W49" s="252">
        <v>0</v>
      </c>
      <c r="X49" s="252">
        <v>0</v>
      </c>
      <c r="Y49" s="252">
        <v>0</v>
      </c>
      <c r="Z49" s="252">
        <f t="shared" si="7"/>
        <v>77000</v>
      </c>
    </row>
    <row r="50" spans="1:26" s="43" customFormat="1">
      <c r="A50" s="424"/>
      <c r="B50" s="332"/>
      <c r="C50" s="252" t="s">
        <v>25</v>
      </c>
      <c r="D50" s="252"/>
      <c r="E50" s="252"/>
      <c r="F50" s="252"/>
      <c r="G50" s="252"/>
      <c r="H50" s="252"/>
      <c r="I50" s="252"/>
      <c r="J50" s="252"/>
      <c r="K50" s="252"/>
      <c r="L50" s="252"/>
      <c r="M50" s="252"/>
      <c r="N50" s="252"/>
      <c r="O50" s="252"/>
      <c r="P50" s="252"/>
      <c r="Q50" s="252"/>
      <c r="R50" s="252"/>
      <c r="S50" s="252"/>
      <c r="T50" s="252"/>
      <c r="U50" s="252"/>
      <c r="V50" s="252"/>
      <c r="W50" s="252"/>
      <c r="X50" s="252"/>
      <c r="Y50" s="252"/>
      <c r="Z50" s="252">
        <f t="shared" si="7"/>
        <v>0</v>
      </c>
    </row>
    <row r="51" spans="1:26" s="43" customFormat="1">
      <c r="A51" s="428">
        <v>6</v>
      </c>
      <c r="B51" s="331" t="s">
        <v>211</v>
      </c>
      <c r="C51" s="252" t="s">
        <v>24</v>
      </c>
      <c r="D51" s="252">
        <v>3700</v>
      </c>
      <c r="E51" s="252">
        <v>3700</v>
      </c>
      <c r="F51" s="252">
        <v>3700</v>
      </c>
      <c r="G51" s="252">
        <v>3700</v>
      </c>
      <c r="H51" s="252">
        <v>3700</v>
      </c>
      <c r="I51" s="252">
        <v>3700</v>
      </c>
      <c r="J51" s="252">
        <v>3700</v>
      </c>
      <c r="K51" s="252">
        <v>3700</v>
      </c>
      <c r="L51" s="252">
        <v>125</v>
      </c>
      <c r="M51" s="252">
        <v>3700</v>
      </c>
      <c r="N51" s="252">
        <v>0</v>
      </c>
      <c r="O51" s="252">
        <v>0</v>
      </c>
      <c r="P51" s="252">
        <v>3275</v>
      </c>
      <c r="Q51" s="252">
        <v>300</v>
      </c>
      <c r="R51" s="252">
        <v>2590</v>
      </c>
      <c r="S51" s="252">
        <v>1100</v>
      </c>
      <c r="T51" s="252">
        <v>10</v>
      </c>
      <c r="U51" s="252">
        <v>0</v>
      </c>
      <c r="V51" s="252">
        <v>0</v>
      </c>
      <c r="W51" s="252">
        <v>0</v>
      </c>
      <c r="X51" s="252">
        <v>0</v>
      </c>
      <c r="Y51" s="252">
        <v>0</v>
      </c>
      <c r="Z51" s="252">
        <f t="shared" si="7"/>
        <v>40700</v>
      </c>
    </row>
    <row r="52" spans="1:26" s="43" customFormat="1">
      <c r="A52" s="424"/>
      <c r="B52" s="332"/>
      <c r="C52" s="252" t="s">
        <v>25</v>
      </c>
      <c r="D52" s="252"/>
      <c r="E52" s="252"/>
      <c r="F52" s="252"/>
      <c r="G52" s="252"/>
      <c r="H52" s="252"/>
      <c r="I52" s="252"/>
      <c r="J52" s="252"/>
      <c r="K52" s="252"/>
      <c r="L52" s="252"/>
      <c r="M52" s="252"/>
      <c r="N52" s="252"/>
      <c r="O52" s="252"/>
      <c r="P52" s="252"/>
      <c r="Q52" s="252"/>
      <c r="R52" s="252"/>
      <c r="S52" s="252"/>
      <c r="T52" s="252"/>
      <c r="U52" s="252"/>
      <c r="V52" s="252"/>
      <c r="W52" s="252"/>
      <c r="X52" s="252"/>
      <c r="Y52" s="252"/>
      <c r="Z52" s="252">
        <f t="shared" si="7"/>
        <v>0</v>
      </c>
    </row>
    <row r="53" spans="1:26" s="43" customFormat="1">
      <c r="A53" s="428">
        <v>7</v>
      </c>
      <c r="B53" s="331" t="s">
        <v>210</v>
      </c>
      <c r="C53" s="252" t="s">
        <v>24</v>
      </c>
      <c r="D53" s="252">
        <v>4900</v>
      </c>
      <c r="E53" s="252">
        <v>4900</v>
      </c>
      <c r="F53" s="252">
        <v>4900</v>
      </c>
      <c r="G53" s="252">
        <v>4900</v>
      </c>
      <c r="H53" s="252">
        <v>4900</v>
      </c>
      <c r="I53" s="252">
        <v>4900</v>
      </c>
      <c r="J53" s="252">
        <v>4900</v>
      </c>
      <c r="K53" s="252">
        <v>4900</v>
      </c>
      <c r="L53" s="252">
        <v>65</v>
      </c>
      <c r="M53" s="252">
        <v>4900</v>
      </c>
      <c r="N53" s="252">
        <v>86</v>
      </c>
      <c r="O53" s="252">
        <v>120</v>
      </c>
      <c r="P53" s="252">
        <v>3680</v>
      </c>
      <c r="Q53" s="252">
        <v>949</v>
      </c>
      <c r="R53" s="252">
        <v>2840</v>
      </c>
      <c r="S53" s="252">
        <v>1932</v>
      </c>
      <c r="T53" s="252">
        <v>118</v>
      </c>
      <c r="U53" s="252">
        <v>10</v>
      </c>
      <c r="V53" s="252">
        <v>0</v>
      </c>
      <c r="W53" s="252">
        <v>0</v>
      </c>
      <c r="X53" s="252">
        <v>0</v>
      </c>
      <c r="Y53" s="252">
        <v>0</v>
      </c>
      <c r="Z53" s="252">
        <f t="shared" si="7"/>
        <v>53900</v>
      </c>
    </row>
    <row r="54" spans="1:26" s="43" customFormat="1">
      <c r="A54" s="424"/>
      <c r="B54" s="332"/>
      <c r="C54" s="252" t="s">
        <v>25</v>
      </c>
      <c r="D54" s="252"/>
      <c r="E54" s="252"/>
      <c r="F54" s="252"/>
      <c r="G54" s="252"/>
      <c r="H54" s="252"/>
      <c r="I54" s="252"/>
      <c r="J54" s="252"/>
      <c r="K54" s="252"/>
      <c r="L54" s="252"/>
      <c r="M54" s="252"/>
      <c r="N54" s="252"/>
      <c r="O54" s="252"/>
      <c r="P54" s="252"/>
      <c r="Q54" s="252"/>
      <c r="R54" s="252"/>
      <c r="S54" s="252"/>
      <c r="T54" s="252"/>
      <c r="U54" s="252"/>
      <c r="V54" s="252"/>
      <c r="W54" s="252"/>
      <c r="X54" s="252"/>
      <c r="Y54" s="252"/>
      <c r="Z54" s="252">
        <f t="shared" si="7"/>
        <v>0</v>
      </c>
    </row>
    <row r="55" spans="1:26" s="43" customFormat="1">
      <c r="A55" s="450" t="s">
        <v>35</v>
      </c>
      <c r="B55" s="451"/>
      <c r="C55" s="452"/>
      <c r="D55" s="252">
        <f>D41+D43+D45+D47+D49+D51+D53</f>
        <v>38925</v>
      </c>
      <c r="E55" s="252">
        <f t="shared" ref="E55:Z55" si="8">E41+E43+E45+E47+E49+E51+E53</f>
        <v>38925</v>
      </c>
      <c r="F55" s="252">
        <f t="shared" si="8"/>
        <v>38925</v>
      </c>
      <c r="G55" s="252">
        <f t="shared" si="8"/>
        <v>38925</v>
      </c>
      <c r="H55" s="252">
        <f t="shared" si="8"/>
        <v>38925</v>
      </c>
      <c r="I55" s="252">
        <f t="shared" si="8"/>
        <v>38925</v>
      </c>
      <c r="J55" s="252">
        <f t="shared" si="8"/>
        <v>38925</v>
      </c>
      <c r="K55" s="252">
        <f t="shared" si="8"/>
        <v>38925</v>
      </c>
      <c r="L55" s="252">
        <f t="shared" si="8"/>
        <v>190</v>
      </c>
      <c r="M55" s="252">
        <f t="shared" si="8"/>
        <v>38925</v>
      </c>
      <c r="N55" s="252">
        <f t="shared" si="8"/>
        <v>86</v>
      </c>
      <c r="O55" s="252">
        <f t="shared" si="8"/>
        <v>120</v>
      </c>
      <c r="P55" s="252">
        <f t="shared" si="8"/>
        <v>29555</v>
      </c>
      <c r="Q55" s="252">
        <f t="shared" si="8"/>
        <v>8974</v>
      </c>
      <c r="R55" s="252">
        <f t="shared" si="8"/>
        <v>27030</v>
      </c>
      <c r="S55" s="252">
        <f t="shared" si="8"/>
        <v>11182</v>
      </c>
      <c r="T55" s="252">
        <f t="shared" si="8"/>
        <v>688</v>
      </c>
      <c r="U55" s="252">
        <f t="shared" si="8"/>
        <v>25</v>
      </c>
      <c r="V55" s="252">
        <f t="shared" si="8"/>
        <v>0</v>
      </c>
      <c r="W55" s="252">
        <f t="shared" si="8"/>
        <v>0</v>
      </c>
      <c r="X55" s="252">
        <f t="shared" si="8"/>
        <v>0</v>
      </c>
      <c r="Y55" s="252">
        <f t="shared" si="8"/>
        <v>0</v>
      </c>
      <c r="Z55" s="252">
        <f t="shared" si="8"/>
        <v>428175</v>
      </c>
    </row>
    <row r="56" spans="1:26" s="43" customFormat="1">
      <c r="A56" s="450" t="s">
        <v>36</v>
      </c>
      <c r="B56" s="451"/>
      <c r="C56" s="452"/>
      <c r="D56" s="252">
        <f>D42+D44+D46+D48+D50+D52+D54</f>
        <v>0</v>
      </c>
      <c r="E56" s="252">
        <f t="shared" ref="E56:Z56" si="9">E42+E44+E46+E48+E50+E52+E54</f>
        <v>0</v>
      </c>
      <c r="F56" s="252">
        <f t="shared" si="9"/>
        <v>0</v>
      </c>
      <c r="G56" s="252">
        <f t="shared" si="9"/>
        <v>0</v>
      </c>
      <c r="H56" s="252">
        <f t="shared" si="9"/>
        <v>0</v>
      </c>
      <c r="I56" s="252">
        <f t="shared" si="9"/>
        <v>0</v>
      </c>
      <c r="J56" s="252">
        <f t="shared" si="9"/>
        <v>0</v>
      </c>
      <c r="K56" s="252">
        <f t="shared" si="9"/>
        <v>0</v>
      </c>
      <c r="L56" s="252">
        <f t="shared" si="9"/>
        <v>0</v>
      </c>
      <c r="M56" s="252">
        <f t="shared" si="9"/>
        <v>0</v>
      </c>
      <c r="N56" s="252">
        <f t="shared" si="9"/>
        <v>0</v>
      </c>
      <c r="O56" s="252">
        <f t="shared" si="9"/>
        <v>0</v>
      </c>
      <c r="P56" s="252">
        <f t="shared" si="9"/>
        <v>0</v>
      </c>
      <c r="Q56" s="252">
        <f t="shared" si="9"/>
        <v>0</v>
      </c>
      <c r="R56" s="252">
        <f t="shared" si="9"/>
        <v>0</v>
      </c>
      <c r="S56" s="252">
        <f t="shared" si="9"/>
        <v>0</v>
      </c>
      <c r="T56" s="252">
        <f t="shared" si="9"/>
        <v>0</v>
      </c>
      <c r="U56" s="252">
        <f t="shared" si="9"/>
        <v>0</v>
      </c>
      <c r="V56" s="252">
        <f t="shared" si="9"/>
        <v>0</v>
      </c>
      <c r="W56" s="252">
        <f t="shared" si="9"/>
        <v>0</v>
      </c>
      <c r="X56" s="252">
        <f t="shared" si="9"/>
        <v>0</v>
      </c>
      <c r="Y56" s="252">
        <f t="shared" si="9"/>
        <v>0</v>
      </c>
      <c r="Z56" s="252">
        <f t="shared" si="9"/>
        <v>0</v>
      </c>
    </row>
    <row r="57" spans="1:26" s="43" customFormat="1">
      <c r="A57" s="450" t="s">
        <v>308</v>
      </c>
      <c r="B57" s="451"/>
      <c r="C57" s="452"/>
      <c r="D57" s="252">
        <f>D55-D56</f>
        <v>38925</v>
      </c>
      <c r="E57" s="252">
        <f t="shared" ref="E57:Y57" si="10">E55-E56</f>
        <v>38925</v>
      </c>
      <c r="F57" s="252">
        <f t="shared" si="10"/>
        <v>38925</v>
      </c>
      <c r="G57" s="252">
        <f t="shared" si="10"/>
        <v>38925</v>
      </c>
      <c r="H57" s="252">
        <f t="shared" si="10"/>
        <v>38925</v>
      </c>
      <c r="I57" s="252">
        <f t="shared" si="10"/>
        <v>38925</v>
      </c>
      <c r="J57" s="252">
        <f t="shared" si="10"/>
        <v>38925</v>
      </c>
      <c r="K57" s="252">
        <f t="shared" si="10"/>
        <v>38925</v>
      </c>
      <c r="L57" s="252">
        <f t="shared" si="10"/>
        <v>190</v>
      </c>
      <c r="M57" s="252">
        <f t="shared" si="10"/>
        <v>38925</v>
      </c>
      <c r="N57" s="252">
        <f t="shared" si="10"/>
        <v>86</v>
      </c>
      <c r="O57" s="252">
        <f t="shared" si="10"/>
        <v>120</v>
      </c>
      <c r="P57" s="252">
        <f t="shared" si="10"/>
        <v>29555</v>
      </c>
      <c r="Q57" s="252">
        <f t="shared" si="10"/>
        <v>8974</v>
      </c>
      <c r="R57" s="252">
        <f t="shared" si="10"/>
        <v>27030</v>
      </c>
      <c r="S57" s="252">
        <f t="shared" si="10"/>
        <v>11182</v>
      </c>
      <c r="T57" s="252">
        <f t="shared" si="10"/>
        <v>688</v>
      </c>
      <c r="U57" s="252">
        <f t="shared" si="10"/>
        <v>25</v>
      </c>
      <c r="V57" s="252">
        <f t="shared" si="10"/>
        <v>0</v>
      </c>
      <c r="W57" s="252">
        <f t="shared" si="10"/>
        <v>0</v>
      </c>
      <c r="X57" s="252">
        <f t="shared" si="10"/>
        <v>0</v>
      </c>
      <c r="Y57" s="252">
        <f t="shared" si="10"/>
        <v>0</v>
      </c>
      <c r="Z57" s="252">
        <f t="shared" ref="Z57" si="11">SUM(D57:Y57)</f>
        <v>428175</v>
      </c>
    </row>
    <row r="59" spans="1:26" s="43" customFormat="1" ht="19.5">
      <c r="A59" s="538" t="s">
        <v>531</v>
      </c>
      <c r="B59" s="538"/>
      <c r="C59" s="538"/>
      <c r="D59" s="538"/>
      <c r="E59" s="538"/>
      <c r="F59" s="538"/>
      <c r="G59" s="538"/>
      <c r="H59" s="538"/>
      <c r="I59" s="538"/>
      <c r="J59" s="538"/>
      <c r="K59" s="538"/>
      <c r="L59" s="538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s="43" customFormat="1" ht="33" customHeight="1">
      <c r="A60" s="255" t="s">
        <v>118</v>
      </c>
      <c r="B60" s="255" t="s">
        <v>307</v>
      </c>
      <c r="C60" s="34" t="s">
        <v>24</v>
      </c>
      <c r="D60" s="34" t="s">
        <v>225</v>
      </c>
      <c r="E60" s="34" t="s">
        <v>365</v>
      </c>
      <c r="F60" s="34" t="s">
        <v>56</v>
      </c>
      <c r="G60" s="34" t="s">
        <v>27</v>
      </c>
      <c r="H60" s="34" t="s">
        <v>175</v>
      </c>
      <c r="I60" s="34" t="s">
        <v>31</v>
      </c>
      <c r="J60" s="34" t="s">
        <v>202</v>
      </c>
      <c r="K60" s="34" t="s">
        <v>32</v>
      </c>
      <c r="L60" s="34" t="s">
        <v>493</v>
      </c>
      <c r="M60" s="34" t="s">
        <v>73</v>
      </c>
      <c r="N60" s="34" t="s">
        <v>517</v>
      </c>
      <c r="O60" s="34" t="s">
        <v>192</v>
      </c>
      <c r="P60" s="34" t="s">
        <v>494</v>
      </c>
      <c r="Q60" s="34" t="s">
        <v>151</v>
      </c>
      <c r="R60" s="34" t="s">
        <v>48</v>
      </c>
      <c r="S60" s="34" t="s">
        <v>49</v>
      </c>
      <c r="T60" s="34" t="s">
        <v>76</v>
      </c>
      <c r="U60" s="34" t="s">
        <v>51</v>
      </c>
      <c r="V60" s="34" t="s">
        <v>112</v>
      </c>
      <c r="W60" s="34" t="s">
        <v>137</v>
      </c>
      <c r="X60" s="34" t="s">
        <v>149</v>
      </c>
      <c r="Y60" s="34" t="s">
        <v>99</v>
      </c>
      <c r="Z60" s="34" t="s">
        <v>88</v>
      </c>
    </row>
    <row r="61" spans="1:26" s="43" customFormat="1">
      <c r="A61" s="428">
        <v>1</v>
      </c>
      <c r="B61" s="331" t="s">
        <v>532</v>
      </c>
      <c r="C61" s="252" t="s">
        <v>24</v>
      </c>
      <c r="D61" s="252">
        <v>16200</v>
      </c>
      <c r="E61" s="252">
        <v>16200</v>
      </c>
      <c r="F61" s="252">
        <v>16200</v>
      </c>
      <c r="G61" s="252">
        <v>16200</v>
      </c>
      <c r="H61" s="252">
        <v>16200</v>
      </c>
      <c r="I61" s="252">
        <v>16200</v>
      </c>
      <c r="J61" s="252">
        <v>16200</v>
      </c>
      <c r="K61" s="252">
        <v>16200</v>
      </c>
      <c r="L61" s="252">
        <v>1300</v>
      </c>
      <c r="M61" s="252">
        <v>16200</v>
      </c>
      <c r="N61" s="252">
        <v>400</v>
      </c>
      <c r="O61" s="252">
        <v>400</v>
      </c>
      <c r="P61" s="252">
        <v>12300</v>
      </c>
      <c r="Q61" s="252">
        <v>1800</v>
      </c>
      <c r="R61" s="252">
        <v>13950</v>
      </c>
      <c r="S61" s="252">
        <v>2200</v>
      </c>
      <c r="T61" s="252">
        <v>25</v>
      </c>
      <c r="U61" s="252">
        <v>25</v>
      </c>
      <c r="V61" s="252">
        <v>0</v>
      </c>
      <c r="W61" s="252">
        <v>0</v>
      </c>
      <c r="X61" s="252">
        <v>0</v>
      </c>
      <c r="Y61" s="252">
        <v>0</v>
      </c>
      <c r="Z61" s="252">
        <f>SUM(D61:Y61)</f>
        <v>178200</v>
      </c>
    </row>
    <row r="62" spans="1:26" s="43" customFormat="1">
      <c r="A62" s="424"/>
      <c r="B62" s="332"/>
      <c r="C62" s="252" t="s">
        <v>25</v>
      </c>
      <c r="D62" s="252"/>
      <c r="E62" s="252"/>
      <c r="F62" s="252"/>
      <c r="G62" s="252"/>
      <c r="H62" s="252"/>
      <c r="I62" s="252"/>
      <c r="J62" s="252"/>
      <c r="K62" s="252"/>
      <c r="L62" s="252"/>
      <c r="M62" s="252"/>
      <c r="N62" s="252"/>
      <c r="O62" s="252"/>
      <c r="P62" s="252"/>
      <c r="Q62" s="252"/>
      <c r="R62" s="252"/>
      <c r="S62" s="252"/>
      <c r="T62" s="252"/>
      <c r="U62" s="252"/>
      <c r="V62" s="252"/>
      <c r="W62" s="252"/>
      <c r="X62" s="252"/>
      <c r="Y62" s="252"/>
      <c r="Z62" s="252">
        <f t="shared" ref="Z62:Z76" si="12">SUM(D62:Y62)</f>
        <v>0</v>
      </c>
    </row>
    <row r="63" spans="1:26" s="43" customFormat="1">
      <c r="A63" s="428">
        <v>2</v>
      </c>
      <c r="B63" s="331" t="s">
        <v>126</v>
      </c>
      <c r="C63" s="252" t="s">
        <v>24</v>
      </c>
      <c r="D63" s="252">
        <v>9940</v>
      </c>
      <c r="E63" s="252">
        <v>9940</v>
      </c>
      <c r="F63" s="252">
        <v>9940</v>
      </c>
      <c r="G63" s="252">
        <v>9940</v>
      </c>
      <c r="H63" s="252">
        <v>9940</v>
      </c>
      <c r="I63" s="252">
        <v>9940</v>
      </c>
      <c r="J63" s="252">
        <v>9940</v>
      </c>
      <c r="K63" s="252">
        <v>9940</v>
      </c>
      <c r="L63" s="252">
        <v>0</v>
      </c>
      <c r="M63" s="252">
        <v>9940</v>
      </c>
      <c r="N63" s="252">
        <v>0</v>
      </c>
      <c r="O63" s="252">
        <v>0</v>
      </c>
      <c r="P63" s="252">
        <v>9675</v>
      </c>
      <c r="Q63" s="252">
        <v>265</v>
      </c>
      <c r="R63" s="252">
        <v>8450</v>
      </c>
      <c r="S63" s="252">
        <v>1366</v>
      </c>
      <c r="T63" s="252">
        <v>109</v>
      </c>
      <c r="U63" s="252">
        <v>15</v>
      </c>
      <c r="V63" s="252">
        <v>0</v>
      </c>
      <c r="W63" s="252">
        <v>0</v>
      </c>
      <c r="X63" s="252">
        <v>0</v>
      </c>
      <c r="Y63" s="252">
        <v>0</v>
      </c>
      <c r="Z63" s="252">
        <f t="shared" si="12"/>
        <v>109340</v>
      </c>
    </row>
    <row r="64" spans="1:26" s="43" customFormat="1">
      <c r="A64" s="424"/>
      <c r="B64" s="332"/>
      <c r="C64" s="252" t="s">
        <v>25</v>
      </c>
      <c r="D64" s="252"/>
      <c r="E64" s="252"/>
      <c r="F64" s="252"/>
      <c r="G64" s="252"/>
      <c r="H64" s="252"/>
      <c r="I64" s="252"/>
      <c r="J64" s="252"/>
      <c r="K64" s="252"/>
      <c r="L64" s="252"/>
      <c r="M64" s="252"/>
      <c r="N64" s="252"/>
      <c r="O64" s="252"/>
      <c r="P64" s="252"/>
      <c r="Q64" s="252"/>
      <c r="R64" s="252"/>
      <c r="S64" s="252"/>
      <c r="T64" s="252"/>
      <c r="U64" s="252"/>
      <c r="V64" s="252"/>
      <c r="W64" s="252"/>
      <c r="X64" s="252"/>
      <c r="Y64" s="252"/>
      <c r="Z64" s="252">
        <f t="shared" si="12"/>
        <v>0</v>
      </c>
    </row>
    <row r="65" spans="1:26" s="43" customFormat="1">
      <c r="A65" s="428">
        <v>3</v>
      </c>
      <c r="B65" s="331" t="s">
        <v>125</v>
      </c>
      <c r="C65" s="252" t="s">
        <v>24</v>
      </c>
      <c r="D65" s="252">
        <v>4700</v>
      </c>
      <c r="E65" s="252">
        <v>4700</v>
      </c>
      <c r="F65" s="252">
        <v>4700</v>
      </c>
      <c r="G65" s="252">
        <v>4700</v>
      </c>
      <c r="H65" s="252">
        <v>4700</v>
      </c>
      <c r="I65" s="252">
        <v>4700</v>
      </c>
      <c r="J65" s="252">
        <v>4700</v>
      </c>
      <c r="K65" s="252">
        <v>4700</v>
      </c>
      <c r="L65" s="252">
        <v>0</v>
      </c>
      <c r="M65" s="252">
        <v>4700</v>
      </c>
      <c r="N65" s="252">
        <v>0</v>
      </c>
      <c r="O65" s="252">
        <v>0</v>
      </c>
      <c r="P65" s="252">
        <v>4650</v>
      </c>
      <c r="Q65" s="252">
        <v>50</v>
      </c>
      <c r="R65" s="252">
        <v>3640</v>
      </c>
      <c r="S65" s="252">
        <v>1000</v>
      </c>
      <c r="T65" s="252">
        <v>50</v>
      </c>
      <c r="U65" s="252">
        <v>10</v>
      </c>
      <c r="V65" s="252">
        <v>0</v>
      </c>
      <c r="W65" s="252">
        <v>0</v>
      </c>
      <c r="X65" s="252">
        <v>0</v>
      </c>
      <c r="Y65" s="252">
        <v>0</v>
      </c>
      <c r="Z65" s="252">
        <f t="shared" si="12"/>
        <v>51700</v>
      </c>
    </row>
    <row r="66" spans="1:26" s="43" customFormat="1">
      <c r="A66" s="424"/>
      <c r="B66" s="332"/>
      <c r="C66" s="252" t="s">
        <v>25</v>
      </c>
      <c r="D66" s="252"/>
      <c r="E66" s="252"/>
      <c r="F66" s="252"/>
      <c r="G66" s="252"/>
      <c r="H66" s="252"/>
      <c r="I66" s="252"/>
      <c r="J66" s="252"/>
      <c r="K66" s="252"/>
      <c r="L66" s="252"/>
      <c r="M66" s="252"/>
      <c r="N66" s="252"/>
      <c r="O66" s="252"/>
      <c r="P66" s="252"/>
      <c r="Q66" s="252"/>
      <c r="R66" s="252"/>
      <c r="S66" s="252"/>
      <c r="T66" s="252"/>
      <c r="U66" s="252"/>
      <c r="V66" s="252"/>
      <c r="W66" s="252"/>
      <c r="X66" s="252"/>
      <c r="Y66" s="252"/>
      <c r="Z66" s="252">
        <f t="shared" si="12"/>
        <v>0</v>
      </c>
    </row>
    <row r="67" spans="1:26" s="43" customFormat="1">
      <c r="A67" s="428">
        <v>4</v>
      </c>
      <c r="B67" s="331" t="s">
        <v>533</v>
      </c>
      <c r="C67" s="252" t="s">
        <v>24</v>
      </c>
      <c r="D67" s="252">
        <v>5400</v>
      </c>
      <c r="E67" s="252">
        <v>5400</v>
      </c>
      <c r="F67" s="252">
        <v>5400</v>
      </c>
      <c r="G67" s="252">
        <v>5400</v>
      </c>
      <c r="H67" s="252">
        <v>5400</v>
      </c>
      <c r="I67" s="252">
        <v>5400</v>
      </c>
      <c r="J67" s="252">
        <v>5400</v>
      </c>
      <c r="K67" s="252">
        <v>5400</v>
      </c>
      <c r="L67" s="252">
        <v>0</v>
      </c>
      <c r="M67" s="252">
        <v>5400</v>
      </c>
      <c r="N67" s="252">
        <v>0</v>
      </c>
      <c r="O67" s="252">
        <v>0</v>
      </c>
      <c r="P67" s="252">
        <v>5250</v>
      </c>
      <c r="Q67" s="252">
        <v>150</v>
      </c>
      <c r="R67" s="252">
        <v>4400</v>
      </c>
      <c r="S67" s="252">
        <v>1000</v>
      </c>
      <c r="T67" s="252">
        <v>5</v>
      </c>
      <c r="U67" s="252">
        <v>0</v>
      </c>
      <c r="V67" s="252">
        <v>0</v>
      </c>
      <c r="W67" s="252">
        <v>0</v>
      </c>
      <c r="X67" s="252">
        <v>0</v>
      </c>
      <c r="Y67" s="252">
        <v>0</v>
      </c>
      <c r="Z67" s="252">
        <f t="shared" si="12"/>
        <v>59405</v>
      </c>
    </row>
    <row r="68" spans="1:26" s="43" customFormat="1">
      <c r="A68" s="424"/>
      <c r="B68" s="332"/>
      <c r="C68" s="252" t="s">
        <v>25</v>
      </c>
      <c r="D68" s="252"/>
      <c r="E68" s="252"/>
      <c r="F68" s="252"/>
      <c r="G68" s="252"/>
      <c r="H68" s="252"/>
      <c r="I68" s="252"/>
      <c r="J68" s="252"/>
      <c r="K68" s="252"/>
      <c r="L68" s="252"/>
      <c r="M68" s="252"/>
      <c r="N68" s="252"/>
      <c r="O68" s="252"/>
      <c r="P68" s="252"/>
      <c r="Q68" s="252"/>
      <c r="R68" s="252"/>
      <c r="S68" s="252"/>
      <c r="T68" s="252"/>
      <c r="U68" s="252"/>
      <c r="V68" s="252"/>
      <c r="W68" s="252"/>
      <c r="X68" s="252"/>
      <c r="Y68" s="252"/>
      <c r="Z68" s="252">
        <f t="shared" si="12"/>
        <v>0</v>
      </c>
    </row>
    <row r="69" spans="1:26" s="43" customFormat="1">
      <c r="A69" s="428">
        <v>5</v>
      </c>
      <c r="B69" s="331" t="s">
        <v>121</v>
      </c>
      <c r="C69" s="252" t="s">
        <v>24</v>
      </c>
      <c r="D69" s="252">
        <v>7000</v>
      </c>
      <c r="E69" s="252">
        <v>7000</v>
      </c>
      <c r="F69" s="252">
        <v>7000</v>
      </c>
      <c r="G69" s="252">
        <v>7000</v>
      </c>
      <c r="H69" s="252">
        <v>7000</v>
      </c>
      <c r="I69" s="252">
        <v>7000</v>
      </c>
      <c r="J69" s="252">
        <v>7000</v>
      </c>
      <c r="K69" s="252">
        <v>7000</v>
      </c>
      <c r="L69" s="252">
        <v>0</v>
      </c>
      <c r="M69" s="252">
        <v>7000</v>
      </c>
      <c r="N69" s="252">
        <v>0</v>
      </c>
      <c r="O69" s="252">
        <v>0</v>
      </c>
      <c r="P69" s="252">
        <v>7000</v>
      </c>
      <c r="Q69" s="252">
        <v>0</v>
      </c>
      <c r="R69" s="252">
        <v>5950</v>
      </c>
      <c r="S69" s="252">
        <v>900</v>
      </c>
      <c r="T69" s="252">
        <v>150</v>
      </c>
      <c r="U69" s="252">
        <v>0</v>
      </c>
      <c r="V69" s="252">
        <v>0</v>
      </c>
      <c r="W69" s="252">
        <v>0</v>
      </c>
      <c r="X69" s="252">
        <v>0</v>
      </c>
      <c r="Y69" s="252">
        <v>0</v>
      </c>
      <c r="Z69" s="252">
        <f t="shared" si="12"/>
        <v>77000</v>
      </c>
    </row>
    <row r="70" spans="1:26" s="43" customFormat="1">
      <c r="A70" s="424"/>
      <c r="B70" s="332"/>
      <c r="C70" s="252" t="s">
        <v>25</v>
      </c>
      <c r="D70" s="252"/>
      <c r="E70" s="252"/>
      <c r="F70" s="252"/>
      <c r="G70" s="252"/>
      <c r="H70" s="252"/>
      <c r="I70" s="252"/>
      <c r="J70" s="252"/>
      <c r="K70" s="252"/>
      <c r="L70" s="252"/>
      <c r="M70" s="252"/>
      <c r="N70" s="252"/>
      <c r="O70" s="252"/>
      <c r="P70" s="252"/>
      <c r="Q70" s="252"/>
      <c r="R70" s="252"/>
      <c r="S70" s="252"/>
      <c r="T70" s="252"/>
      <c r="U70" s="252"/>
      <c r="V70" s="252"/>
      <c r="W70" s="252"/>
      <c r="X70" s="252"/>
      <c r="Y70" s="252"/>
      <c r="Z70" s="252">
        <f t="shared" si="12"/>
        <v>0</v>
      </c>
    </row>
    <row r="71" spans="1:26" s="43" customFormat="1">
      <c r="A71" s="428">
        <v>6</v>
      </c>
      <c r="B71" s="331" t="s">
        <v>534</v>
      </c>
      <c r="C71" s="252" t="s">
        <v>24</v>
      </c>
      <c r="D71" s="252">
        <v>2700</v>
      </c>
      <c r="E71" s="252">
        <v>2700</v>
      </c>
      <c r="F71" s="252">
        <v>2700</v>
      </c>
      <c r="G71" s="252">
        <v>2700</v>
      </c>
      <c r="H71" s="252">
        <v>2700</v>
      </c>
      <c r="I71" s="252">
        <v>2700</v>
      </c>
      <c r="J71" s="252">
        <v>2700</v>
      </c>
      <c r="K71" s="252">
        <v>2700</v>
      </c>
      <c r="L71" s="252">
        <v>50</v>
      </c>
      <c r="M71" s="252">
        <v>2700</v>
      </c>
      <c r="N71" s="252">
        <v>0</v>
      </c>
      <c r="O71" s="252">
        <v>0</v>
      </c>
      <c r="P71" s="252">
        <v>2650</v>
      </c>
      <c r="Q71" s="252">
        <v>0</v>
      </c>
      <c r="R71" s="252">
        <v>2000</v>
      </c>
      <c r="S71" s="252">
        <v>700</v>
      </c>
      <c r="T71" s="252">
        <v>0</v>
      </c>
      <c r="U71" s="252">
        <v>0</v>
      </c>
      <c r="V71" s="252">
        <v>0</v>
      </c>
      <c r="W71" s="252">
        <v>0</v>
      </c>
      <c r="X71" s="252">
        <v>0</v>
      </c>
      <c r="Y71" s="252">
        <v>0</v>
      </c>
      <c r="Z71" s="252">
        <f t="shared" si="12"/>
        <v>29700</v>
      </c>
    </row>
    <row r="72" spans="1:26" s="43" customFormat="1">
      <c r="A72" s="424"/>
      <c r="B72" s="332"/>
      <c r="C72" s="252" t="s">
        <v>25</v>
      </c>
      <c r="D72" s="252"/>
      <c r="E72" s="252"/>
      <c r="F72" s="252"/>
      <c r="G72" s="252"/>
      <c r="H72" s="252"/>
      <c r="I72" s="252"/>
      <c r="J72" s="252"/>
      <c r="K72" s="252"/>
      <c r="L72" s="252"/>
      <c r="M72" s="252"/>
      <c r="N72" s="252"/>
      <c r="O72" s="252"/>
      <c r="P72" s="252"/>
      <c r="Q72" s="252"/>
      <c r="R72" s="252"/>
      <c r="S72" s="252"/>
      <c r="T72" s="252"/>
      <c r="U72" s="252"/>
      <c r="V72" s="252"/>
      <c r="W72" s="252"/>
      <c r="X72" s="252"/>
      <c r="Y72" s="252"/>
      <c r="Z72" s="252">
        <f t="shared" si="12"/>
        <v>0</v>
      </c>
    </row>
    <row r="73" spans="1:26" s="43" customFormat="1">
      <c r="A73" s="428">
        <v>7</v>
      </c>
      <c r="B73" s="331" t="s">
        <v>124</v>
      </c>
      <c r="C73" s="252" t="s">
        <v>24</v>
      </c>
      <c r="D73" s="252">
        <v>4490</v>
      </c>
      <c r="E73" s="252">
        <v>4490</v>
      </c>
      <c r="F73" s="252">
        <v>4490</v>
      </c>
      <c r="G73" s="252">
        <v>4490</v>
      </c>
      <c r="H73" s="252">
        <v>4490</v>
      </c>
      <c r="I73" s="252">
        <v>4490</v>
      </c>
      <c r="J73" s="252">
        <v>4490</v>
      </c>
      <c r="K73" s="252">
        <v>4490</v>
      </c>
      <c r="L73" s="252">
        <v>0</v>
      </c>
      <c r="M73" s="252">
        <v>4490</v>
      </c>
      <c r="N73" s="252">
        <v>0</v>
      </c>
      <c r="O73" s="252">
        <v>0</v>
      </c>
      <c r="P73" s="252">
        <v>4135</v>
      </c>
      <c r="Q73" s="252">
        <v>355</v>
      </c>
      <c r="R73" s="252">
        <v>3490</v>
      </c>
      <c r="S73" s="252">
        <v>1000</v>
      </c>
      <c r="T73" s="252">
        <v>0</v>
      </c>
      <c r="U73" s="252">
        <v>0</v>
      </c>
      <c r="V73" s="252">
        <v>0</v>
      </c>
      <c r="W73" s="252">
        <v>0</v>
      </c>
      <c r="X73" s="252">
        <v>0</v>
      </c>
      <c r="Y73" s="252">
        <v>0</v>
      </c>
      <c r="Z73" s="252">
        <f t="shared" si="12"/>
        <v>49390</v>
      </c>
    </row>
    <row r="74" spans="1:26" s="43" customFormat="1">
      <c r="A74" s="424"/>
      <c r="B74" s="332"/>
      <c r="C74" s="252" t="s">
        <v>25</v>
      </c>
      <c r="D74" s="252"/>
      <c r="E74" s="252"/>
      <c r="F74" s="252"/>
      <c r="G74" s="252"/>
      <c r="H74" s="252"/>
      <c r="I74" s="252"/>
      <c r="J74" s="252"/>
      <c r="K74" s="252"/>
      <c r="L74" s="252"/>
      <c r="M74" s="252"/>
      <c r="N74" s="252"/>
      <c r="O74" s="252"/>
      <c r="P74" s="252"/>
      <c r="Q74" s="252"/>
      <c r="R74" s="252"/>
      <c r="S74" s="252"/>
      <c r="T74" s="252"/>
      <c r="U74" s="252"/>
      <c r="V74" s="252"/>
      <c r="W74" s="252"/>
      <c r="X74" s="252"/>
      <c r="Y74" s="252"/>
      <c r="Z74" s="252">
        <f t="shared" si="12"/>
        <v>0</v>
      </c>
    </row>
    <row r="75" spans="1:26" s="43" customFormat="1">
      <c r="A75" s="428">
        <v>8</v>
      </c>
      <c r="B75" s="331" t="s">
        <v>123</v>
      </c>
      <c r="C75" s="252" t="s">
        <v>24</v>
      </c>
      <c r="D75" s="252">
        <v>4600</v>
      </c>
      <c r="E75" s="252">
        <v>4600</v>
      </c>
      <c r="F75" s="252">
        <v>4600</v>
      </c>
      <c r="G75" s="252">
        <v>4600</v>
      </c>
      <c r="H75" s="252">
        <v>4600</v>
      </c>
      <c r="I75" s="252">
        <v>4600</v>
      </c>
      <c r="J75" s="252">
        <v>4600</v>
      </c>
      <c r="K75" s="252">
        <v>4600</v>
      </c>
      <c r="L75" s="252">
        <v>400</v>
      </c>
      <c r="M75" s="252">
        <v>4600</v>
      </c>
      <c r="N75" s="252">
        <v>0</v>
      </c>
      <c r="O75" s="252">
        <v>0</v>
      </c>
      <c r="P75" s="252">
        <v>3800</v>
      </c>
      <c r="Q75" s="252">
        <v>400</v>
      </c>
      <c r="R75" s="252">
        <v>4200</v>
      </c>
      <c r="S75" s="252">
        <v>400</v>
      </c>
      <c r="T75" s="252">
        <v>0</v>
      </c>
      <c r="U75" s="252">
        <v>0</v>
      </c>
      <c r="V75" s="252">
        <v>0</v>
      </c>
      <c r="W75" s="252">
        <v>0</v>
      </c>
      <c r="X75" s="252">
        <v>0</v>
      </c>
      <c r="Y75" s="252">
        <v>0</v>
      </c>
      <c r="Z75" s="252">
        <f t="shared" si="12"/>
        <v>50600</v>
      </c>
    </row>
    <row r="76" spans="1:26" s="43" customFormat="1">
      <c r="A76" s="424"/>
      <c r="B76" s="332"/>
      <c r="C76" s="252" t="s">
        <v>25</v>
      </c>
      <c r="D76" s="252"/>
      <c r="E76" s="252"/>
      <c r="F76" s="252"/>
      <c r="G76" s="252"/>
      <c r="H76" s="252"/>
      <c r="I76" s="252"/>
      <c r="J76" s="252"/>
      <c r="K76" s="252"/>
      <c r="L76" s="252"/>
      <c r="M76" s="252"/>
      <c r="N76" s="252"/>
      <c r="O76" s="252"/>
      <c r="P76" s="252"/>
      <c r="Q76" s="252"/>
      <c r="R76" s="252"/>
      <c r="S76" s="252"/>
      <c r="T76" s="252"/>
      <c r="U76" s="252"/>
      <c r="V76" s="252"/>
      <c r="W76" s="252"/>
      <c r="X76" s="252"/>
      <c r="Y76" s="252"/>
      <c r="Z76" s="252">
        <f t="shared" si="12"/>
        <v>0</v>
      </c>
    </row>
    <row r="77" spans="1:26" s="43" customFormat="1">
      <c r="A77" s="450" t="s">
        <v>35</v>
      </c>
      <c r="B77" s="451"/>
      <c r="C77" s="452"/>
      <c r="D77" s="252">
        <f>D61+D63+D65+D67+D69+D71+D73+D75</f>
        <v>55030</v>
      </c>
      <c r="E77" s="252">
        <f t="shared" ref="E77:Z77" si="13">E61+E63+E65+E67+E69+E71+E73+E75</f>
        <v>55030</v>
      </c>
      <c r="F77" s="252">
        <f t="shared" si="13"/>
        <v>55030</v>
      </c>
      <c r="G77" s="252">
        <f t="shared" si="13"/>
        <v>55030</v>
      </c>
      <c r="H77" s="252">
        <f t="shared" si="13"/>
        <v>55030</v>
      </c>
      <c r="I77" s="252">
        <f t="shared" si="13"/>
        <v>55030</v>
      </c>
      <c r="J77" s="252">
        <f t="shared" si="13"/>
        <v>55030</v>
      </c>
      <c r="K77" s="252">
        <f t="shared" si="13"/>
        <v>55030</v>
      </c>
      <c r="L77" s="252">
        <f t="shared" si="13"/>
        <v>1750</v>
      </c>
      <c r="M77" s="252">
        <f t="shared" si="13"/>
        <v>55030</v>
      </c>
      <c r="N77" s="252">
        <f t="shared" si="13"/>
        <v>400</v>
      </c>
      <c r="O77" s="252">
        <f t="shared" si="13"/>
        <v>400</v>
      </c>
      <c r="P77" s="252">
        <f t="shared" si="13"/>
        <v>49460</v>
      </c>
      <c r="Q77" s="252">
        <f t="shared" si="13"/>
        <v>3020</v>
      </c>
      <c r="R77" s="252">
        <f t="shared" si="13"/>
        <v>46080</v>
      </c>
      <c r="S77" s="252">
        <f t="shared" si="13"/>
        <v>8566</v>
      </c>
      <c r="T77" s="252">
        <f t="shared" si="13"/>
        <v>339</v>
      </c>
      <c r="U77" s="252">
        <f t="shared" si="13"/>
        <v>50</v>
      </c>
      <c r="V77" s="252">
        <f t="shared" si="13"/>
        <v>0</v>
      </c>
      <c r="W77" s="252">
        <f t="shared" si="13"/>
        <v>0</v>
      </c>
      <c r="X77" s="252">
        <f t="shared" si="13"/>
        <v>0</v>
      </c>
      <c r="Y77" s="252">
        <f t="shared" si="13"/>
        <v>0</v>
      </c>
      <c r="Z77" s="252">
        <f t="shared" si="13"/>
        <v>605335</v>
      </c>
    </row>
    <row r="78" spans="1:26" s="43" customFormat="1">
      <c r="A78" s="450" t="s">
        <v>36</v>
      </c>
      <c r="B78" s="451"/>
      <c r="C78" s="452"/>
      <c r="D78" s="252">
        <f>D62+D64+D66+D68+D70+D72+D74+D76</f>
        <v>0</v>
      </c>
      <c r="E78" s="252">
        <f t="shared" ref="E78:Z78" si="14">E62+E64+E66+E68+E70+E72+E74+E76</f>
        <v>0</v>
      </c>
      <c r="F78" s="252">
        <f t="shared" si="14"/>
        <v>0</v>
      </c>
      <c r="G78" s="252">
        <f t="shared" si="14"/>
        <v>0</v>
      </c>
      <c r="H78" s="252">
        <f t="shared" si="14"/>
        <v>0</v>
      </c>
      <c r="I78" s="252">
        <f t="shared" si="14"/>
        <v>0</v>
      </c>
      <c r="J78" s="252">
        <f t="shared" si="14"/>
        <v>0</v>
      </c>
      <c r="K78" s="252">
        <f t="shared" si="14"/>
        <v>0</v>
      </c>
      <c r="L78" s="252">
        <f t="shared" si="14"/>
        <v>0</v>
      </c>
      <c r="M78" s="252">
        <f t="shared" si="14"/>
        <v>0</v>
      </c>
      <c r="N78" s="252">
        <f t="shared" si="14"/>
        <v>0</v>
      </c>
      <c r="O78" s="252">
        <f t="shared" si="14"/>
        <v>0</v>
      </c>
      <c r="P78" s="252">
        <f t="shared" si="14"/>
        <v>0</v>
      </c>
      <c r="Q78" s="252">
        <f t="shared" si="14"/>
        <v>0</v>
      </c>
      <c r="R78" s="252">
        <f t="shared" si="14"/>
        <v>0</v>
      </c>
      <c r="S78" s="252">
        <f t="shared" si="14"/>
        <v>0</v>
      </c>
      <c r="T78" s="252">
        <f t="shared" si="14"/>
        <v>0</v>
      </c>
      <c r="U78" s="252">
        <f t="shared" si="14"/>
        <v>0</v>
      </c>
      <c r="V78" s="252">
        <f t="shared" si="14"/>
        <v>0</v>
      </c>
      <c r="W78" s="252">
        <f t="shared" si="14"/>
        <v>0</v>
      </c>
      <c r="X78" s="252">
        <f t="shared" si="14"/>
        <v>0</v>
      </c>
      <c r="Y78" s="252">
        <f t="shared" si="14"/>
        <v>0</v>
      </c>
      <c r="Z78" s="252">
        <f t="shared" si="14"/>
        <v>0</v>
      </c>
    </row>
    <row r="79" spans="1:26" s="43" customFormat="1">
      <c r="A79" s="450" t="s">
        <v>308</v>
      </c>
      <c r="B79" s="451"/>
      <c r="C79" s="452"/>
      <c r="D79" s="252">
        <f>D77-D78</f>
        <v>55030</v>
      </c>
      <c r="E79" s="252">
        <f t="shared" ref="E79:Y79" si="15">E77-E78</f>
        <v>55030</v>
      </c>
      <c r="F79" s="252">
        <f t="shared" si="15"/>
        <v>55030</v>
      </c>
      <c r="G79" s="252">
        <f t="shared" si="15"/>
        <v>55030</v>
      </c>
      <c r="H79" s="252">
        <f t="shared" si="15"/>
        <v>55030</v>
      </c>
      <c r="I79" s="252">
        <f t="shared" si="15"/>
        <v>55030</v>
      </c>
      <c r="J79" s="252">
        <f t="shared" si="15"/>
        <v>55030</v>
      </c>
      <c r="K79" s="252">
        <f t="shared" si="15"/>
        <v>55030</v>
      </c>
      <c r="L79" s="252">
        <f t="shared" si="15"/>
        <v>1750</v>
      </c>
      <c r="M79" s="252">
        <f t="shared" si="15"/>
        <v>55030</v>
      </c>
      <c r="N79" s="252">
        <f t="shared" si="15"/>
        <v>400</v>
      </c>
      <c r="O79" s="252">
        <f t="shared" si="15"/>
        <v>400</v>
      </c>
      <c r="P79" s="252">
        <f t="shared" si="15"/>
        <v>49460</v>
      </c>
      <c r="Q79" s="252">
        <f t="shared" si="15"/>
        <v>3020</v>
      </c>
      <c r="R79" s="252">
        <f t="shared" si="15"/>
        <v>46080</v>
      </c>
      <c r="S79" s="252">
        <f t="shared" si="15"/>
        <v>8566</v>
      </c>
      <c r="T79" s="252">
        <f t="shared" si="15"/>
        <v>339</v>
      </c>
      <c r="U79" s="252">
        <f t="shared" si="15"/>
        <v>50</v>
      </c>
      <c r="V79" s="252">
        <f t="shared" si="15"/>
        <v>0</v>
      </c>
      <c r="W79" s="252">
        <f t="shared" si="15"/>
        <v>0</v>
      </c>
      <c r="X79" s="252">
        <f t="shared" si="15"/>
        <v>0</v>
      </c>
      <c r="Y79" s="252">
        <f t="shared" si="15"/>
        <v>0</v>
      </c>
      <c r="Z79" s="252">
        <f t="shared" ref="Z79" si="16">SUM(D79:Y79)</f>
        <v>605335</v>
      </c>
    </row>
    <row r="80" spans="1:26">
      <c r="D80" s="233"/>
      <c r="E80" s="233"/>
      <c r="F80" s="233"/>
      <c r="G80" s="233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</row>
    <row r="81" spans="1:26" s="43" customFormat="1" ht="19.5">
      <c r="A81" s="538" t="s">
        <v>535</v>
      </c>
      <c r="B81" s="538"/>
      <c r="C81" s="538"/>
      <c r="D81" s="538"/>
      <c r="E81" s="538"/>
      <c r="F81" s="538"/>
      <c r="G81" s="538"/>
      <c r="H81" s="538"/>
      <c r="I81" s="538"/>
      <c r="J81" s="538"/>
      <c r="K81" s="538"/>
      <c r="L81" s="538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s="43" customFormat="1" ht="33" customHeight="1">
      <c r="A82" s="255" t="s">
        <v>118</v>
      </c>
      <c r="B82" s="255" t="s">
        <v>307</v>
      </c>
      <c r="C82" s="34" t="s">
        <v>24</v>
      </c>
      <c r="D82" s="34" t="s">
        <v>225</v>
      </c>
      <c r="E82" s="34" t="s">
        <v>365</v>
      </c>
      <c r="F82" s="34" t="s">
        <v>56</v>
      </c>
      <c r="G82" s="34" t="s">
        <v>27</v>
      </c>
      <c r="H82" s="34" t="s">
        <v>175</v>
      </c>
      <c r="I82" s="34" t="s">
        <v>31</v>
      </c>
      <c r="J82" s="34" t="s">
        <v>202</v>
      </c>
      <c r="K82" s="34" t="s">
        <v>32</v>
      </c>
      <c r="L82" s="34" t="s">
        <v>493</v>
      </c>
      <c r="M82" s="34" t="s">
        <v>73</v>
      </c>
      <c r="N82" s="34" t="s">
        <v>517</v>
      </c>
      <c r="O82" s="34" t="s">
        <v>192</v>
      </c>
      <c r="P82" s="34" t="s">
        <v>494</v>
      </c>
      <c r="Q82" s="34" t="s">
        <v>151</v>
      </c>
      <c r="R82" s="34" t="s">
        <v>48</v>
      </c>
      <c r="S82" s="34" t="s">
        <v>49</v>
      </c>
      <c r="T82" s="34" t="s">
        <v>76</v>
      </c>
      <c r="U82" s="34" t="s">
        <v>51</v>
      </c>
      <c r="V82" s="34" t="s">
        <v>112</v>
      </c>
      <c r="W82" s="34" t="s">
        <v>137</v>
      </c>
      <c r="X82" s="34" t="s">
        <v>149</v>
      </c>
      <c r="Y82" s="34" t="s">
        <v>99</v>
      </c>
      <c r="Z82" s="34" t="s">
        <v>88</v>
      </c>
    </row>
    <row r="83" spans="1:26" s="43" customFormat="1">
      <c r="A83" s="428">
        <v>1</v>
      </c>
      <c r="B83" s="331" t="s">
        <v>536</v>
      </c>
      <c r="C83" s="252" t="s">
        <v>24</v>
      </c>
      <c r="D83" s="252">
        <v>5500</v>
      </c>
      <c r="E83" s="252">
        <v>5500</v>
      </c>
      <c r="F83" s="252">
        <v>5500</v>
      </c>
      <c r="G83" s="252">
        <v>5500</v>
      </c>
      <c r="H83" s="252">
        <v>5500</v>
      </c>
      <c r="I83" s="252">
        <v>5500</v>
      </c>
      <c r="J83" s="252">
        <v>5500</v>
      </c>
      <c r="K83" s="252">
        <v>5500</v>
      </c>
      <c r="L83" s="252">
        <v>0</v>
      </c>
      <c r="M83" s="252">
        <v>5500</v>
      </c>
      <c r="N83" s="252">
        <v>0</v>
      </c>
      <c r="O83" s="252">
        <v>0</v>
      </c>
      <c r="P83" s="252">
        <v>5200</v>
      </c>
      <c r="Q83" s="252">
        <v>300</v>
      </c>
      <c r="R83" s="252">
        <v>4800</v>
      </c>
      <c r="S83" s="252">
        <v>680</v>
      </c>
      <c r="T83" s="252">
        <v>20</v>
      </c>
      <c r="U83" s="252">
        <v>0</v>
      </c>
      <c r="V83" s="252">
        <v>0</v>
      </c>
      <c r="W83" s="252">
        <v>0</v>
      </c>
      <c r="X83" s="252">
        <v>0</v>
      </c>
      <c r="Y83" s="252">
        <v>0</v>
      </c>
      <c r="Z83" s="252">
        <f>SUM(D83:Y83)</f>
        <v>60500</v>
      </c>
    </row>
    <row r="84" spans="1:26" s="43" customFormat="1">
      <c r="A84" s="424"/>
      <c r="B84" s="332"/>
      <c r="C84" s="252" t="s">
        <v>25</v>
      </c>
      <c r="D84" s="252"/>
      <c r="E84" s="252"/>
      <c r="F84" s="252"/>
      <c r="G84" s="252"/>
      <c r="H84" s="252"/>
      <c r="I84" s="252"/>
      <c r="J84" s="252"/>
      <c r="K84" s="252"/>
      <c r="L84" s="252"/>
      <c r="M84" s="252"/>
      <c r="N84" s="252"/>
      <c r="O84" s="252"/>
      <c r="P84" s="252"/>
      <c r="Q84" s="252"/>
      <c r="R84" s="252"/>
      <c r="S84" s="252"/>
      <c r="T84" s="252"/>
      <c r="U84" s="252"/>
      <c r="V84" s="252"/>
      <c r="W84" s="252"/>
      <c r="X84" s="252"/>
      <c r="Y84" s="252"/>
      <c r="Z84" s="252">
        <f t="shared" ref="Z84:Z102" si="17">SUM(D84:Y84)</f>
        <v>0</v>
      </c>
    </row>
    <row r="85" spans="1:26" s="43" customFormat="1">
      <c r="A85" s="428">
        <v>2</v>
      </c>
      <c r="B85" s="331" t="s">
        <v>537</v>
      </c>
      <c r="C85" s="252" t="s">
        <v>24</v>
      </c>
      <c r="D85" s="252">
        <v>2550</v>
      </c>
      <c r="E85" s="252">
        <v>2550</v>
      </c>
      <c r="F85" s="252">
        <v>2550</v>
      </c>
      <c r="G85" s="252">
        <v>2550</v>
      </c>
      <c r="H85" s="252">
        <v>2550</v>
      </c>
      <c r="I85" s="252">
        <v>2550</v>
      </c>
      <c r="J85" s="252">
        <v>2550</v>
      </c>
      <c r="K85" s="252">
        <v>2550</v>
      </c>
      <c r="L85" s="252">
        <v>0</v>
      </c>
      <c r="M85" s="252">
        <v>2550</v>
      </c>
      <c r="N85" s="252">
        <v>0</v>
      </c>
      <c r="O85" s="252">
        <v>0</v>
      </c>
      <c r="P85" s="252">
        <v>2550</v>
      </c>
      <c r="Q85" s="252">
        <v>0</v>
      </c>
      <c r="R85" s="252">
        <v>1740</v>
      </c>
      <c r="S85" s="252">
        <v>753</v>
      </c>
      <c r="T85" s="252">
        <v>47</v>
      </c>
      <c r="U85" s="252">
        <v>0</v>
      </c>
      <c r="V85" s="252">
        <v>0</v>
      </c>
      <c r="W85" s="252">
        <v>0</v>
      </c>
      <c r="X85" s="252">
        <v>0</v>
      </c>
      <c r="Y85" s="252">
        <v>0</v>
      </c>
      <c r="Z85" s="252">
        <f t="shared" si="17"/>
        <v>28040</v>
      </c>
    </row>
    <row r="86" spans="1:26" s="43" customFormat="1">
      <c r="A86" s="424"/>
      <c r="B86" s="332"/>
      <c r="C86" s="252" t="s">
        <v>25</v>
      </c>
      <c r="D86" s="252"/>
      <c r="E86" s="252"/>
      <c r="F86" s="252"/>
      <c r="G86" s="252"/>
      <c r="H86" s="252"/>
      <c r="I86" s="252"/>
      <c r="J86" s="252"/>
      <c r="K86" s="252"/>
      <c r="L86" s="252"/>
      <c r="M86" s="252"/>
      <c r="N86" s="252"/>
      <c r="O86" s="252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>
        <f t="shared" si="17"/>
        <v>0</v>
      </c>
    </row>
    <row r="87" spans="1:26" s="43" customFormat="1">
      <c r="A87" s="428">
        <v>3</v>
      </c>
      <c r="B87" s="331" t="s">
        <v>538</v>
      </c>
      <c r="C87" s="252" t="s">
        <v>24</v>
      </c>
      <c r="D87" s="252">
        <v>2850</v>
      </c>
      <c r="E87" s="252">
        <v>2850</v>
      </c>
      <c r="F87" s="252">
        <v>2850</v>
      </c>
      <c r="G87" s="252">
        <v>2850</v>
      </c>
      <c r="H87" s="252">
        <v>2850</v>
      </c>
      <c r="I87" s="252">
        <v>2850</v>
      </c>
      <c r="J87" s="252">
        <v>2850</v>
      </c>
      <c r="K87" s="252">
        <v>2850</v>
      </c>
      <c r="L87" s="252">
        <v>0</v>
      </c>
      <c r="M87" s="252">
        <v>2850</v>
      </c>
      <c r="N87" s="252">
        <v>0</v>
      </c>
      <c r="O87" s="252">
        <v>0</v>
      </c>
      <c r="P87" s="252">
        <v>2600</v>
      </c>
      <c r="Q87" s="252">
        <v>250</v>
      </c>
      <c r="R87" s="252">
        <v>2670</v>
      </c>
      <c r="S87" s="252">
        <v>150</v>
      </c>
      <c r="T87" s="252">
        <v>30</v>
      </c>
      <c r="U87" s="252">
        <v>0</v>
      </c>
      <c r="V87" s="252">
        <v>0</v>
      </c>
      <c r="W87" s="252">
        <v>0</v>
      </c>
      <c r="X87" s="252">
        <v>0</v>
      </c>
      <c r="Y87" s="252">
        <v>0</v>
      </c>
      <c r="Z87" s="252">
        <f t="shared" si="17"/>
        <v>31350</v>
      </c>
    </row>
    <row r="88" spans="1:26" s="43" customFormat="1">
      <c r="A88" s="424"/>
      <c r="B88" s="332"/>
      <c r="C88" s="252" t="s">
        <v>25</v>
      </c>
      <c r="D88" s="252"/>
      <c r="E88" s="252"/>
      <c r="F88" s="252"/>
      <c r="G88" s="252"/>
      <c r="H88" s="252"/>
      <c r="I88" s="252"/>
      <c r="J88" s="252"/>
      <c r="K88" s="252"/>
      <c r="L88" s="252"/>
      <c r="M88" s="252"/>
      <c r="N88" s="252"/>
      <c r="O88" s="252"/>
      <c r="P88" s="252"/>
      <c r="Q88" s="252"/>
      <c r="R88" s="252"/>
      <c r="S88" s="252"/>
      <c r="T88" s="252"/>
      <c r="U88" s="252"/>
      <c r="V88" s="252"/>
      <c r="W88" s="252"/>
      <c r="X88" s="252"/>
      <c r="Y88" s="252"/>
      <c r="Z88" s="252">
        <f t="shared" si="17"/>
        <v>0</v>
      </c>
    </row>
    <row r="89" spans="1:26" s="43" customFormat="1">
      <c r="A89" s="428">
        <v>4</v>
      </c>
      <c r="B89" s="331" t="s">
        <v>539</v>
      </c>
      <c r="C89" s="252" t="s">
        <v>24</v>
      </c>
      <c r="D89" s="252">
        <v>3800</v>
      </c>
      <c r="E89" s="252">
        <v>3800</v>
      </c>
      <c r="F89" s="252">
        <v>3800</v>
      </c>
      <c r="G89" s="252">
        <v>3800</v>
      </c>
      <c r="H89" s="252">
        <v>3800</v>
      </c>
      <c r="I89" s="252">
        <v>3800</v>
      </c>
      <c r="J89" s="252">
        <v>3800</v>
      </c>
      <c r="K89" s="252">
        <v>3800</v>
      </c>
      <c r="L89" s="252">
        <v>0</v>
      </c>
      <c r="M89" s="252">
        <v>3800</v>
      </c>
      <c r="N89" s="252">
        <v>0</v>
      </c>
      <c r="O89" s="252">
        <v>0</v>
      </c>
      <c r="P89" s="252">
        <v>3600</v>
      </c>
      <c r="Q89" s="252">
        <v>200</v>
      </c>
      <c r="R89" s="252">
        <v>2600</v>
      </c>
      <c r="S89" s="252">
        <v>1200</v>
      </c>
      <c r="T89" s="252">
        <v>0</v>
      </c>
      <c r="U89" s="252">
        <v>0</v>
      </c>
      <c r="V89" s="252">
        <v>0</v>
      </c>
      <c r="W89" s="252">
        <v>0</v>
      </c>
      <c r="X89" s="252">
        <v>0</v>
      </c>
      <c r="Y89" s="252">
        <v>0</v>
      </c>
      <c r="Z89" s="252">
        <f t="shared" si="17"/>
        <v>41800</v>
      </c>
    </row>
    <row r="90" spans="1:26" s="43" customFormat="1">
      <c r="A90" s="424"/>
      <c r="B90" s="332"/>
      <c r="C90" s="252" t="s">
        <v>25</v>
      </c>
      <c r="D90" s="252"/>
      <c r="E90" s="252"/>
      <c r="F90" s="252"/>
      <c r="G90" s="252"/>
      <c r="H90" s="252"/>
      <c r="I90" s="252"/>
      <c r="J90" s="252"/>
      <c r="K90" s="252"/>
      <c r="L90" s="252"/>
      <c r="M90" s="252"/>
      <c r="N90" s="252"/>
      <c r="O90" s="252"/>
      <c r="P90" s="252"/>
      <c r="Q90" s="252"/>
      <c r="R90" s="252"/>
      <c r="S90" s="252"/>
      <c r="T90" s="252"/>
      <c r="U90" s="252"/>
      <c r="V90" s="252"/>
      <c r="W90" s="252"/>
      <c r="X90" s="252"/>
      <c r="Y90" s="252"/>
      <c r="Z90" s="252">
        <f t="shared" si="17"/>
        <v>0</v>
      </c>
    </row>
    <row r="91" spans="1:26" s="43" customFormat="1">
      <c r="A91" s="428">
        <v>5</v>
      </c>
      <c r="B91" s="331" t="s">
        <v>540</v>
      </c>
      <c r="C91" s="252" t="s">
        <v>24</v>
      </c>
      <c r="D91" s="252">
        <v>4000</v>
      </c>
      <c r="E91" s="252">
        <v>4000</v>
      </c>
      <c r="F91" s="252">
        <v>4000</v>
      </c>
      <c r="G91" s="252">
        <v>4000</v>
      </c>
      <c r="H91" s="252">
        <v>4000</v>
      </c>
      <c r="I91" s="252">
        <v>4000</v>
      </c>
      <c r="J91" s="252">
        <v>4000</v>
      </c>
      <c r="K91" s="252">
        <v>4000</v>
      </c>
      <c r="L91" s="252">
        <v>0</v>
      </c>
      <c r="M91" s="252">
        <v>4000</v>
      </c>
      <c r="N91" s="252">
        <v>0</v>
      </c>
      <c r="O91" s="252">
        <v>0</v>
      </c>
      <c r="P91" s="252">
        <v>3720</v>
      </c>
      <c r="Q91" s="252">
        <v>280</v>
      </c>
      <c r="R91" s="252">
        <v>2680</v>
      </c>
      <c r="S91" s="252">
        <v>1300</v>
      </c>
      <c r="T91" s="252">
        <v>20</v>
      </c>
      <c r="U91" s="252">
        <v>0</v>
      </c>
      <c r="V91" s="252">
        <v>0</v>
      </c>
      <c r="W91" s="252">
        <v>0</v>
      </c>
      <c r="X91" s="252">
        <v>0</v>
      </c>
      <c r="Y91" s="252">
        <v>0</v>
      </c>
      <c r="Z91" s="252">
        <f t="shared" si="17"/>
        <v>44000</v>
      </c>
    </row>
    <row r="92" spans="1:26" s="43" customFormat="1">
      <c r="A92" s="424"/>
      <c r="B92" s="332"/>
      <c r="C92" s="252" t="s">
        <v>25</v>
      </c>
      <c r="D92" s="252"/>
      <c r="E92" s="252"/>
      <c r="F92" s="252"/>
      <c r="G92" s="252"/>
      <c r="H92" s="252"/>
      <c r="I92" s="252"/>
      <c r="J92" s="252"/>
      <c r="K92" s="252"/>
      <c r="L92" s="252"/>
      <c r="M92" s="252"/>
      <c r="N92" s="252"/>
      <c r="O92" s="252"/>
      <c r="P92" s="252"/>
      <c r="Q92" s="252"/>
      <c r="R92" s="252"/>
      <c r="S92" s="252"/>
      <c r="T92" s="252"/>
      <c r="U92" s="252"/>
      <c r="V92" s="252"/>
      <c r="W92" s="252"/>
      <c r="X92" s="252"/>
      <c r="Y92" s="252"/>
      <c r="Z92" s="252">
        <f t="shared" si="17"/>
        <v>0</v>
      </c>
    </row>
    <row r="93" spans="1:26" s="43" customFormat="1">
      <c r="A93" s="428">
        <v>6</v>
      </c>
      <c r="B93" s="331" t="s">
        <v>541</v>
      </c>
      <c r="C93" s="252" t="s">
        <v>24</v>
      </c>
      <c r="D93" s="252">
        <v>12300</v>
      </c>
      <c r="E93" s="252">
        <v>12300</v>
      </c>
      <c r="F93" s="252">
        <v>12300</v>
      </c>
      <c r="G93" s="252">
        <v>12300</v>
      </c>
      <c r="H93" s="252">
        <v>12300</v>
      </c>
      <c r="I93" s="252">
        <v>12300</v>
      </c>
      <c r="J93" s="252">
        <v>12300</v>
      </c>
      <c r="K93" s="252">
        <v>12300</v>
      </c>
      <c r="L93" s="252">
        <v>3000</v>
      </c>
      <c r="M93" s="252">
        <v>12300</v>
      </c>
      <c r="N93" s="252">
        <v>0</v>
      </c>
      <c r="O93" s="252">
        <v>0</v>
      </c>
      <c r="P93" s="252">
        <v>9000</v>
      </c>
      <c r="Q93" s="252">
        <v>300</v>
      </c>
      <c r="R93" s="252">
        <v>7850</v>
      </c>
      <c r="S93" s="252">
        <v>4300</v>
      </c>
      <c r="T93" s="252">
        <v>150</v>
      </c>
      <c r="U93" s="252">
        <v>0</v>
      </c>
      <c r="V93" s="252">
        <v>0</v>
      </c>
      <c r="W93" s="252">
        <v>0</v>
      </c>
      <c r="X93" s="252">
        <v>0</v>
      </c>
      <c r="Y93" s="252">
        <v>0</v>
      </c>
      <c r="Z93" s="252">
        <f t="shared" si="17"/>
        <v>135300</v>
      </c>
    </row>
    <row r="94" spans="1:26" s="43" customFormat="1">
      <c r="A94" s="424"/>
      <c r="B94" s="332"/>
      <c r="C94" s="252" t="s">
        <v>25</v>
      </c>
      <c r="D94" s="252"/>
      <c r="E94" s="252"/>
      <c r="F94" s="252"/>
      <c r="G94" s="252"/>
      <c r="H94" s="252"/>
      <c r="I94" s="252"/>
      <c r="J94" s="252"/>
      <c r="K94" s="252"/>
      <c r="L94" s="252"/>
      <c r="M94" s="252"/>
      <c r="N94" s="252"/>
      <c r="O94" s="252"/>
      <c r="P94" s="252"/>
      <c r="Q94" s="252"/>
      <c r="R94" s="252"/>
      <c r="S94" s="252"/>
      <c r="T94" s="252"/>
      <c r="U94" s="252"/>
      <c r="V94" s="252"/>
      <c r="W94" s="252"/>
      <c r="X94" s="252"/>
      <c r="Y94" s="252"/>
      <c r="Z94" s="252">
        <f t="shared" si="17"/>
        <v>0</v>
      </c>
    </row>
    <row r="95" spans="1:26" s="43" customFormat="1">
      <c r="A95" s="428">
        <v>7</v>
      </c>
      <c r="B95" s="331" t="s">
        <v>121</v>
      </c>
      <c r="C95" s="252" t="s">
        <v>24</v>
      </c>
      <c r="D95" s="252">
        <v>5000</v>
      </c>
      <c r="E95" s="252">
        <v>5000</v>
      </c>
      <c r="F95" s="252">
        <v>5000</v>
      </c>
      <c r="G95" s="252">
        <v>5000</v>
      </c>
      <c r="H95" s="252">
        <v>5000</v>
      </c>
      <c r="I95" s="252">
        <v>5000</v>
      </c>
      <c r="J95" s="252">
        <v>5000</v>
      </c>
      <c r="K95" s="252">
        <v>5000</v>
      </c>
      <c r="L95" s="252">
        <v>0</v>
      </c>
      <c r="M95" s="252">
        <v>5000</v>
      </c>
      <c r="N95" s="252">
        <v>0</v>
      </c>
      <c r="O95" s="252">
        <v>0</v>
      </c>
      <c r="P95" s="252">
        <v>4900</v>
      </c>
      <c r="Q95" s="252">
        <v>100</v>
      </c>
      <c r="R95" s="252">
        <v>3200</v>
      </c>
      <c r="S95" s="252">
        <v>1700</v>
      </c>
      <c r="T95" s="252">
        <v>100</v>
      </c>
      <c r="U95" s="252">
        <v>0</v>
      </c>
      <c r="V95" s="252">
        <v>0</v>
      </c>
      <c r="W95" s="252">
        <v>0</v>
      </c>
      <c r="X95" s="252">
        <v>0</v>
      </c>
      <c r="Y95" s="252">
        <v>0</v>
      </c>
      <c r="Z95" s="252">
        <f t="shared" si="17"/>
        <v>55000</v>
      </c>
    </row>
    <row r="96" spans="1:26" s="43" customFormat="1">
      <c r="A96" s="424"/>
      <c r="B96" s="332"/>
      <c r="C96" s="252" t="s">
        <v>25</v>
      </c>
      <c r="D96" s="252"/>
      <c r="E96" s="252"/>
      <c r="F96" s="252"/>
      <c r="G96" s="252"/>
      <c r="H96" s="252"/>
      <c r="I96" s="252"/>
      <c r="J96" s="252"/>
      <c r="K96" s="252"/>
      <c r="L96" s="252"/>
      <c r="M96" s="252"/>
      <c r="N96" s="252"/>
      <c r="O96" s="252"/>
      <c r="P96" s="252"/>
      <c r="Q96" s="252"/>
      <c r="R96" s="252"/>
      <c r="S96" s="252"/>
      <c r="T96" s="252"/>
      <c r="U96" s="252"/>
      <c r="V96" s="252"/>
      <c r="W96" s="252"/>
      <c r="X96" s="252"/>
      <c r="Y96" s="252"/>
      <c r="Z96" s="252">
        <f t="shared" si="17"/>
        <v>0</v>
      </c>
    </row>
    <row r="97" spans="1:26" s="43" customFormat="1">
      <c r="A97" s="428">
        <v>8</v>
      </c>
      <c r="B97" s="331" t="s">
        <v>542</v>
      </c>
      <c r="C97" s="252" t="s">
        <v>24</v>
      </c>
      <c r="D97" s="252">
        <v>3700</v>
      </c>
      <c r="E97" s="252">
        <v>3700</v>
      </c>
      <c r="F97" s="252">
        <v>3700</v>
      </c>
      <c r="G97" s="252">
        <v>3700</v>
      </c>
      <c r="H97" s="252">
        <v>3700</v>
      </c>
      <c r="I97" s="252">
        <v>3700</v>
      </c>
      <c r="J97" s="252">
        <v>3700</v>
      </c>
      <c r="K97" s="252">
        <v>3700</v>
      </c>
      <c r="L97" s="252">
        <v>0</v>
      </c>
      <c r="M97" s="252">
        <v>3700</v>
      </c>
      <c r="N97" s="252">
        <v>0</v>
      </c>
      <c r="O97" s="252">
        <v>0</v>
      </c>
      <c r="P97" s="252">
        <v>3250</v>
      </c>
      <c r="Q97" s="252">
        <v>450</v>
      </c>
      <c r="R97" s="252">
        <v>2650</v>
      </c>
      <c r="S97" s="252">
        <v>950</v>
      </c>
      <c r="T97" s="252">
        <v>100</v>
      </c>
      <c r="U97" s="252">
        <v>0</v>
      </c>
      <c r="V97" s="252">
        <v>0</v>
      </c>
      <c r="W97" s="252">
        <v>0</v>
      </c>
      <c r="X97" s="252">
        <v>0</v>
      </c>
      <c r="Y97" s="252">
        <v>0</v>
      </c>
      <c r="Z97" s="252">
        <f t="shared" si="17"/>
        <v>40700</v>
      </c>
    </row>
    <row r="98" spans="1:26" s="43" customFormat="1">
      <c r="A98" s="424"/>
      <c r="B98" s="332"/>
      <c r="C98" s="252" t="s">
        <v>25</v>
      </c>
      <c r="D98" s="252"/>
      <c r="E98" s="252"/>
      <c r="F98" s="252"/>
      <c r="G98" s="252"/>
      <c r="H98" s="252"/>
      <c r="I98" s="252"/>
      <c r="J98" s="252"/>
      <c r="K98" s="252"/>
      <c r="L98" s="252"/>
      <c r="M98" s="252"/>
      <c r="N98" s="252"/>
      <c r="O98" s="252"/>
      <c r="P98" s="252"/>
      <c r="Q98" s="252"/>
      <c r="R98" s="252"/>
      <c r="S98" s="252"/>
      <c r="T98" s="252"/>
      <c r="U98" s="252"/>
      <c r="V98" s="252"/>
      <c r="W98" s="252"/>
      <c r="X98" s="252"/>
      <c r="Y98" s="252"/>
      <c r="Z98" s="252">
        <f t="shared" si="17"/>
        <v>0</v>
      </c>
    </row>
    <row r="99" spans="1:26" s="43" customFormat="1">
      <c r="A99" s="428">
        <v>9</v>
      </c>
      <c r="B99" s="331" t="s">
        <v>543</v>
      </c>
      <c r="C99" s="252" t="s">
        <v>24</v>
      </c>
      <c r="D99" s="252">
        <v>4730</v>
      </c>
      <c r="E99" s="252">
        <v>4730</v>
      </c>
      <c r="F99" s="252">
        <v>4730</v>
      </c>
      <c r="G99" s="252">
        <v>4730</v>
      </c>
      <c r="H99" s="252">
        <v>4730</v>
      </c>
      <c r="I99" s="252">
        <v>4730</v>
      </c>
      <c r="J99" s="252">
        <v>4730</v>
      </c>
      <c r="K99" s="252">
        <v>4730</v>
      </c>
      <c r="L99" s="252">
        <v>1400</v>
      </c>
      <c r="M99" s="252">
        <v>4730</v>
      </c>
      <c r="N99" s="252">
        <v>0</v>
      </c>
      <c r="O99" s="252">
        <v>0</v>
      </c>
      <c r="P99" s="252">
        <v>3300</v>
      </c>
      <c r="Q99" s="252">
        <v>30</v>
      </c>
      <c r="R99" s="252">
        <v>3335</v>
      </c>
      <c r="S99" s="252">
        <v>1365</v>
      </c>
      <c r="T99" s="252">
        <v>30</v>
      </c>
      <c r="U99" s="252">
        <v>0</v>
      </c>
      <c r="V99" s="252">
        <v>0</v>
      </c>
      <c r="W99" s="252">
        <v>0</v>
      </c>
      <c r="X99" s="252">
        <v>0</v>
      </c>
      <c r="Y99" s="252">
        <v>0</v>
      </c>
      <c r="Z99" s="252">
        <f t="shared" si="17"/>
        <v>52030</v>
      </c>
    </row>
    <row r="100" spans="1:26" s="43" customFormat="1">
      <c r="A100" s="424"/>
      <c r="B100" s="332"/>
      <c r="C100" s="252" t="s">
        <v>25</v>
      </c>
      <c r="D100" s="252"/>
      <c r="E100" s="252"/>
      <c r="F100" s="252"/>
      <c r="G100" s="252"/>
      <c r="H100" s="252"/>
      <c r="I100" s="252"/>
      <c r="J100" s="252"/>
      <c r="K100" s="252"/>
      <c r="L100" s="252"/>
      <c r="M100" s="252"/>
      <c r="N100" s="252"/>
      <c r="O100" s="252"/>
      <c r="P100" s="252"/>
      <c r="Q100" s="252"/>
      <c r="R100" s="252"/>
      <c r="S100" s="252"/>
      <c r="T100" s="252"/>
      <c r="U100" s="252"/>
      <c r="V100" s="252"/>
      <c r="W100" s="252"/>
      <c r="X100" s="252"/>
      <c r="Y100" s="252"/>
      <c r="Z100" s="252">
        <f t="shared" si="17"/>
        <v>0</v>
      </c>
    </row>
    <row r="101" spans="1:26" s="43" customFormat="1">
      <c r="A101" s="428">
        <v>10</v>
      </c>
      <c r="B101" s="331" t="s">
        <v>122</v>
      </c>
      <c r="C101" s="252" t="s">
        <v>24</v>
      </c>
      <c r="D101" s="252">
        <v>2980</v>
      </c>
      <c r="E101" s="252">
        <v>2980</v>
      </c>
      <c r="F101" s="252">
        <v>2980</v>
      </c>
      <c r="G101" s="252">
        <v>2980</v>
      </c>
      <c r="H101" s="252">
        <v>2980</v>
      </c>
      <c r="I101" s="252">
        <v>2980</v>
      </c>
      <c r="J101" s="252">
        <v>2980</v>
      </c>
      <c r="K101" s="252">
        <v>2980</v>
      </c>
      <c r="L101" s="252">
        <v>0</v>
      </c>
      <c r="M101" s="252">
        <v>2980</v>
      </c>
      <c r="N101" s="252">
        <v>0</v>
      </c>
      <c r="O101" s="252">
        <v>0</v>
      </c>
      <c r="P101" s="252">
        <v>2980</v>
      </c>
      <c r="Q101" s="252">
        <v>0</v>
      </c>
      <c r="R101" s="252">
        <v>2500</v>
      </c>
      <c r="S101" s="252">
        <v>480</v>
      </c>
      <c r="T101" s="252">
        <v>0</v>
      </c>
      <c r="U101" s="252">
        <v>0</v>
      </c>
      <c r="V101" s="252">
        <v>0</v>
      </c>
      <c r="W101" s="252">
        <v>0</v>
      </c>
      <c r="X101" s="252">
        <v>0</v>
      </c>
      <c r="Y101" s="252">
        <v>0</v>
      </c>
      <c r="Z101" s="252">
        <f t="shared" si="17"/>
        <v>32780</v>
      </c>
    </row>
    <row r="102" spans="1:26" s="43" customFormat="1">
      <c r="A102" s="424"/>
      <c r="B102" s="332"/>
      <c r="C102" s="252" t="s">
        <v>25</v>
      </c>
      <c r="D102" s="252"/>
      <c r="E102" s="252"/>
      <c r="F102" s="252"/>
      <c r="G102" s="252"/>
      <c r="H102" s="252"/>
      <c r="I102" s="252"/>
      <c r="J102" s="252"/>
      <c r="K102" s="252"/>
      <c r="L102" s="252"/>
      <c r="M102" s="252"/>
      <c r="N102" s="252"/>
      <c r="O102" s="252"/>
      <c r="P102" s="252"/>
      <c r="Q102" s="252"/>
      <c r="R102" s="252"/>
      <c r="S102" s="252"/>
      <c r="T102" s="252"/>
      <c r="U102" s="252"/>
      <c r="V102" s="252"/>
      <c r="W102" s="252"/>
      <c r="X102" s="252"/>
      <c r="Y102" s="252"/>
      <c r="Z102" s="252">
        <f t="shared" si="17"/>
        <v>0</v>
      </c>
    </row>
    <row r="103" spans="1:26" s="43" customFormat="1">
      <c r="A103" s="450" t="s">
        <v>35</v>
      </c>
      <c r="B103" s="451"/>
      <c r="C103" s="452"/>
      <c r="D103" s="252">
        <f>D83+D85+D87+D89+D91+D93+D95+D97+D99+D101</f>
        <v>47410</v>
      </c>
      <c r="E103" s="252">
        <f t="shared" ref="E103:Z103" si="18">E83+E85+E87+E89+E91+E93+E95+E97+E99+E101</f>
        <v>47410</v>
      </c>
      <c r="F103" s="252">
        <f t="shared" si="18"/>
        <v>47410</v>
      </c>
      <c r="G103" s="252">
        <f t="shared" si="18"/>
        <v>47410</v>
      </c>
      <c r="H103" s="252">
        <f t="shared" si="18"/>
        <v>47410</v>
      </c>
      <c r="I103" s="252">
        <f t="shared" si="18"/>
        <v>47410</v>
      </c>
      <c r="J103" s="252">
        <f t="shared" si="18"/>
        <v>47410</v>
      </c>
      <c r="K103" s="252">
        <f t="shared" si="18"/>
        <v>47410</v>
      </c>
      <c r="L103" s="252">
        <f t="shared" si="18"/>
        <v>4400</v>
      </c>
      <c r="M103" s="252">
        <f t="shared" si="18"/>
        <v>47410</v>
      </c>
      <c r="N103" s="252">
        <f t="shared" si="18"/>
        <v>0</v>
      </c>
      <c r="O103" s="252">
        <f t="shared" si="18"/>
        <v>0</v>
      </c>
      <c r="P103" s="252">
        <f t="shared" si="18"/>
        <v>41100</v>
      </c>
      <c r="Q103" s="252">
        <f t="shared" si="18"/>
        <v>1910</v>
      </c>
      <c r="R103" s="252">
        <f t="shared" si="18"/>
        <v>34025</v>
      </c>
      <c r="S103" s="252">
        <f t="shared" si="18"/>
        <v>12878</v>
      </c>
      <c r="T103" s="252">
        <f t="shared" si="18"/>
        <v>497</v>
      </c>
      <c r="U103" s="252">
        <f t="shared" si="18"/>
        <v>0</v>
      </c>
      <c r="V103" s="252">
        <f t="shared" si="18"/>
        <v>0</v>
      </c>
      <c r="W103" s="252">
        <f t="shared" si="18"/>
        <v>0</v>
      </c>
      <c r="X103" s="252">
        <f t="shared" si="18"/>
        <v>0</v>
      </c>
      <c r="Y103" s="252">
        <f t="shared" si="18"/>
        <v>0</v>
      </c>
      <c r="Z103" s="252">
        <f t="shared" si="18"/>
        <v>521500</v>
      </c>
    </row>
    <row r="104" spans="1:26" s="43" customFormat="1">
      <c r="A104" s="450" t="s">
        <v>36</v>
      </c>
      <c r="B104" s="451"/>
      <c r="C104" s="452"/>
      <c r="D104" s="252">
        <f>D84+D86+D88+D90+D92+D94+D96+D98+D100+D102</f>
        <v>0</v>
      </c>
      <c r="E104" s="252">
        <f>E84+E86+E88+E90+E92+E94+E96+E98+E100+E102</f>
        <v>0</v>
      </c>
      <c r="F104" s="252">
        <f t="shared" ref="F104:Z104" si="19">F84+F86+F88+F90+F92+F94+F96+F98+F100+F102</f>
        <v>0</v>
      </c>
      <c r="G104" s="252">
        <f t="shared" si="19"/>
        <v>0</v>
      </c>
      <c r="H104" s="252">
        <f t="shared" si="19"/>
        <v>0</v>
      </c>
      <c r="I104" s="252">
        <f t="shared" si="19"/>
        <v>0</v>
      </c>
      <c r="J104" s="252">
        <f t="shared" si="19"/>
        <v>0</v>
      </c>
      <c r="K104" s="252">
        <f t="shared" si="19"/>
        <v>0</v>
      </c>
      <c r="L104" s="252">
        <f t="shared" si="19"/>
        <v>0</v>
      </c>
      <c r="M104" s="252">
        <f t="shared" si="19"/>
        <v>0</v>
      </c>
      <c r="N104" s="252">
        <f t="shared" si="19"/>
        <v>0</v>
      </c>
      <c r="O104" s="252">
        <f t="shared" si="19"/>
        <v>0</v>
      </c>
      <c r="P104" s="252">
        <f t="shared" si="19"/>
        <v>0</v>
      </c>
      <c r="Q104" s="252">
        <f t="shared" si="19"/>
        <v>0</v>
      </c>
      <c r="R104" s="252">
        <f t="shared" si="19"/>
        <v>0</v>
      </c>
      <c r="S104" s="252">
        <f t="shared" si="19"/>
        <v>0</v>
      </c>
      <c r="T104" s="252">
        <f t="shared" si="19"/>
        <v>0</v>
      </c>
      <c r="U104" s="252">
        <f t="shared" si="19"/>
        <v>0</v>
      </c>
      <c r="V104" s="252">
        <f t="shared" si="19"/>
        <v>0</v>
      </c>
      <c r="W104" s="252">
        <f t="shared" si="19"/>
        <v>0</v>
      </c>
      <c r="X104" s="252">
        <f t="shared" si="19"/>
        <v>0</v>
      </c>
      <c r="Y104" s="252">
        <f t="shared" si="19"/>
        <v>0</v>
      </c>
      <c r="Z104" s="252">
        <f t="shared" si="19"/>
        <v>0</v>
      </c>
    </row>
    <row r="105" spans="1:26" s="43" customFormat="1">
      <c r="A105" s="450" t="s">
        <v>308</v>
      </c>
      <c r="B105" s="451"/>
      <c r="C105" s="452"/>
      <c r="D105" s="252">
        <f>D103-D104</f>
        <v>47410</v>
      </c>
      <c r="E105" s="252">
        <f t="shared" ref="E105:Y105" si="20">E103-E104</f>
        <v>47410</v>
      </c>
      <c r="F105" s="252">
        <f t="shared" si="20"/>
        <v>47410</v>
      </c>
      <c r="G105" s="252">
        <f t="shared" si="20"/>
        <v>47410</v>
      </c>
      <c r="H105" s="252">
        <f t="shared" si="20"/>
        <v>47410</v>
      </c>
      <c r="I105" s="252">
        <f t="shared" si="20"/>
        <v>47410</v>
      </c>
      <c r="J105" s="252">
        <f t="shared" si="20"/>
        <v>47410</v>
      </c>
      <c r="K105" s="252">
        <f t="shared" si="20"/>
        <v>47410</v>
      </c>
      <c r="L105" s="252">
        <f t="shared" si="20"/>
        <v>4400</v>
      </c>
      <c r="M105" s="252">
        <f t="shared" si="20"/>
        <v>47410</v>
      </c>
      <c r="N105" s="252">
        <f t="shared" si="20"/>
        <v>0</v>
      </c>
      <c r="O105" s="252">
        <f t="shared" si="20"/>
        <v>0</v>
      </c>
      <c r="P105" s="252">
        <f t="shared" si="20"/>
        <v>41100</v>
      </c>
      <c r="Q105" s="252">
        <f t="shared" si="20"/>
        <v>1910</v>
      </c>
      <c r="R105" s="252">
        <f t="shared" si="20"/>
        <v>34025</v>
      </c>
      <c r="S105" s="252">
        <f t="shared" si="20"/>
        <v>12878</v>
      </c>
      <c r="T105" s="252">
        <f t="shared" si="20"/>
        <v>497</v>
      </c>
      <c r="U105" s="252">
        <f t="shared" si="20"/>
        <v>0</v>
      </c>
      <c r="V105" s="252">
        <f t="shared" si="20"/>
        <v>0</v>
      </c>
      <c r="W105" s="252">
        <f t="shared" si="20"/>
        <v>0</v>
      </c>
      <c r="X105" s="252">
        <f t="shared" si="20"/>
        <v>0</v>
      </c>
      <c r="Y105" s="252">
        <f t="shared" si="20"/>
        <v>0</v>
      </c>
      <c r="Z105" s="252">
        <f t="shared" ref="Z105" si="21">SUM(D105:Y105)</f>
        <v>521500</v>
      </c>
    </row>
    <row r="107" spans="1:26" s="43" customFormat="1" ht="19.5">
      <c r="A107" s="538" t="s">
        <v>544</v>
      </c>
      <c r="B107" s="538"/>
      <c r="C107" s="538"/>
      <c r="D107" s="538"/>
      <c r="E107" s="538"/>
      <c r="F107" s="538"/>
      <c r="G107" s="538"/>
      <c r="H107" s="538"/>
      <c r="I107" s="538"/>
      <c r="J107" s="538"/>
      <c r="K107" s="538"/>
      <c r="L107" s="538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s="43" customFormat="1" ht="33" customHeight="1">
      <c r="A108" s="255" t="s">
        <v>118</v>
      </c>
      <c r="B108" s="255" t="s">
        <v>307</v>
      </c>
      <c r="C108" s="34" t="s">
        <v>24</v>
      </c>
      <c r="D108" s="34" t="s">
        <v>225</v>
      </c>
      <c r="E108" s="34" t="s">
        <v>365</v>
      </c>
      <c r="F108" s="34" t="s">
        <v>56</v>
      </c>
      <c r="G108" s="34" t="s">
        <v>27</v>
      </c>
      <c r="H108" s="34" t="s">
        <v>175</v>
      </c>
      <c r="I108" s="34" t="s">
        <v>31</v>
      </c>
      <c r="J108" s="34" t="s">
        <v>202</v>
      </c>
      <c r="K108" s="34" t="s">
        <v>32</v>
      </c>
      <c r="L108" s="34" t="s">
        <v>493</v>
      </c>
      <c r="M108" s="34" t="s">
        <v>73</v>
      </c>
      <c r="N108" s="34" t="s">
        <v>517</v>
      </c>
      <c r="O108" s="34" t="s">
        <v>192</v>
      </c>
      <c r="P108" s="34" t="s">
        <v>494</v>
      </c>
      <c r="Q108" s="34" t="s">
        <v>151</v>
      </c>
      <c r="R108" s="34" t="s">
        <v>48</v>
      </c>
      <c r="S108" s="34" t="s">
        <v>49</v>
      </c>
      <c r="T108" s="34" t="s">
        <v>76</v>
      </c>
      <c r="U108" s="34" t="s">
        <v>51</v>
      </c>
      <c r="V108" s="34" t="s">
        <v>112</v>
      </c>
      <c r="W108" s="34" t="s">
        <v>137</v>
      </c>
      <c r="X108" s="34" t="s">
        <v>149</v>
      </c>
      <c r="Y108" s="34" t="s">
        <v>99</v>
      </c>
      <c r="Z108" s="34" t="s">
        <v>88</v>
      </c>
    </row>
    <row r="109" spans="1:26" s="43" customFormat="1">
      <c r="A109" s="428">
        <v>1</v>
      </c>
      <c r="B109" s="331"/>
      <c r="C109" s="252" t="s">
        <v>24</v>
      </c>
      <c r="D109" s="252">
        <v>10300</v>
      </c>
      <c r="E109" s="252">
        <v>10300</v>
      </c>
      <c r="F109" s="252">
        <v>10300</v>
      </c>
      <c r="G109" s="252">
        <v>10300</v>
      </c>
      <c r="H109" s="252">
        <v>10300</v>
      </c>
      <c r="I109" s="252">
        <v>10300</v>
      </c>
      <c r="J109" s="252">
        <v>10300</v>
      </c>
      <c r="K109" s="252">
        <v>10300</v>
      </c>
      <c r="L109" s="252">
        <v>950</v>
      </c>
      <c r="M109" s="252">
        <v>10300</v>
      </c>
      <c r="N109" s="252">
        <v>650</v>
      </c>
      <c r="O109" s="252">
        <v>600</v>
      </c>
      <c r="P109" s="252">
        <v>7300</v>
      </c>
      <c r="Q109" s="252">
        <v>800</v>
      </c>
      <c r="R109" s="252">
        <v>9485</v>
      </c>
      <c r="S109" s="252">
        <v>800</v>
      </c>
      <c r="T109" s="252">
        <v>15</v>
      </c>
      <c r="U109" s="252">
        <v>0</v>
      </c>
      <c r="V109" s="252">
        <v>0</v>
      </c>
      <c r="W109" s="252">
        <v>0</v>
      </c>
      <c r="X109" s="252">
        <v>0</v>
      </c>
      <c r="Y109" s="252">
        <v>0</v>
      </c>
      <c r="Z109" s="252">
        <f>SUM(D109:Y109)</f>
        <v>113300</v>
      </c>
    </row>
    <row r="110" spans="1:26" s="43" customFormat="1">
      <c r="A110" s="424"/>
      <c r="B110" s="332"/>
      <c r="C110" s="252" t="s">
        <v>25</v>
      </c>
      <c r="D110" s="252"/>
      <c r="E110" s="252"/>
      <c r="F110" s="252"/>
      <c r="G110" s="252"/>
      <c r="H110" s="252"/>
      <c r="I110" s="252"/>
      <c r="J110" s="252"/>
      <c r="K110" s="252"/>
      <c r="L110" s="252"/>
      <c r="M110" s="252"/>
      <c r="N110" s="252"/>
      <c r="O110" s="252"/>
      <c r="P110" s="252"/>
      <c r="Q110" s="252"/>
      <c r="R110" s="252"/>
      <c r="S110" s="252"/>
      <c r="T110" s="252"/>
      <c r="U110" s="252"/>
      <c r="V110" s="252"/>
      <c r="W110" s="252"/>
      <c r="X110" s="252"/>
      <c r="Y110" s="252"/>
      <c r="Z110" s="252">
        <f t="shared" ref="Z110:Z120" si="22">SUM(D110:Y110)</f>
        <v>0</v>
      </c>
    </row>
    <row r="111" spans="1:26" s="43" customFormat="1">
      <c r="A111" s="428">
        <v>2</v>
      </c>
      <c r="B111" s="331"/>
      <c r="C111" s="252" t="s">
        <v>24</v>
      </c>
      <c r="D111" s="252">
        <v>5265</v>
      </c>
      <c r="E111" s="252">
        <v>5265</v>
      </c>
      <c r="F111" s="252">
        <v>5265</v>
      </c>
      <c r="G111" s="252">
        <v>5265</v>
      </c>
      <c r="H111" s="252">
        <v>5265</v>
      </c>
      <c r="I111" s="252">
        <v>5265</v>
      </c>
      <c r="J111" s="252">
        <v>5265</v>
      </c>
      <c r="K111" s="252">
        <v>5265</v>
      </c>
      <c r="L111" s="252">
        <v>0</v>
      </c>
      <c r="M111" s="252">
        <v>5265</v>
      </c>
      <c r="N111" s="252">
        <v>0</v>
      </c>
      <c r="O111" s="252">
        <v>0</v>
      </c>
      <c r="P111" s="252">
        <v>5120</v>
      </c>
      <c r="Q111" s="252">
        <v>145</v>
      </c>
      <c r="R111" s="252">
        <v>4960</v>
      </c>
      <c r="S111" s="252">
        <v>305</v>
      </c>
      <c r="T111" s="252">
        <v>0</v>
      </c>
      <c r="U111" s="252">
        <v>0</v>
      </c>
      <c r="V111" s="252">
        <v>0</v>
      </c>
      <c r="W111" s="252">
        <v>0</v>
      </c>
      <c r="X111" s="252">
        <v>0</v>
      </c>
      <c r="Y111" s="252">
        <v>0</v>
      </c>
      <c r="Z111" s="252">
        <f t="shared" si="22"/>
        <v>57915</v>
      </c>
    </row>
    <row r="112" spans="1:26" s="43" customFormat="1">
      <c r="A112" s="424"/>
      <c r="B112" s="332"/>
      <c r="C112" s="252" t="s">
        <v>25</v>
      </c>
      <c r="D112" s="252"/>
      <c r="E112" s="252"/>
      <c r="F112" s="252"/>
      <c r="G112" s="252"/>
      <c r="H112" s="252"/>
      <c r="I112" s="252"/>
      <c r="J112" s="252"/>
      <c r="K112" s="252"/>
      <c r="L112" s="252"/>
      <c r="M112" s="252"/>
      <c r="N112" s="252"/>
      <c r="O112" s="252"/>
      <c r="P112" s="252"/>
      <c r="Q112" s="252"/>
      <c r="R112" s="252"/>
      <c r="S112" s="252"/>
      <c r="T112" s="252"/>
      <c r="U112" s="252"/>
      <c r="V112" s="252"/>
      <c r="W112" s="252"/>
      <c r="X112" s="252"/>
      <c r="Y112" s="252"/>
      <c r="Z112" s="252">
        <f t="shared" si="22"/>
        <v>0</v>
      </c>
    </row>
    <row r="113" spans="1:26" s="43" customFormat="1">
      <c r="A113" s="428">
        <v>3</v>
      </c>
      <c r="B113" s="331"/>
      <c r="C113" s="252" t="s">
        <v>24</v>
      </c>
      <c r="D113" s="252">
        <v>2475</v>
      </c>
      <c r="E113" s="252">
        <v>2475</v>
      </c>
      <c r="F113" s="252">
        <v>2475</v>
      </c>
      <c r="G113" s="252">
        <v>2475</v>
      </c>
      <c r="H113" s="252">
        <v>2475</v>
      </c>
      <c r="I113" s="252">
        <v>2475</v>
      </c>
      <c r="J113" s="252">
        <v>2475</v>
      </c>
      <c r="K113" s="252">
        <v>2475</v>
      </c>
      <c r="L113" s="252">
        <v>355</v>
      </c>
      <c r="M113" s="252">
        <v>2475</v>
      </c>
      <c r="N113" s="252">
        <v>20</v>
      </c>
      <c r="O113" s="252">
        <v>0</v>
      </c>
      <c r="P113" s="252">
        <v>2000</v>
      </c>
      <c r="Q113" s="252">
        <v>100</v>
      </c>
      <c r="R113" s="252">
        <v>2250</v>
      </c>
      <c r="S113" s="252">
        <v>225</v>
      </c>
      <c r="T113" s="252">
        <v>2</v>
      </c>
      <c r="U113" s="252">
        <v>0</v>
      </c>
      <c r="V113" s="252">
        <v>0</v>
      </c>
      <c r="W113" s="252">
        <v>0</v>
      </c>
      <c r="X113" s="252">
        <v>0</v>
      </c>
      <c r="Y113" s="252">
        <v>0</v>
      </c>
      <c r="Z113" s="252">
        <f t="shared" si="22"/>
        <v>27227</v>
      </c>
    </row>
    <row r="114" spans="1:26" s="43" customFormat="1">
      <c r="A114" s="424"/>
      <c r="B114" s="332"/>
      <c r="C114" s="252" t="s">
        <v>25</v>
      </c>
      <c r="D114" s="252"/>
      <c r="E114" s="252"/>
      <c r="F114" s="252"/>
      <c r="G114" s="252"/>
      <c r="H114" s="252"/>
      <c r="I114" s="252"/>
      <c r="J114" s="252"/>
      <c r="K114" s="252"/>
      <c r="L114" s="252"/>
      <c r="M114" s="252"/>
      <c r="N114" s="252"/>
      <c r="O114" s="252"/>
      <c r="P114" s="252"/>
      <c r="Q114" s="252"/>
      <c r="R114" s="252"/>
      <c r="S114" s="252"/>
      <c r="T114" s="252"/>
      <c r="U114" s="252"/>
      <c r="V114" s="252"/>
      <c r="W114" s="252"/>
      <c r="X114" s="252"/>
      <c r="Y114" s="252"/>
      <c r="Z114" s="252">
        <f t="shared" si="22"/>
        <v>0</v>
      </c>
    </row>
    <row r="115" spans="1:26" s="43" customFormat="1">
      <c r="A115" s="428">
        <v>4</v>
      </c>
      <c r="B115" s="331"/>
      <c r="C115" s="252" t="s">
        <v>24</v>
      </c>
      <c r="D115" s="252">
        <v>7000</v>
      </c>
      <c r="E115" s="252">
        <v>7000</v>
      </c>
      <c r="F115" s="252">
        <v>7000</v>
      </c>
      <c r="G115" s="252">
        <v>7000</v>
      </c>
      <c r="H115" s="252">
        <v>7000</v>
      </c>
      <c r="I115" s="252">
        <v>7000</v>
      </c>
      <c r="J115" s="252">
        <v>7000</v>
      </c>
      <c r="K115" s="252">
        <v>7000</v>
      </c>
      <c r="L115" s="252">
        <v>0</v>
      </c>
      <c r="M115" s="252">
        <v>7000</v>
      </c>
      <c r="N115" s="252">
        <v>0</v>
      </c>
      <c r="O115" s="252">
        <v>0</v>
      </c>
      <c r="P115" s="252">
        <v>5600</v>
      </c>
      <c r="Q115" s="252">
        <v>1400</v>
      </c>
      <c r="R115" s="252">
        <v>6750</v>
      </c>
      <c r="S115" s="252">
        <v>250</v>
      </c>
      <c r="T115" s="252">
        <v>0</v>
      </c>
      <c r="U115" s="252">
        <v>0</v>
      </c>
      <c r="V115" s="252">
        <v>0</v>
      </c>
      <c r="W115" s="252">
        <v>0</v>
      </c>
      <c r="X115" s="252">
        <v>0</v>
      </c>
      <c r="Y115" s="252">
        <v>0</v>
      </c>
      <c r="Z115" s="252">
        <f t="shared" si="22"/>
        <v>77000</v>
      </c>
    </row>
    <row r="116" spans="1:26" s="43" customFormat="1">
      <c r="A116" s="424"/>
      <c r="B116" s="332"/>
      <c r="C116" s="252" t="s">
        <v>25</v>
      </c>
      <c r="D116" s="252"/>
      <c r="E116" s="252"/>
      <c r="F116" s="252"/>
      <c r="G116" s="252"/>
      <c r="H116" s="252"/>
      <c r="I116" s="252"/>
      <c r="J116" s="252"/>
      <c r="K116" s="252"/>
      <c r="L116" s="252"/>
      <c r="M116" s="252"/>
      <c r="N116" s="252"/>
      <c r="O116" s="252"/>
      <c r="P116" s="252"/>
      <c r="Q116" s="252"/>
      <c r="R116" s="252"/>
      <c r="S116" s="252"/>
      <c r="T116" s="252"/>
      <c r="U116" s="252"/>
      <c r="V116" s="252"/>
      <c r="W116" s="252"/>
      <c r="X116" s="252"/>
      <c r="Y116" s="252"/>
      <c r="Z116" s="252">
        <f t="shared" si="22"/>
        <v>0</v>
      </c>
    </row>
    <row r="117" spans="1:26" s="43" customFormat="1">
      <c r="A117" s="428">
        <v>5</v>
      </c>
      <c r="B117" s="331"/>
      <c r="C117" s="252" t="s">
        <v>24</v>
      </c>
      <c r="D117" s="252">
        <v>3500</v>
      </c>
      <c r="E117" s="252">
        <v>3500</v>
      </c>
      <c r="F117" s="252">
        <v>3500</v>
      </c>
      <c r="G117" s="252">
        <v>3500</v>
      </c>
      <c r="H117" s="252">
        <v>3500</v>
      </c>
      <c r="I117" s="252">
        <v>3500</v>
      </c>
      <c r="J117" s="252">
        <v>3500</v>
      </c>
      <c r="K117" s="252">
        <v>3500</v>
      </c>
      <c r="L117" s="252">
        <v>0</v>
      </c>
      <c r="M117" s="252">
        <v>3500</v>
      </c>
      <c r="N117" s="252">
        <v>0</v>
      </c>
      <c r="O117" s="252">
        <v>0</v>
      </c>
      <c r="P117" s="252">
        <v>3250</v>
      </c>
      <c r="Q117" s="252">
        <v>250</v>
      </c>
      <c r="R117" s="252">
        <v>3330</v>
      </c>
      <c r="S117" s="252">
        <v>168</v>
      </c>
      <c r="T117" s="252">
        <v>2</v>
      </c>
      <c r="U117" s="252">
        <v>0</v>
      </c>
      <c r="V117" s="252">
        <v>0</v>
      </c>
      <c r="W117" s="252">
        <v>0</v>
      </c>
      <c r="X117" s="252">
        <v>0</v>
      </c>
      <c r="Y117" s="252">
        <v>0</v>
      </c>
      <c r="Z117" s="252">
        <f t="shared" si="22"/>
        <v>38500</v>
      </c>
    </row>
    <row r="118" spans="1:26" s="43" customFormat="1">
      <c r="A118" s="424"/>
      <c r="B118" s="332"/>
      <c r="C118" s="252" t="s">
        <v>25</v>
      </c>
      <c r="D118" s="252"/>
      <c r="E118" s="252"/>
      <c r="F118" s="252"/>
      <c r="G118" s="252"/>
      <c r="H118" s="252"/>
      <c r="I118" s="252"/>
      <c r="J118" s="252"/>
      <c r="K118" s="252"/>
      <c r="L118" s="252"/>
      <c r="M118" s="252"/>
      <c r="N118" s="252"/>
      <c r="O118" s="252"/>
      <c r="P118" s="252"/>
      <c r="Q118" s="252"/>
      <c r="R118" s="252"/>
      <c r="S118" s="252"/>
      <c r="T118" s="252"/>
      <c r="U118" s="252"/>
      <c r="V118" s="252"/>
      <c r="W118" s="252"/>
      <c r="X118" s="252"/>
      <c r="Y118" s="252"/>
      <c r="Z118" s="252">
        <f t="shared" si="22"/>
        <v>0</v>
      </c>
    </row>
    <row r="119" spans="1:26" s="43" customFormat="1">
      <c r="A119" s="428">
        <v>6</v>
      </c>
      <c r="B119" s="331"/>
      <c r="C119" s="252" t="s">
        <v>24</v>
      </c>
      <c r="D119" s="252">
        <v>11600</v>
      </c>
      <c r="E119" s="252">
        <v>11600</v>
      </c>
      <c r="F119" s="252">
        <v>11600</v>
      </c>
      <c r="G119" s="252">
        <v>11600</v>
      </c>
      <c r="H119" s="252">
        <v>11600</v>
      </c>
      <c r="I119" s="252">
        <v>11600</v>
      </c>
      <c r="J119" s="252">
        <v>11600</v>
      </c>
      <c r="K119" s="252">
        <v>11600</v>
      </c>
      <c r="L119" s="252">
        <v>0</v>
      </c>
      <c r="M119" s="252">
        <v>11600</v>
      </c>
      <c r="N119" s="252">
        <v>0</v>
      </c>
      <c r="O119" s="252">
        <v>0</v>
      </c>
      <c r="P119" s="252">
        <v>11340</v>
      </c>
      <c r="Q119" s="252">
        <v>300</v>
      </c>
      <c r="R119" s="252">
        <v>11210</v>
      </c>
      <c r="S119" s="252">
        <v>390</v>
      </c>
      <c r="T119" s="252">
        <v>0</v>
      </c>
      <c r="U119" s="252">
        <v>0</v>
      </c>
      <c r="V119" s="252">
        <v>0</v>
      </c>
      <c r="W119" s="252">
        <v>0</v>
      </c>
      <c r="X119" s="252">
        <v>0</v>
      </c>
      <c r="Y119" s="252">
        <v>0</v>
      </c>
      <c r="Z119" s="252">
        <f t="shared" si="22"/>
        <v>127640</v>
      </c>
    </row>
    <row r="120" spans="1:26" s="43" customFormat="1">
      <c r="A120" s="424"/>
      <c r="B120" s="332"/>
      <c r="C120" s="252" t="s">
        <v>25</v>
      </c>
      <c r="D120" s="252"/>
      <c r="E120" s="252"/>
      <c r="F120" s="252"/>
      <c r="G120" s="252"/>
      <c r="H120" s="252"/>
      <c r="I120" s="252"/>
      <c r="J120" s="252"/>
      <c r="K120" s="252"/>
      <c r="L120" s="252"/>
      <c r="M120" s="252"/>
      <c r="N120" s="252"/>
      <c r="O120" s="252"/>
      <c r="P120" s="252"/>
      <c r="Q120" s="252"/>
      <c r="R120" s="252"/>
      <c r="S120" s="252"/>
      <c r="T120" s="252"/>
      <c r="U120" s="252"/>
      <c r="V120" s="252"/>
      <c r="W120" s="252"/>
      <c r="X120" s="252"/>
      <c r="Y120" s="252"/>
      <c r="Z120" s="252">
        <f t="shared" si="22"/>
        <v>0</v>
      </c>
    </row>
    <row r="121" spans="1:26" s="43" customFormat="1">
      <c r="A121" s="450" t="s">
        <v>35</v>
      </c>
      <c r="B121" s="451"/>
      <c r="C121" s="452"/>
      <c r="D121" s="252">
        <f>D109+D111+D113+D115+D117+D119</f>
        <v>40140</v>
      </c>
      <c r="E121" s="252">
        <f t="shared" ref="E121:Z121" si="23">E109+E111+E113+E115+E117+E119</f>
        <v>40140</v>
      </c>
      <c r="F121" s="252">
        <f t="shared" si="23"/>
        <v>40140</v>
      </c>
      <c r="G121" s="252">
        <f t="shared" si="23"/>
        <v>40140</v>
      </c>
      <c r="H121" s="252">
        <f t="shared" si="23"/>
        <v>40140</v>
      </c>
      <c r="I121" s="252">
        <f t="shared" si="23"/>
        <v>40140</v>
      </c>
      <c r="J121" s="252">
        <f t="shared" si="23"/>
        <v>40140</v>
      </c>
      <c r="K121" s="252">
        <f t="shared" si="23"/>
        <v>40140</v>
      </c>
      <c r="L121" s="252">
        <f t="shared" si="23"/>
        <v>1305</v>
      </c>
      <c r="M121" s="252">
        <f t="shared" si="23"/>
        <v>40140</v>
      </c>
      <c r="N121" s="252">
        <f t="shared" si="23"/>
        <v>670</v>
      </c>
      <c r="O121" s="252">
        <f t="shared" si="23"/>
        <v>600</v>
      </c>
      <c r="P121" s="252">
        <f t="shared" si="23"/>
        <v>34610</v>
      </c>
      <c r="Q121" s="252">
        <f t="shared" si="23"/>
        <v>2995</v>
      </c>
      <c r="R121" s="252">
        <f t="shared" si="23"/>
        <v>37985</v>
      </c>
      <c r="S121" s="252">
        <f t="shared" si="23"/>
        <v>2138</v>
      </c>
      <c r="T121" s="252">
        <f t="shared" si="23"/>
        <v>19</v>
      </c>
      <c r="U121" s="252">
        <f t="shared" si="23"/>
        <v>0</v>
      </c>
      <c r="V121" s="252">
        <f t="shared" si="23"/>
        <v>0</v>
      </c>
      <c r="W121" s="252">
        <f t="shared" si="23"/>
        <v>0</v>
      </c>
      <c r="X121" s="252">
        <f t="shared" si="23"/>
        <v>0</v>
      </c>
      <c r="Y121" s="252">
        <f t="shared" si="23"/>
        <v>0</v>
      </c>
      <c r="Z121" s="252">
        <f t="shared" si="23"/>
        <v>441582</v>
      </c>
    </row>
    <row r="122" spans="1:26" s="43" customFormat="1">
      <c r="A122" s="450" t="s">
        <v>36</v>
      </c>
      <c r="B122" s="451"/>
      <c r="C122" s="452"/>
      <c r="D122" s="252">
        <f>D110+D112+D114+D116+D118+D120</f>
        <v>0</v>
      </c>
      <c r="E122" s="252">
        <f t="shared" ref="E122:Z122" si="24">E110+E112+E114+E116+E118+E120</f>
        <v>0</v>
      </c>
      <c r="F122" s="252">
        <f t="shared" si="24"/>
        <v>0</v>
      </c>
      <c r="G122" s="252">
        <f t="shared" si="24"/>
        <v>0</v>
      </c>
      <c r="H122" s="252">
        <f t="shared" si="24"/>
        <v>0</v>
      </c>
      <c r="I122" s="252">
        <f t="shared" si="24"/>
        <v>0</v>
      </c>
      <c r="J122" s="252">
        <f t="shared" si="24"/>
        <v>0</v>
      </c>
      <c r="K122" s="252">
        <f t="shared" si="24"/>
        <v>0</v>
      </c>
      <c r="L122" s="252">
        <f t="shared" si="24"/>
        <v>0</v>
      </c>
      <c r="M122" s="252">
        <f t="shared" si="24"/>
        <v>0</v>
      </c>
      <c r="N122" s="252">
        <f t="shared" si="24"/>
        <v>0</v>
      </c>
      <c r="O122" s="252">
        <f t="shared" si="24"/>
        <v>0</v>
      </c>
      <c r="P122" s="252">
        <f t="shared" si="24"/>
        <v>0</v>
      </c>
      <c r="Q122" s="252">
        <f t="shared" si="24"/>
        <v>0</v>
      </c>
      <c r="R122" s="252">
        <f t="shared" si="24"/>
        <v>0</v>
      </c>
      <c r="S122" s="252">
        <f t="shared" si="24"/>
        <v>0</v>
      </c>
      <c r="T122" s="252">
        <f t="shared" si="24"/>
        <v>0</v>
      </c>
      <c r="U122" s="252">
        <f t="shared" si="24"/>
        <v>0</v>
      </c>
      <c r="V122" s="252">
        <f t="shared" si="24"/>
        <v>0</v>
      </c>
      <c r="W122" s="252">
        <f t="shared" si="24"/>
        <v>0</v>
      </c>
      <c r="X122" s="252">
        <f t="shared" si="24"/>
        <v>0</v>
      </c>
      <c r="Y122" s="252">
        <f t="shared" si="24"/>
        <v>0</v>
      </c>
      <c r="Z122" s="252">
        <f t="shared" si="24"/>
        <v>0</v>
      </c>
    </row>
    <row r="123" spans="1:26" s="43" customFormat="1">
      <c r="A123" s="450" t="s">
        <v>308</v>
      </c>
      <c r="B123" s="451"/>
      <c r="C123" s="452"/>
      <c r="D123" s="252">
        <f>D121-D122</f>
        <v>40140</v>
      </c>
      <c r="E123" s="252">
        <f t="shared" ref="E123:Y123" si="25">E121-E122</f>
        <v>40140</v>
      </c>
      <c r="F123" s="252">
        <f t="shared" si="25"/>
        <v>40140</v>
      </c>
      <c r="G123" s="252">
        <f t="shared" si="25"/>
        <v>40140</v>
      </c>
      <c r="H123" s="252">
        <f t="shared" si="25"/>
        <v>40140</v>
      </c>
      <c r="I123" s="252">
        <f t="shared" si="25"/>
        <v>40140</v>
      </c>
      <c r="J123" s="252">
        <f t="shared" si="25"/>
        <v>40140</v>
      </c>
      <c r="K123" s="252">
        <f t="shared" si="25"/>
        <v>40140</v>
      </c>
      <c r="L123" s="252">
        <f t="shared" si="25"/>
        <v>1305</v>
      </c>
      <c r="M123" s="252">
        <f t="shared" si="25"/>
        <v>40140</v>
      </c>
      <c r="N123" s="252">
        <f t="shared" si="25"/>
        <v>670</v>
      </c>
      <c r="O123" s="252">
        <f t="shared" si="25"/>
        <v>600</v>
      </c>
      <c r="P123" s="252">
        <f t="shared" si="25"/>
        <v>34610</v>
      </c>
      <c r="Q123" s="252">
        <f t="shared" si="25"/>
        <v>2995</v>
      </c>
      <c r="R123" s="252">
        <f t="shared" si="25"/>
        <v>37985</v>
      </c>
      <c r="S123" s="252">
        <f t="shared" si="25"/>
        <v>2138</v>
      </c>
      <c r="T123" s="252">
        <f t="shared" si="25"/>
        <v>19</v>
      </c>
      <c r="U123" s="252">
        <f t="shared" si="25"/>
        <v>0</v>
      </c>
      <c r="V123" s="252">
        <f t="shared" si="25"/>
        <v>0</v>
      </c>
      <c r="W123" s="252">
        <f t="shared" si="25"/>
        <v>0</v>
      </c>
      <c r="X123" s="252">
        <f t="shared" si="25"/>
        <v>0</v>
      </c>
      <c r="Y123" s="252">
        <f t="shared" si="25"/>
        <v>0</v>
      </c>
      <c r="Z123" s="252">
        <f t="shared" ref="Z123" si="26">SUM(D123:Y123)</f>
        <v>441582</v>
      </c>
    </row>
    <row r="124" spans="1:26">
      <c r="D124" s="233"/>
      <c r="E124" s="233"/>
      <c r="F124" s="233"/>
      <c r="G124" s="233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</row>
  </sheetData>
  <mergeCells count="112">
    <mergeCell ref="A121:C121"/>
    <mergeCell ref="A122:C122"/>
    <mergeCell ref="A123:C123"/>
    <mergeCell ref="A115:A116"/>
    <mergeCell ref="B115:B116"/>
    <mergeCell ref="A117:A118"/>
    <mergeCell ref="B117:B118"/>
    <mergeCell ref="A119:A120"/>
    <mergeCell ref="B119:B120"/>
    <mergeCell ref="A109:A110"/>
    <mergeCell ref="B109:B110"/>
    <mergeCell ref="A111:A112"/>
    <mergeCell ref="B111:B112"/>
    <mergeCell ref="A113:A114"/>
    <mergeCell ref="B113:B114"/>
    <mergeCell ref="A105:C105"/>
    <mergeCell ref="A107:L107"/>
    <mergeCell ref="A99:A100"/>
    <mergeCell ref="B99:B100"/>
    <mergeCell ref="A101:A102"/>
    <mergeCell ref="B101:B102"/>
    <mergeCell ref="A103:C103"/>
    <mergeCell ref="A104:C104"/>
    <mergeCell ref="A89:A90"/>
    <mergeCell ref="B89:B90"/>
    <mergeCell ref="A95:A96"/>
    <mergeCell ref="B95:B96"/>
    <mergeCell ref="A97:A98"/>
    <mergeCell ref="B97:B98"/>
    <mergeCell ref="A91:A92"/>
    <mergeCell ref="A93:A94"/>
    <mergeCell ref="B91:B92"/>
    <mergeCell ref="B93:B94"/>
    <mergeCell ref="A85:A86"/>
    <mergeCell ref="B85:B86"/>
    <mergeCell ref="A87:A88"/>
    <mergeCell ref="B87:B88"/>
    <mergeCell ref="A75:A76"/>
    <mergeCell ref="A77:C77"/>
    <mergeCell ref="A78:C78"/>
    <mergeCell ref="A79:C79"/>
    <mergeCell ref="A81:L81"/>
    <mergeCell ref="A83:A84"/>
    <mergeCell ref="B83:B84"/>
    <mergeCell ref="A73:A74"/>
    <mergeCell ref="B73:B74"/>
    <mergeCell ref="B75:B76"/>
    <mergeCell ref="A61:A62"/>
    <mergeCell ref="B61:B62"/>
    <mergeCell ref="A63:A64"/>
    <mergeCell ref="B63:B64"/>
    <mergeCell ref="A65:A66"/>
    <mergeCell ref="B65:B66"/>
    <mergeCell ref="A67:A68"/>
    <mergeCell ref="B67:B68"/>
    <mergeCell ref="A69:A70"/>
    <mergeCell ref="B69:B70"/>
    <mergeCell ref="A71:A72"/>
    <mergeCell ref="B71:B72"/>
    <mergeCell ref="A59:L59"/>
    <mergeCell ref="A47:A48"/>
    <mergeCell ref="B47:B48"/>
    <mergeCell ref="A39:L39"/>
    <mergeCell ref="A41:A42"/>
    <mergeCell ref="B41:B42"/>
    <mergeCell ref="A43:A44"/>
    <mergeCell ref="B43:B44"/>
    <mergeCell ref="A45:A46"/>
    <mergeCell ref="B45:B46"/>
    <mergeCell ref="A49:A50"/>
    <mergeCell ref="B49:B50"/>
    <mergeCell ref="A51:A52"/>
    <mergeCell ref="B51:B52"/>
    <mergeCell ref="A53:A54"/>
    <mergeCell ref="B53:B54"/>
    <mergeCell ref="A55:C55"/>
    <mergeCell ref="A56:C56"/>
    <mergeCell ref="A57:C57"/>
    <mergeCell ref="A29:A30"/>
    <mergeCell ref="A31:A32"/>
    <mergeCell ref="A33:A34"/>
    <mergeCell ref="B29:B30"/>
    <mergeCell ref="B31:B32"/>
    <mergeCell ref="B33:B34"/>
    <mergeCell ref="A35:C35"/>
    <mergeCell ref="A36:C36"/>
    <mergeCell ref="A37:C37"/>
    <mergeCell ref="A25:A26"/>
    <mergeCell ref="B23:B24"/>
    <mergeCell ref="B25:B26"/>
    <mergeCell ref="A19:A20"/>
    <mergeCell ref="B19:B20"/>
    <mergeCell ref="A27:A28"/>
    <mergeCell ref="B27:B28"/>
    <mergeCell ref="A9:A10"/>
    <mergeCell ref="B9:B10"/>
    <mergeCell ref="A11:A12"/>
    <mergeCell ref="B11:B12"/>
    <mergeCell ref="A13:C13"/>
    <mergeCell ref="A14:C14"/>
    <mergeCell ref="A17:L17"/>
    <mergeCell ref="A21:A22"/>
    <mergeCell ref="B21:B22"/>
    <mergeCell ref="A3:A4"/>
    <mergeCell ref="B3:B4"/>
    <mergeCell ref="A5:A6"/>
    <mergeCell ref="B5:B6"/>
    <mergeCell ref="A7:A8"/>
    <mergeCell ref="B7:B8"/>
    <mergeCell ref="A15:C15"/>
    <mergeCell ref="A1:L1"/>
    <mergeCell ref="A23:A2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Statement</vt:lpstr>
      <vt:lpstr>Report-2</vt:lpstr>
      <vt:lpstr>Top Sheet-(Class)</vt:lpstr>
      <vt:lpstr>Top Sheet-(Lot)</vt:lpstr>
      <vt:lpstr>MSPL-2 (Class)</vt:lpstr>
      <vt:lpstr>MSPL-2(LOT)</vt:lpstr>
      <vt:lpstr>Pre-Primary</vt:lpstr>
      <vt:lpstr>Primary 1-5</vt:lpstr>
      <vt:lpstr>Secandary-7</vt:lpstr>
      <vt:lpstr>Nine-Ten(Bangla)</vt:lpstr>
      <vt:lpstr>Nine-Ten(Shuko)</vt:lpstr>
      <vt:lpstr>Dakhil-(9-10)</vt:lpstr>
      <vt:lpstr>MSPL-3(Class)</vt:lpstr>
      <vt:lpstr>MSPL-3(Lot)</vt:lpstr>
      <vt:lpstr>Primary (1-5)</vt:lpstr>
      <vt:lpstr>Ibtadi</vt:lpstr>
      <vt:lpstr>Sec-6</vt:lpstr>
      <vt:lpstr>Dakhil-6</vt:lpstr>
      <vt:lpstr>Sec-8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2026-08-13T06:11:24Z</dcterms:modified>
</cp:coreProperties>
</file>